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7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CHERR01\PycharmProjects\EPA_ALPHA_Model\rse\"/>
    </mc:Choice>
  </mc:AlternateContent>
  <xr:revisionPtr revIDLastSave="0" documentId="13_ncr:1_{5C2DADE4-B8C6-4D64-AE88-B7FB6F0C10E6}" xr6:coauthVersionLast="47" xr6:coauthVersionMax="47" xr10:uidLastSave="{00000000-0000-0000-0000-000000000000}"/>
  <bookViews>
    <workbookView xWindow="-108" yWindow="-108" windowWidth="23256" windowHeight="12456" tabRatio="842" activeTab="9" xr2:uid="{00000000-000D-0000-FFFF-FFFF00000000}"/>
  </bookViews>
  <sheets>
    <sheet name="RSE_Setup" sheetId="27" r:id="rId1"/>
    <sheet name="Input" sheetId="40" r:id="rId2"/>
    <sheet name="FTP_1" sheetId="30" r:id="rId3"/>
    <sheet name="FTP_2" sheetId="31" r:id="rId4"/>
    <sheet name="FTP_3" sheetId="32" r:id="rId5"/>
    <sheet name="HWFET" sheetId="33" r:id="rId6"/>
    <sheet name="US06_1" sheetId="34" r:id="rId7"/>
    <sheet name="US06_2" sheetId="35" r:id="rId8"/>
    <sheet name="Displacement" sheetId="36" r:id="rId9"/>
    <sheet name="Cylinders" sheetId="37" r:id="rId10"/>
    <sheet name="Formulas" sheetId="39" r:id="rId11"/>
  </sheets>
  <definedNames>
    <definedName name="_xlnm._FilterDatabase" localSheetId="9" hidden="1">Cylinders!$A$1:$G$158</definedName>
    <definedName name="_xlnm._FilterDatabase" localSheetId="8" hidden="1">Displacement!$A$1:$G$158</definedName>
    <definedName name="_xlnm._FilterDatabase" localSheetId="2" hidden="1">FTP_1!$A$1:$G$158</definedName>
    <definedName name="_xlnm._FilterDatabase" localSheetId="3" hidden="1">FTP_2!$A$1:$G$158</definedName>
    <definedName name="_xlnm._FilterDatabase" localSheetId="4" hidden="1">FTP_3!$A$1:$G$158</definedName>
    <definedName name="_xlnm._FilterDatabase" localSheetId="5" hidden="1">HWFET!$A$1:$G$158</definedName>
    <definedName name="_xlnm._FilterDatabase" localSheetId="6" hidden="1">US06_1!$A$1:$G$158</definedName>
    <definedName name="_xlnm._FilterDatabase" localSheetId="7" hidden="1">US06_2!$A$1:$G$158</definedName>
    <definedName name="ETW" localSheetId="9">Cylinders!$D$2:$D$158</definedName>
    <definedName name="ETW" localSheetId="8">Displacement!$D$2:$D$158</definedName>
    <definedName name="ETW" localSheetId="2">FTP_1!$D$2:$D$158</definedName>
    <definedName name="ETW" localSheetId="3">FTP_2!$D$2:$D$158</definedName>
    <definedName name="ETW" localSheetId="4">FTP_3!$D$2:$D$158</definedName>
    <definedName name="ETW" localSheetId="5">HWFET!$D$2:$D$158</definedName>
    <definedName name="ETW" localSheetId="6">US06_1!$D$2:$D$158</definedName>
    <definedName name="ETW" localSheetId="7">US06_2!$D$2:$D$158</definedName>
    <definedName name="ETW">FTP_1!$D$2:$D$158</definedName>
    <definedName name="HP_ETW" localSheetId="9">Cylinders!$C$2:$C$158</definedName>
    <definedName name="HP_ETW" localSheetId="8">Displacement!$C$2:$C$158</definedName>
    <definedName name="HP_ETW" localSheetId="2">FTP_1!$C$2:$C$158</definedName>
    <definedName name="HP_ETW" localSheetId="3">FTP_2!$C$2:$C$158</definedName>
    <definedName name="HP_ETW" localSheetId="4">FTP_3!$C$2:$C$158</definedName>
    <definedName name="HP_ETW" localSheetId="5">HWFET!$C$2:$C$158</definedName>
    <definedName name="HP_ETW" localSheetId="6">US06_1!$C$2:$C$158</definedName>
    <definedName name="HP_ETW" localSheetId="7">US06_2!$C$2:$C$158</definedName>
    <definedName name="HP_ETW">FTP_1!$C$2:$C$158</definedName>
    <definedName name="RLHP20" localSheetId="9">Cylinders!$A$2:$A$158</definedName>
    <definedName name="RLHP20" localSheetId="8">Displacement!$A$2:$A$158</definedName>
    <definedName name="RLHP20" localSheetId="2">FTP_1!$A$2:$A$158</definedName>
    <definedName name="RLHP20" localSheetId="3">FTP_2!$A$2:$A$158</definedName>
    <definedName name="RLHP20" localSheetId="4">FTP_3!$A$2:$A$158</definedName>
    <definedName name="RLHP20" localSheetId="5">HWFET!$A$2:$A$158</definedName>
    <definedName name="RLHP20" localSheetId="6">US06_1!$A$2:$A$158</definedName>
    <definedName name="RLHP20" localSheetId="7">US06_2!$A$2:$A$158</definedName>
    <definedName name="RLHP20">FTP_1!$A$2:$A$158</definedName>
    <definedName name="RLHP60" localSheetId="9">Cylinders!$B$2:$B$158</definedName>
    <definedName name="RLHP60" localSheetId="8">Displacement!$B$2:$B$158</definedName>
    <definedName name="RLHP60" localSheetId="2">FTP_1!$B$2:$B$158</definedName>
    <definedName name="RLHP60" localSheetId="3">FTP_2!$B$2:$B$158</definedName>
    <definedName name="RLHP60" localSheetId="4">FTP_3!$B$2:$B$158</definedName>
    <definedName name="RLHP60" localSheetId="5">HWFET!$B$2:$B$158</definedName>
    <definedName name="RLHP60" localSheetId="6">US06_1!$B$2:$B$158</definedName>
    <definedName name="RLHP60" localSheetId="7">US06_2!$B$2:$B$158</definedName>
    <definedName name="RLHP60">FTP_1!$B$2:$B$158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8" i="30" l="1" a="1"/>
  <c r="D156" i="30" a="1"/>
  <c r="D154" i="30" a="1"/>
  <c r="D152" i="30" a="1"/>
  <c r="D150" i="30" a="1"/>
  <c r="D148" i="30" a="1"/>
  <c r="D146" i="30" a="1"/>
  <c r="D144" i="30" a="1"/>
  <c r="D142" i="30" a="1"/>
  <c r="D140" i="30" a="1"/>
  <c r="C158" i="30" a="1"/>
  <c r="C156" i="30" a="1"/>
  <c r="C154" i="30" a="1"/>
  <c r="C152" i="30" a="1"/>
  <c r="C150" i="30" a="1"/>
  <c r="C148" i="30" a="1"/>
  <c r="C146" i="30" a="1"/>
  <c r="C144" i="30" a="1"/>
  <c r="C142" i="30" a="1"/>
  <c r="C140" i="30" a="1"/>
  <c r="C138" i="30" a="1"/>
  <c r="B158" i="30" a="1"/>
  <c r="B156" i="30" a="1"/>
  <c r="B154" i="30" a="1"/>
  <c r="B152" i="30" a="1"/>
  <c r="B150" i="30" a="1"/>
  <c r="B148" i="30" a="1"/>
  <c r="B146" i="30" a="1"/>
  <c r="B144" i="30" a="1"/>
  <c r="B142" i="30" a="1"/>
  <c r="B140" i="30" a="1"/>
  <c r="B138" i="30" a="1"/>
  <c r="B136" i="30" a="1"/>
  <c r="B134" i="30" a="1"/>
  <c r="B132" i="30" a="1"/>
  <c r="B130" i="30" a="1"/>
  <c r="B128" i="30" a="1"/>
  <c r="B126" i="30" a="1"/>
  <c r="B124" i="30" a="1"/>
  <c r="B122" i="30" a="1"/>
  <c r="B120" i="30" a="1"/>
  <c r="B118" i="30" a="1"/>
  <c r="B116" i="30" a="1"/>
  <c r="B114" i="30" a="1"/>
  <c r="B112" i="30" a="1"/>
  <c r="B110" i="30" a="1"/>
  <c r="B108" i="30" a="1"/>
  <c r="B106" i="30" a="1"/>
  <c r="B104" i="30" a="1"/>
  <c r="B102" i="30" a="1"/>
  <c r="B100" i="30" a="1"/>
  <c r="B98" i="30" a="1"/>
  <c r="B96" i="30" a="1"/>
  <c r="B94" i="30" a="1"/>
  <c r="B92" i="30" a="1"/>
  <c r="B90" i="30" a="1"/>
  <c r="B88" i="30" a="1"/>
  <c r="B86" i="30" a="1"/>
  <c r="B84" i="30" a="1"/>
  <c r="B80" i="30" a="1"/>
  <c r="B78" i="30" a="1"/>
  <c r="A158" i="30" a="1"/>
  <c r="A156" i="30" a="1"/>
  <c r="A154" i="30" a="1"/>
  <c r="A152" i="30" a="1"/>
  <c r="A150" i="30" a="1"/>
  <c r="A148" i="30" a="1"/>
  <c r="A146" i="30" a="1"/>
  <c r="A144" i="30" a="1"/>
  <c r="A142" i="30" a="1"/>
  <c r="A140" i="30" a="1"/>
  <c r="A138" i="30" a="1"/>
  <c r="A136" i="30" a="1"/>
  <c r="A134" i="30" a="1"/>
  <c r="A132" i="30" a="1"/>
  <c r="A130" i="30" a="1"/>
  <c r="A128" i="30" a="1"/>
  <c r="A126" i="30" a="1"/>
  <c r="A124" i="30" a="1"/>
  <c r="A122" i="30" a="1"/>
  <c r="A120" i="30" a="1"/>
  <c r="A118" i="30" a="1"/>
  <c r="A116" i="30" a="1"/>
  <c r="A114" i="30" a="1"/>
  <c r="A112" i="30" a="1"/>
  <c r="A110" i="30" a="1"/>
  <c r="A108" i="30" a="1"/>
  <c r="A106" i="30" a="1"/>
  <c r="A104" i="30" a="1"/>
  <c r="A102" i="30" a="1"/>
  <c r="A100" i="30" a="1"/>
  <c r="A98" i="30" a="1"/>
  <c r="A96" i="30" a="1"/>
  <c r="A94" i="30" a="1"/>
  <c r="A92" i="30" a="1"/>
  <c r="A88" i="30" a="1"/>
  <c r="D157" i="30" a="1"/>
  <c r="D155" i="30" a="1"/>
  <c r="D153" i="30" a="1"/>
  <c r="D151" i="30" a="1"/>
  <c r="D149" i="30" a="1"/>
  <c r="D147" i="30" a="1"/>
  <c r="D145" i="30" a="1"/>
  <c r="D143" i="30" a="1"/>
  <c r="D141" i="30" a="1"/>
  <c r="D139" i="30" a="1"/>
  <c r="C157" i="30" a="1"/>
  <c r="C155" i="30" a="1"/>
  <c r="C153" i="30" a="1"/>
  <c r="C149" i="30" a="1"/>
  <c r="C147" i="30" a="1"/>
  <c r="C145" i="30" a="1"/>
  <c r="C143" i="30" a="1"/>
  <c r="C141" i="30" a="1"/>
  <c r="C139" i="30" a="1"/>
  <c r="C137" i="30" a="1"/>
  <c r="C151" i="30" a="1"/>
  <c r="B157" i="30" a="1"/>
  <c r="B155" i="30" a="1"/>
  <c r="B153" i="30" a="1"/>
  <c r="B151" i="30" a="1"/>
  <c r="B149" i="30" a="1"/>
  <c r="B147" i="30" a="1"/>
  <c r="B145" i="30" a="1"/>
  <c r="B143" i="30" a="1"/>
  <c r="B141" i="30" a="1"/>
  <c r="B139" i="30" a="1"/>
  <c r="B137" i="30" a="1"/>
  <c r="B135" i="30" a="1"/>
  <c r="B133" i="30" a="1"/>
  <c r="B131" i="30" a="1"/>
  <c r="B129" i="30" a="1"/>
  <c r="B127" i="30" a="1"/>
  <c r="B125" i="30" a="1"/>
  <c r="B123" i="30" a="1"/>
  <c r="B121" i="30" a="1"/>
  <c r="B119" i="30" a="1"/>
  <c r="B117" i="30" a="1"/>
  <c r="B115" i="30" a="1"/>
  <c r="B113" i="30" a="1"/>
  <c r="B111" i="30" a="1"/>
  <c r="B109" i="30" a="1"/>
  <c r="B107" i="30" a="1"/>
  <c r="B105" i="30" a="1"/>
  <c r="B103" i="30" a="1"/>
  <c r="B101" i="30" a="1"/>
  <c r="B99" i="30" a="1"/>
  <c r="B97" i="30" a="1"/>
  <c r="B95" i="30" a="1"/>
  <c r="B93" i="30" a="1"/>
  <c r="B91" i="30" a="1"/>
  <c r="B89" i="30" a="1"/>
  <c r="B87" i="30" a="1"/>
  <c r="B85" i="30" a="1"/>
  <c r="B83" i="30" a="1"/>
  <c r="A157" i="30" a="1"/>
  <c r="A155" i="30" a="1"/>
  <c r="A153" i="30" a="1"/>
  <c r="A151" i="30" a="1"/>
  <c r="A149" i="30" a="1"/>
  <c r="A147" i="30" a="1"/>
  <c r="A145" i="30" a="1"/>
  <c r="A143" i="30" a="1"/>
  <c r="A141" i="30" a="1"/>
  <c r="A139" i="30" a="1"/>
  <c r="D138" i="30" a="1"/>
  <c r="C131" i="30" a="1"/>
  <c r="A125" i="30" a="1"/>
  <c r="D118" i="30" a="1"/>
  <c r="C112" i="30" a="1"/>
  <c r="D105" i="30" a="1"/>
  <c r="C99" i="30" a="1"/>
  <c r="C94" i="30" a="1"/>
  <c r="A89" i="30" a="1"/>
  <c r="C84" i="30" a="1"/>
  <c r="C80" i="30" a="1"/>
  <c r="C76" i="30" a="1"/>
  <c r="D72" i="30" a="1"/>
  <c r="B69" i="30" a="1"/>
  <c r="D65" i="30" a="1"/>
  <c r="B62" i="30" a="1"/>
  <c r="A55" i="30" a="1"/>
  <c r="C51" i="30" a="1"/>
  <c r="A48" i="30" a="1"/>
  <c r="C44" i="30" a="1"/>
  <c r="D40" i="30" a="1"/>
  <c r="B37" i="30" a="1"/>
  <c r="D33" i="30" a="1"/>
  <c r="B30" i="30" a="1"/>
  <c r="A23" i="30" a="1"/>
  <c r="C19" i="30" a="1"/>
  <c r="C16" i="30" a="1"/>
  <c r="B13" i="30" a="1"/>
  <c r="A10" i="30" a="1"/>
  <c r="A7" i="30" a="1"/>
  <c r="C4" i="30" a="1"/>
  <c r="B16" i="30" a="1"/>
  <c r="D9" i="30" a="1"/>
  <c r="B4" i="30" a="1"/>
  <c r="D131" i="30" a="1"/>
  <c r="B23" i="30" a="1"/>
  <c r="D137" i="30" a="1"/>
  <c r="A131" i="30" a="1"/>
  <c r="D124" i="30" a="1"/>
  <c r="C118" i="30" a="1"/>
  <c r="D111" i="30" a="1"/>
  <c r="C105" i="30" a="1"/>
  <c r="A99" i="30" a="1"/>
  <c r="D93" i="30" a="1"/>
  <c r="D88" i="30" a="1"/>
  <c r="A84" i="30" a="1"/>
  <c r="A80" i="30" a="1"/>
  <c r="B76" i="30" a="1"/>
  <c r="A69" i="30" a="1"/>
  <c r="C65" i="30" a="1"/>
  <c r="A62" i="30" a="1"/>
  <c r="C58" i="30" a="1"/>
  <c r="D54" i="30" a="1"/>
  <c r="B51" i="30" a="1"/>
  <c r="D47" i="30" a="1"/>
  <c r="B44" i="30" a="1"/>
  <c r="A37" i="30" a="1"/>
  <c r="C33" i="30" a="1"/>
  <c r="A30" i="30" a="1"/>
  <c r="C26" i="30" a="1"/>
  <c r="D22" i="30" a="1"/>
  <c r="A13" i="30" a="1"/>
  <c r="C125" i="30" a="1"/>
  <c r="C37" i="30" a="1"/>
  <c r="A137" i="30" a="1"/>
  <c r="D130" i="30" a="1"/>
  <c r="C124" i="30" a="1"/>
  <c r="D117" i="30" a="1"/>
  <c r="C111" i="30" a="1"/>
  <c r="A105" i="30" a="1"/>
  <c r="D98" i="30" a="1"/>
  <c r="C93" i="30" a="1"/>
  <c r="D83" i="30" a="1"/>
  <c r="D79" i="30" a="1"/>
  <c r="A76" i="30" a="1"/>
  <c r="C72" i="30" a="1"/>
  <c r="D68" i="30" a="1"/>
  <c r="B65" i="30" a="1"/>
  <c r="D61" i="30" a="1"/>
  <c r="B58" i="30" a="1"/>
  <c r="A51" i="30" a="1"/>
  <c r="C47" i="30" a="1"/>
  <c r="A44" i="30" a="1"/>
  <c r="C40" i="30" a="1"/>
  <c r="D36" i="30" a="1"/>
  <c r="B33" i="30" a="1"/>
  <c r="D29" i="30" a="1"/>
  <c r="B26" i="30" a="1"/>
  <c r="B19" i="30" a="1"/>
  <c r="A16" i="30" a="1"/>
  <c r="D12" i="30" a="1"/>
  <c r="C9" i="30" a="1"/>
  <c r="D6" i="30" a="1"/>
  <c r="A4" i="30" a="1"/>
  <c r="A91" i="30" a="1"/>
  <c r="C23" i="30" a="1"/>
  <c r="C106" i="30" a="1"/>
  <c r="D51" i="30" a="1"/>
  <c r="D136" i="30" a="1"/>
  <c r="C130" i="30" a="1"/>
  <c r="D123" i="30" a="1"/>
  <c r="C117" i="30" a="1"/>
  <c r="A111" i="30" a="1"/>
  <c r="D104" i="30" a="1"/>
  <c r="A93" i="30" a="1"/>
  <c r="C88" i="30" a="1"/>
  <c r="C83" i="30" a="1"/>
  <c r="C79" i="30" a="1"/>
  <c r="D75" i="30" a="1"/>
  <c r="B72" i="30" a="1"/>
  <c r="A65" i="30" a="1"/>
  <c r="C61" i="30" a="1"/>
  <c r="A58" i="30" a="1"/>
  <c r="C54" i="30" a="1"/>
  <c r="D50" i="30" a="1"/>
  <c r="B47" i="30" a="1"/>
  <c r="D43" i="30" a="1"/>
  <c r="B40" i="30" a="1"/>
  <c r="A33" i="30" a="1"/>
  <c r="C29" i="30" a="1"/>
  <c r="A26" i="30" a="1"/>
  <c r="C22" i="30" a="1"/>
  <c r="A19" i="30" a="1"/>
  <c r="D15" i="30" a="1"/>
  <c r="B12" i="30" a="1"/>
  <c r="C3" i="30" a="1"/>
  <c r="D108" i="30" a="1"/>
  <c r="A82" i="30" a="1"/>
  <c r="B67" i="30" a="1"/>
  <c r="A46" i="30" a="1"/>
  <c r="B8" i="30" a="1"/>
  <c r="B34" i="30" a="1"/>
  <c r="A73" i="30" a="1"/>
  <c r="B55" i="30" a="1"/>
  <c r="D26" i="30" a="1"/>
  <c r="C136" i="30" a="1"/>
  <c r="D129" i="30" a="1"/>
  <c r="C123" i="30" a="1"/>
  <c r="A117" i="30" a="1"/>
  <c r="D110" i="30" a="1"/>
  <c r="C104" i="30" a="1"/>
  <c r="C98" i="30" a="1"/>
  <c r="D92" i="30" a="1"/>
  <c r="D87" i="30" a="1"/>
  <c r="A83" i="30" a="1"/>
  <c r="B79" i="30" a="1"/>
  <c r="C75" i="30" a="1"/>
  <c r="A72" i="30" a="1"/>
  <c r="C68" i="30" a="1"/>
  <c r="D64" i="30" a="1"/>
  <c r="B61" i="30" a="1"/>
  <c r="D57" i="30" a="1"/>
  <c r="B54" i="30" a="1"/>
  <c r="A47" i="30" a="1"/>
  <c r="C43" i="30" a="1"/>
  <c r="A40" i="30" a="1"/>
  <c r="C36" i="30" a="1"/>
  <c r="D32" i="30" a="1"/>
  <c r="B29" i="30" a="1"/>
  <c r="D25" i="30" a="1"/>
  <c r="B22" i="30" a="1"/>
  <c r="D18" i="30" a="1"/>
  <c r="C15" i="30" a="1"/>
  <c r="C12" i="30" a="1"/>
  <c r="B9" i="30" a="1"/>
  <c r="C6" i="30" a="1"/>
  <c r="D3" i="30" a="1"/>
  <c r="B43" i="30" a="1"/>
  <c r="A29" i="30" a="1"/>
  <c r="B6" i="30" a="1"/>
  <c r="A115" i="30" a="1"/>
  <c r="D63" i="30" a="1"/>
  <c r="D17" i="30" a="1"/>
  <c r="A2" i="30" a="1"/>
  <c r="D112" i="30" a="1"/>
  <c r="D19" i="30" a="1"/>
  <c r="D135" i="30" a="1"/>
  <c r="C129" i="30" a="1"/>
  <c r="A123" i="30" a="1"/>
  <c r="D116" i="30" a="1"/>
  <c r="C110" i="30" a="1"/>
  <c r="D103" i="30" a="1"/>
  <c r="D97" i="30" a="1"/>
  <c r="C87" i="30" a="1"/>
  <c r="D82" i="30" a="1"/>
  <c r="A79" i="30" a="1"/>
  <c r="B75" i="30" a="1"/>
  <c r="D71" i="30" a="1"/>
  <c r="B68" i="30" a="1"/>
  <c r="A61" i="30" a="1"/>
  <c r="C57" i="30" a="1"/>
  <c r="A54" i="30" a="1"/>
  <c r="C50" i="30" a="1"/>
  <c r="D46" i="30" a="1"/>
  <c r="D39" i="30" a="1"/>
  <c r="B36" i="30" a="1"/>
  <c r="C25" i="30" a="1"/>
  <c r="A22" i="30" a="1"/>
  <c r="A9" i="30" a="1"/>
  <c r="C102" i="30" a="1"/>
  <c r="D70" i="30" a="1"/>
  <c r="B60" i="30" a="1"/>
  <c r="C42" i="30" a="1"/>
  <c r="B35" i="30" a="1"/>
  <c r="D44" i="30" a="1"/>
  <c r="D16" i="30" a="1"/>
  <c r="D99" i="30" a="1"/>
  <c r="D58" i="30" a="1"/>
  <c r="B7" i="30" a="1"/>
  <c r="C135" i="30" a="1"/>
  <c r="A129" i="30" a="1"/>
  <c r="D122" i="30" a="1"/>
  <c r="C116" i="30" a="1"/>
  <c r="D109" i="30" a="1"/>
  <c r="C103" i="30" a="1"/>
  <c r="C97" i="30" a="1"/>
  <c r="C92" i="30" a="1"/>
  <c r="A87" i="30" a="1"/>
  <c r="D78" i="30" a="1"/>
  <c r="A75" i="30" a="1"/>
  <c r="C71" i="30" a="1"/>
  <c r="A68" i="30" a="1"/>
  <c r="C64" i="30" a="1"/>
  <c r="D60" i="30" a="1"/>
  <c r="B57" i="30" a="1"/>
  <c r="D53" i="30" a="1"/>
  <c r="B50" i="30" a="1"/>
  <c r="A43" i="30" a="1"/>
  <c r="C39" i="30" a="1"/>
  <c r="A36" i="30" a="1"/>
  <c r="C32" i="30" a="1"/>
  <c r="D28" i="30" a="1"/>
  <c r="B25" i="30" a="1"/>
  <c r="D21" i="30" a="1"/>
  <c r="C18" i="30" a="1"/>
  <c r="B15" i="30" a="1"/>
  <c r="A12" i="30" a="1"/>
  <c r="D8" i="30" a="1"/>
  <c r="A6" i="30" a="1"/>
  <c r="D127" i="30" a="1"/>
  <c r="A78" i="30" a="1"/>
  <c r="C49" i="30" a="1"/>
  <c r="D31" i="30" a="1"/>
  <c r="C5" i="30" a="1"/>
  <c r="C13" i="30" a="1"/>
  <c r="C89" i="30" a="1"/>
  <c r="A66" i="30" a="1"/>
  <c r="A41" i="30" a="1"/>
  <c r="A135" i="30" a="1"/>
  <c r="D128" i="30" a="1"/>
  <c r="C122" i="30" a="1"/>
  <c r="D115" i="30" a="1"/>
  <c r="C109" i="30" a="1"/>
  <c r="A103" i="30" a="1"/>
  <c r="A97" i="30" a="1"/>
  <c r="D91" i="30" a="1"/>
  <c r="D86" i="30" a="1"/>
  <c r="C82" i="30" a="1"/>
  <c r="D74" i="30" a="1"/>
  <c r="B71" i="30" a="1"/>
  <c r="D67" i="30" a="1"/>
  <c r="B64" i="30" a="1"/>
  <c r="A57" i="30" a="1"/>
  <c r="C53" i="30" a="1"/>
  <c r="A50" i="30" a="1"/>
  <c r="C46" i="30" a="1"/>
  <c r="D42" i="30" a="1"/>
  <c r="B39" i="30" a="1"/>
  <c r="D35" i="30" a="1"/>
  <c r="B32" i="30" a="1"/>
  <c r="A25" i="30" a="1"/>
  <c r="C21" i="30" a="1"/>
  <c r="B18" i="30" a="1"/>
  <c r="A15" i="30" a="1"/>
  <c r="D11" i="30" a="1"/>
  <c r="B3" i="30" a="1"/>
  <c r="C128" i="30" a="1"/>
  <c r="B82" i="30" a="1"/>
  <c r="A71" i="30" a="1"/>
  <c r="A64" i="30" a="1"/>
  <c r="D56" i="30" a="1"/>
  <c r="D49" i="30" a="1"/>
  <c r="C35" i="30" a="1"/>
  <c r="A32" i="30" a="1"/>
  <c r="D24" i="30" a="1"/>
  <c r="A18" i="30" a="1"/>
  <c r="C11" i="30" a="1"/>
  <c r="D5" i="30" a="1"/>
  <c r="C134" i="30" a="1"/>
  <c r="C86" i="30" a="1"/>
  <c r="D38" i="30" a="1"/>
  <c r="A20" i="30" a="1"/>
  <c r="A119" i="30" a="1"/>
  <c r="C30" i="30" a="1"/>
  <c r="D134" i="30" a="1"/>
  <c r="D121" i="30" a="1"/>
  <c r="C115" i="30" a="1"/>
  <c r="A109" i="30" a="1"/>
  <c r="D102" i="30" a="1"/>
  <c r="D96" i="30" a="1"/>
  <c r="C91" i="30" a="1"/>
  <c r="C78" i="30" a="1"/>
  <c r="C67" i="30" a="1"/>
  <c r="C60" i="30" a="1"/>
  <c r="B53" i="30" a="1"/>
  <c r="B46" i="30" a="1"/>
  <c r="A39" i="30" a="1"/>
  <c r="C28" i="30" a="1"/>
  <c r="B21" i="30" a="1"/>
  <c r="D14" i="30" a="1"/>
  <c r="C8" i="30" a="1"/>
  <c r="A3" i="30" a="1"/>
  <c r="C121" i="30" a="1"/>
  <c r="C74" i="30" a="1"/>
  <c r="A53" i="30" a="1"/>
  <c r="B28" i="30" a="1"/>
  <c r="A27" i="30" a="1"/>
  <c r="D4" i="30" a="1"/>
  <c r="C69" i="30" a="1"/>
  <c r="B48" i="30" a="1"/>
  <c r="A21" i="30" a="1"/>
  <c r="B10" i="30" a="1"/>
  <c r="D133" i="30" a="1"/>
  <c r="C127" i="30" a="1"/>
  <c r="A121" i="30" a="1"/>
  <c r="D114" i="30" a="1"/>
  <c r="C108" i="30" a="1"/>
  <c r="D101" i="30" a="1"/>
  <c r="C96" i="30" a="1"/>
  <c r="D90" i="30" a="1"/>
  <c r="A86" i="30" a="1"/>
  <c r="D81" i="30" a="1"/>
  <c r="D77" i="30" a="1"/>
  <c r="B74" i="30" a="1"/>
  <c r="A67" i="30" a="1"/>
  <c r="C63" i="30" a="1"/>
  <c r="A60" i="30" a="1"/>
  <c r="C56" i="30" a="1"/>
  <c r="D52" i="30" a="1"/>
  <c r="B49" i="30" a="1"/>
  <c r="D45" i="30" a="1"/>
  <c r="B42" i="30" a="1"/>
  <c r="A35" i="30" a="1"/>
  <c r="C31" i="30" a="1"/>
  <c r="A28" i="30" a="1"/>
  <c r="C24" i="30" a="1"/>
  <c r="D20" i="30" a="1"/>
  <c r="C17" i="30" a="1"/>
  <c r="C14" i="30" a="1"/>
  <c r="B11" i="30" a="1"/>
  <c r="A8" i="30" a="1"/>
  <c r="D2" i="30" a="1"/>
  <c r="D119" i="30" a="1"/>
  <c r="B59" i="30" a="1"/>
  <c r="A38" i="30" a="1"/>
  <c r="B20" i="30" a="1"/>
  <c r="C119" i="30" a="1"/>
  <c r="D89" i="30" a="1"/>
  <c r="B73" i="30" a="1"/>
  <c r="A59" i="30" a="1"/>
  <c r="A52" i="30" a="1"/>
  <c r="B41" i="30" a="1"/>
  <c r="C10" i="30" a="1"/>
  <c r="A34" i="30" a="1"/>
  <c r="C133" i="30" a="1"/>
  <c r="A127" i="30" a="1"/>
  <c r="D120" i="30" a="1"/>
  <c r="C114" i="30" a="1"/>
  <c r="D107" i="30" a="1"/>
  <c r="C101" i="30" a="1"/>
  <c r="D95" i="30" a="1"/>
  <c r="D85" i="30" a="1"/>
  <c r="C81" i="30" a="1"/>
  <c r="C77" i="30" a="1"/>
  <c r="A74" i="30" a="1"/>
  <c r="C70" i="30" a="1"/>
  <c r="D66" i="30" a="1"/>
  <c r="B63" i="30" a="1"/>
  <c r="D59" i="30" a="1"/>
  <c r="B56" i="30" a="1"/>
  <c r="A49" i="30" a="1"/>
  <c r="C45" i="30" a="1"/>
  <c r="A42" i="30" a="1"/>
  <c r="C38" i="30" a="1"/>
  <c r="D34" i="30" a="1"/>
  <c r="B31" i="30" a="1"/>
  <c r="D27" i="30" a="1"/>
  <c r="B24" i="30" a="1"/>
  <c r="B14" i="30" a="1"/>
  <c r="A11" i="30" a="1"/>
  <c r="B5" i="30" a="1"/>
  <c r="C2" i="30" a="1"/>
  <c r="C126" i="30" a="1"/>
  <c r="A107" i="30" a="1"/>
  <c r="D100" i="30" a="1"/>
  <c r="A90" i="30" a="1"/>
  <c r="A81" i="30" a="1"/>
  <c r="C73" i="30" a="1"/>
  <c r="C66" i="30" a="1"/>
  <c r="D55" i="30" a="1"/>
  <c r="C41" i="30" a="1"/>
  <c r="D30" i="30" a="1"/>
  <c r="D23" i="30" a="1"/>
  <c r="D13" i="30" a="1"/>
  <c r="C7" i="30" a="1"/>
  <c r="C132" i="30" a="1"/>
  <c r="D106" i="30" a="1"/>
  <c r="D94" i="30" a="1"/>
  <c r="D80" i="30" a="1"/>
  <c r="D69" i="30" a="1"/>
  <c r="B66" i="30" a="1"/>
  <c r="C55" i="30" a="1"/>
  <c r="C48" i="30" a="1"/>
  <c r="D37" i="30" a="1"/>
  <c r="C62" i="30" a="1"/>
  <c r="A133" i="30" a="1"/>
  <c r="D126" i="30" a="1"/>
  <c r="C120" i="30" a="1"/>
  <c r="D113" i="30" a="1"/>
  <c r="C107" i="30" a="1"/>
  <c r="A101" i="30" a="1"/>
  <c r="C95" i="30" a="1"/>
  <c r="C90" i="30" a="1"/>
  <c r="C85" i="30" a="1"/>
  <c r="B81" i="30" a="1"/>
  <c r="B77" i="30" a="1"/>
  <c r="D73" i="30" a="1"/>
  <c r="B70" i="30" a="1"/>
  <c r="A63" i="30" a="1"/>
  <c r="C59" i="30" a="1"/>
  <c r="A56" i="30" a="1"/>
  <c r="C52" i="30" a="1"/>
  <c r="D48" i="30" a="1"/>
  <c r="B45" i="30" a="1"/>
  <c r="D41" i="30" a="1"/>
  <c r="B38" i="30" a="1"/>
  <c r="A31" i="30" a="1"/>
  <c r="C27" i="30" a="1"/>
  <c r="A24" i="30" a="1"/>
  <c r="C20" i="30" a="1"/>
  <c r="B17" i="30" a="1"/>
  <c r="A14" i="30" a="1"/>
  <c r="D10" i="30" a="1"/>
  <c r="D7" i="30" a="1"/>
  <c r="A5" i="30" a="1"/>
  <c r="D132" i="30" a="1"/>
  <c r="C113" i="30" a="1"/>
  <c r="A95" i="30" a="1"/>
  <c r="A85" i="30" a="1"/>
  <c r="A77" i="30" a="1"/>
  <c r="A70" i="30" a="1"/>
  <c r="D62" i="30" a="1"/>
  <c r="B52" i="30" a="1"/>
  <c r="A45" i="30" a="1"/>
  <c r="C34" i="30" a="1"/>
  <c r="B27" i="30" a="1"/>
  <c r="A17" i="30" a="1"/>
  <c r="B2" i="30" a="1"/>
  <c r="D125" i="30" a="1"/>
  <c r="A113" i="30" a="1"/>
  <c r="C100" i="30" a="1"/>
  <c r="D84" i="30" a="1"/>
  <c r="D76" i="30" a="1"/>
  <c r="E27" i="32" a="1"/>
  <c r="E133" i="34" a="1"/>
  <c r="A157" i="37" a="1"/>
  <c r="E83" i="34" a="1"/>
  <c r="B128" i="37" a="1"/>
  <c r="C97" i="36" a="1"/>
  <c r="C64" i="34" a="1"/>
  <c r="B125" i="34" a="1"/>
  <c r="E29" i="30" a="1"/>
  <c r="E21" i="33" a="1"/>
  <c r="B66" i="37" a="1"/>
  <c r="A109" i="35" a="1"/>
  <c r="C3" i="35" a="1"/>
  <c r="B22" i="36" a="1"/>
  <c r="C122" i="36" a="1"/>
  <c r="D98" i="31" a="1"/>
  <c r="E12" i="35" a="1"/>
  <c r="E22" i="35" a="1"/>
  <c r="E157" i="33" a="1"/>
  <c r="E135" i="32" a="1"/>
  <c r="D103" i="34" a="1"/>
  <c r="C76" i="37" a="1"/>
  <c r="E116" i="34" a="1"/>
  <c r="C4" i="37" a="1"/>
  <c r="E48" i="33" a="1"/>
  <c r="C144" i="36" a="1"/>
  <c r="E16" i="37" a="1"/>
  <c r="B24" i="36" a="1"/>
  <c r="C149" i="34" a="1"/>
  <c r="A97" i="36" a="1"/>
  <c r="E23" i="35" a="1"/>
  <c r="A12" i="36" a="1"/>
  <c r="B155" i="35" a="1"/>
  <c r="E109" i="35" a="1"/>
  <c r="A18" i="35" a="1"/>
  <c r="E63" i="33" a="1"/>
  <c r="E91" i="34" a="1"/>
  <c r="D152" i="34" a="1"/>
  <c r="B35" i="36" a="1"/>
  <c r="E34" i="37" a="1"/>
  <c r="C73" i="37" a="1"/>
  <c r="E122" i="35" a="1"/>
  <c r="C146" i="36" a="1"/>
  <c r="E81" i="37" a="1"/>
  <c r="A13" i="33" a="1"/>
  <c r="E8" i="31" a="1"/>
  <c r="C41" i="33" a="1"/>
  <c r="E70" i="32" a="1"/>
  <c r="E54" i="35" a="1"/>
  <c r="D66" i="32" a="1"/>
  <c r="E148" i="36" a="1"/>
  <c r="C16" i="36" a="1"/>
  <c r="D18" i="33" a="1"/>
  <c r="B38" i="34" a="1"/>
  <c r="E99" i="32" a="1"/>
  <c r="C139" i="36" a="1"/>
  <c r="E105" i="35" a="1"/>
  <c r="A62" i="35" a="1"/>
  <c r="D69" i="34" a="1"/>
  <c r="B105" i="35" a="1"/>
  <c r="A16" i="37" a="1"/>
  <c r="A74" i="34" a="1"/>
  <c r="A141" i="34" a="1"/>
  <c r="E94" i="34" a="1"/>
  <c r="A60" i="36" a="1"/>
  <c r="E55" i="32" a="1"/>
  <c r="B148" i="33" a="1"/>
  <c r="C140" i="32" a="1"/>
  <c r="C118" i="37" a="1"/>
  <c r="E35" i="31" a="1"/>
  <c r="C146" i="34" a="1"/>
  <c r="E93" i="30" a="1"/>
  <c r="B29" i="36" a="1"/>
  <c r="E158" i="32" a="1"/>
  <c r="E70" i="37" a="1"/>
  <c r="B123" i="35" a="1"/>
  <c r="E42" i="32" a="1"/>
  <c r="C99" i="34" a="1"/>
  <c r="E81" i="32" a="1"/>
  <c r="C23" i="37" a="1"/>
  <c r="D156" i="35" a="1"/>
  <c r="C27" i="35" a="1"/>
  <c r="E27" i="33" a="1"/>
  <c r="B113" i="37" a="1"/>
  <c r="C110" i="37" a="1"/>
  <c r="D95" i="33" a="1"/>
  <c r="B8" i="36" a="1"/>
  <c r="E98" i="34" a="1"/>
  <c r="B4" i="37" a="1"/>
  <c r="C74" i="36" a="1"/>
  <c r="B146" i="37" a="1"/>
  <c r="E99" i="31" a="1"/>
  <c r="A132" i="35" a="1"/>
  <c r="B4" i="36" a="1"/>
  <c r="A2" i="32" a="1"/>
  <c r="B72" i="31" a="1"/>
  <c r="E33" i="36" a="1"/>
  <c r="B51" i="33" a="1"/>
  <c r="A84" i="37" a="1"/>
  <c r="E89" i="31" a="1"/>
  <c r="D77" i="36" a="1"/>
  <c r="D81" i="37" a="1"/>
  <c r="A79" i="34" a="1"/>
  <c r="E152" i="36" a="1"/>
  <c r="E36" i="37" a="1"/>
  <c r="E146" i="32" a="1"/>
  <c r="A124" i="36" a="1"/>
  <c r="B158" i="36" a="1"/>
  <c r="E129" i="31" a="1"/>
  <c r="D37" i="36" a="1"/>
  <c r="E6" i="36" a="1"/>
  <c r="E124" i="33" a="1"/>
  <c r="C67" i="34" a="1"/>
  <c r="B132" i="34" a="1"/>
  <c r="A146" i="37" a="1"/>
  <c r="D53" i="33" a="1"/>
  <c r="E143" i="34" a="1"/>
  <c r="B114" i="35" a="1"/>
  <c r="B69" i="36" a="1"/>
  <c r="E51" i="37" a="1"/>
  <c r="C137" i="34" a="1"/>
  <c r="E151" i="36" a="1"/>
  <c r="E134" i="31" a="1"/>
  <c r="B75" i="33" a="1"/>
  <c r="E18" i="32" a="1"/>
  <c r="E91" i="32" a="1"/>
  <c r="E141" i="37" a="1"/>
  <c r="A58" i="35" a="1"/>
  <c r="E130" i="35" a="1"/>
  <c r="E25" i="32" a="1"/>
  <c r="A114" i="33" a="1"/>
  <c r="C111" i="34" a="1"/>
  <c r="D59" i="33" a="1"/>
  <c r="E138" i="32" a="1"/>
  <c r="A2" i="36" a="1"/>
  <c r="D48" i="37" a="1"/>
  <c r="C139" i="37" a="1"/>
  <c r="B102" i="36" a="1"/>
  <c r="C5" i="35" a="1"/>
  <c r="E82" i="36" a="1"/>
  <c r="D153" i="37" a="1"/>
  <c r="D120" i="37" a="1"/>
  <c r="E23" i="37" a="1"/>
  <c r="A124" i="37" a="1"/>
  <c r="D139" i="37" a="1"/>
  <c r="D102" i="33" a="1"/>
  <c r="A115" i="34" a="1"/>
  <c r="D33" i="37" a="1"/>
  <c r="A58" i="36" a="1"/>
  <c r="D30" i="32" a="1"/>
  <c r="E101" i="34" a="1"/>
  <c r="E73" i="36" a="1"/>
  <c r="C87" i="37" a="1"/>
  <c r="D54" i="36" a="1"/>
  <c r="B65" i="35" a="1"/>
  <c r="B62" i="32" a="1"/>
  <c r="E37" i="33" a="1"/>
  <c r="E106" i="32" a="1"/>
  <c r="B133" i="36" a="1"/>
  <c r="A105" i="35" a="1"/>
  <c r="C53" i="37" a="1"/>
  <c r="D84" i="37" a="1"/>
  <c r="B87" i="32" a="1"/>
  <c r="D81" i="34" a="1"/>
  <c r="A127" i="37" a="1"/>
  <c r="E158" i="31" a="1"/>
  <c r="C82" i="37" a="1"/>
  <c r="D58" i="35" a="1"/>
  <c r="A80" i="37" a="1"/>
  <c r="C116" i="32" a="1"/>
  <c r="C153" i="35" a="1"/>
  <c r="E95" i="37" a="1"/>
  <c r="D108" i="35" a="1"/>
  <c r="B33" i="37" a="1"/>
  <c r="A13" i="35" a="1"/>
  <c r="E91" i="31" a="1"/>
  <c r="E127" i="31" a="1"/>
  <c r="E133" i="35" a="1"/>
  <c r="B58" i="31" a="1"/>
  <c r="C108" i="37" a="1"/>
  <c r="A15" i="35" a="1"/>
  <c r="B12" i="32" a="1"/>
  <c r="C85" i="36" a="1"/>
  <c r="D113" i="36" a="1"/>
  <c r="E112" i="33" a="1"/>
  <c r="D36" i="35" a="1"/>
  <c r="E24" i="31" a="1"/>
  <c r="C78" i="37" a="1"/>
  <c r="E53" i="35" a="1"/>
  <c r="E65" i="33" a="1"/>
  <c r="A137" i="36" a="1"/>
  <c r="E155" i="34" a="1"/>
  <c r="C86" i="37" a="1"/>
  <c r="B40" i="33" a="1"/>
  <c r="A60" i="33" a="1"/>
  <c r="A96" i="35" a="1"/>
  <c r="A33" i="36" a="1"/>
  <c r="E149" i="31" a="1"/>
  <c r="E121" i="37" a="1"/>
  <c r="D149" i="37" a="1"/>
  <c r="A152" i="33" a="1"/>
  <c r="C95" i="36" a="1"/>
  <c r="E29" i="37" a="1"/>
  <c r="B8" i="35" a="1"/>
  <c r="C40" i="34" a="1"/>
  <c r="C19" i="37" a="1"/>
  <c r="E110" i="37" a="1"/>
  <c r="B21" i="37" a="1"/>
  <c r="B120" i="36" a="1"/>
  <c r="D99" i="34" a="1"/>
  <c r="B20" i="32" a="1"/>
  <c r="D137" i="36" a="1"/>
  <c r="D114" i="37" a="1"/>
  <c r="E5" i="36" a="1"/>
  <c r="E90" i="30" a="1"/>
  <c r="C28" i="37" a="1"/>
  <c r="E6" i="35" a="1"/>
  <c r="C14" i="37" a="1"/>
  <c r="D17" i="34" a="1"/>
  <c r="D21" i="34" a="1"/>
  <c r="B48" i="32" a="1"/>
  <c r="E89" i="36" a="1"/>
  <c r="E125" i="35" a="1"/>
  <c r="E119" i="35" a="1"/>
  <c r="E110" i="36" a="1"/>
  <c r="E141" i="34" a="1"/>
  <c r="C124" i="34" a="1"/>
  <c r="C133" i="35" a="1"/>
  <c r="B16" i="31" a="1"/>
  <c r="C128" i="36" a="1"/>
  <c r="A20" i="36" a="1"/>
  <c r="D83" i="36" a="1"/>
  <c r="D22" i="36" a="1"/>
  <c r="C140" i="37" a="1"/>
  <c r="A104" i="37" a="1"/>
  <c r="A23" i="32" a="1"/>
  <c r="B115" i="36" a="1"/>
  <c r="B115" i="34" a="1"/>
  <c r="A101" i="34" a="1"/>
  <c r="B100" i="35" a="1"/>
  <c r="C127" i="37" a="1"/>
  <c r="B137" i="34" a="1"/>
  <c r="B117" i="32" a="1"/>
  <c r="B45" i="37" a="1"/>
  <c r="E106" i="37" a="1"/>
  <c r="E64" i="32" a="1"/>
  <c r="D109" i="33" a="1"/>
  <c r="E133" i="33" a="1"/>
  <c r="E9" i="34" a="1"/>
  <c r="A157" i="36" a="1"/>
  <c r="C108" i="34" a="1"/>
  <c r="E13" i="37" a="1"/>
  <c r="B109" i="36" a="1"/>
  <c r="D132" i="37" a="1"/>
  <c r="E65" i="35" a="1"/>
  <c r="A96" i="37" a="1"/>
  <c r="E83" i="31" a="1"/>
  <c r="E44" i="37" a="1"/>
  <c r="D132" i="34" a="1"/>
  <c r="D98" i="33" a="1"/>
  <c r="B68" i="36" a="1"/>
  <c r="E8" i="33" a="1"/>
  <c r="B32" i="36" a="1"/>
  <c r="C66" i="36" a="1"/>
  <c r="D48" i="36" a="1"/>
  <c r="D23" i="37" a="1"/>
  <c r="A77" i="37" a="1"/>
  <c r="A156" i="37" a="1"/>
  <c r="D113" i="37" a="1"/>
  <c r="B116" i="33" a="1"/>
  <c r="A32" i="37" a="1"/>
  <c r="E92" i="36" a="1"/>
  <c r="C131" i="36" a="1"/>
  <c r="C12" i="37" a="1"/>
  <c r="B67" i="37" a="1"/>
  <c r="C45" i="37" a="1"/>
  <c r="B157" i="37" a="1"/>
  <c r="D80" i="35" a="1"/>
  <c r="B6" i="35" a="1"/>
  <c r="E135" i="34" a="1"/>
  <c r="E137" i="35" a="1"/>
  <c r="D32" i="34" a="1"/>
  <c r="E28" i="37" a="1"/>
  <c r="C140" i="35" a="1"/>
  <c r="D69" i="32" a="1"/>
  <c r="E136" i="35" a="1"/>
  <c r="A75" i="34" a="1"/>
  <c r="A23" i="35" a="1"/>
  <c r="C142" i="36" a="1"/>
  <c r="C128" i="37" a="1"/>
  <c r="E81" i="36" a="1"/>
  <c r="B54" i="35" a="1"/>
  <c r="E131" i="35" a="1"/>
  <c r="E79" i="34" a="1"/>
  <c r="C146" i="37" a="1"/>
  <c r="A16" i="35" a="1"/>
  <c r="E129" i="30" a="1"/>
  <c r="E117" i="35" a="1"/>
  <c r="E115" i="31" a="1"/>
  <c r="D28" i="32" a="1"/>
  <c r="E79" i="32" a="1"/>
  <c r="E112" i="31" a="1"/>
  <c r="E15" i="31" a="1"/>
  <c r="E72" i="36" a="1"/>
  <c r="B104" i="35" a="1"/>
  <c r="E37" i="36" a="1"/>
  <c r="C22" i="37" a="1"/>
  <c r="C81" i="35" a="1"/>
  <c r="B101" i="37" a="1"/>
  <c r="C41" i="36" a="1"/>
  <c r="A139" i="37" a="1"/>
  <c r="E113" i="34" a="1"/>
  <c r="A88" i="37" a="1"/>
  <c r="C77" i="37" a="1"/>
  <c r="E45" i="36" a="1"/>
  <c r="E123" i="37" a="1"/>
  <c r="D148" i="34" a="1"/>
  <c r="E153" i="33" a="1"/>
  <c r="A89" i="37" a="1"/>
  <c r="E113" i="32" a="1"/>
  <c r="B11" i="33" a="1"/>
  <c r="D56" i="34" a="1"/>
  <c r="C52" i="35" a="1"/>
  <c r="E63" i="34" a="1"/>
  <c r="D137" i="35" a="1"/>
  <c r="A55" i="35" a="1"/>
  <c r="D43" i="35" a="1"/>
  <c r="E33" i="34" a="1"/>
  <c r="E118" i="33" a="1"/>
  <c r="E147" i="32" a="1"/>
  <c r="A125" i="37" a="1"/>
  <c r="E10" i="36" a="1"/>
  <c r="A26" i="37" a="1"/>
  <c r="D99" i="35" a="1"/>
  <c r="B46" i="36" a="1"/>
  <c r="C114" i="33" a="1"/>
  <c r="B141" i="35" a="1"/>
  <c r="C49" i="37" a="1"/>
  <c r="C138" i="36" a="1"/>
  <c r="D151" i="36" a="1"/>
  <c r="D29" i="36" a="1"/>
  <c r="C11" i="37" a="1"/>
  <c r="A83" i="33" a="1"/>
  <c r="D12" i="34" a="1"/>
  <c r="B84" i="36" a="1"/>
  <c r="E69" i="33" a="1"/>
  <c r="E53" i="37" a="1"/>
  <c r="A123" i="36" a="1"/>
  <c r="E148" i="34" a="1"/>
  <c r="A130" i="31" a="1"/>
  <c r="E108" i="34" a="1"/>
  <c r="B32" i="33" a="1"/>
  <c r="A122" i="33" a="1"/>
  <c r="E146" i="31" a="1"/>
  <c r="B35" i="35" a="1"/>
  <c r="B32" i="34" a="1"/>
  <c r="D38" i="37" a="1"/>
  <c r="D26" i="31" a="1"/>
  <c r="C64" i="36" a="1"/>
  <c r="A87" i="32" a="1"/>
  <c r="B91" i="36" a="1"/>
  <c r="A70" i="34" a="1"/>
  <c r="E116" i="32" a="1"/>
  <c r="C48" i="37" a="1"/>
  <c r="A49" i="35" a="1"/>
  <c r="B151" i="34" a="1"/>
  <c r="E133" i="36" a="1"/>
  <c r="D9" i="33" a="1"/>
  <c r="B53" i="34" a="1"/>
  <c r="A28" i="37" a="1"/>
  <c r="B141" i="37" a="1"/>
  <c r="D51" i="36" a="1"/>
  <c r="B119" i="35" a="1"/>
  <c r="D133" i="36" a="1"/>
  <c r="D45" i="37" a="1"/>
  <c r="E137" i="37" a="1"/>
  <c r="A3" i="33" a="1"/>
  <c r="E134" i="37" a="1"/>
  <c r="E54" i="34" a="1"/>
  <c r="B42" i="37" a="1"/>
  <c r="E87" i="34" a="1"/>
  <c r="C12" i="34" a="1"/>
  <c r="D44" i="36" a="1"/>
  <c r="D53" i="34" a="1"/>
  <c r="B135" i="34" a="1"/>
  <c r="E110" i="31" a="1"/>
  <c r="E83" i="36" a="1"/>
  <c r="E34" i="34" a="1"/>
  <c r="B74" i="36" a="1"/>
  <c r="D80" i="37" a="1"/>
  <c r="B92" i="36" a="1"/>
  <c r="C77" i="36" a="1"/>
  <c r="E6" i="37" a="1"/>
  <c r="C62" i="33" a="1"/>
  <c r="D24" i="35" a="1"/>
  <c r="E124" i="36" a="1"/>
  <c r="E116" i="37" a="1"/>
  <c r="E124" i="32" a="1"/>
  <c r="E126" i="33" a="1"/>
  <c r="B109" i="35" a="1"/>
  <c r="A116" i="35" a="1"/>
  <c r="E3" i="33" a="1"/>
  <c r="C119" i="37" a="1"/>
  <c r="E60" i="34" a="1"/>
  <c r="E40" i="35" a="1"/>
  <c r="D2" i="37" a="1"/>
  <c r="E20" i="35" a="1"/>
  <c r="C95" i="33" a="1"/>
  <c r="D78" i="36" a="1"/>
  <c r="C130" i="33" a="1"/>
  <c r="E135" i="35" a="1"/>
  <c r="A93" i="35" a="1"/>
  <c r="B25" i="32" a="1"/>
  <c r="A116" i="37" a="1"/>
  <c r="D117" i="36" a="1"/>
  <c r="E150" i="33" a="1"/>
  <c r="D18" i="37" a="1"/>
  <c r="B47" i="36" a="1"/>
  <c r="B111" i="37" a="1"/>
  <c r="A85" i="33" a="1"/>
  <c r="E19" i="37" a="1"/>
  <c r="B109" i="33" a="1"/>
  <c r="D3" i="33" a="1"/>
  <c r="E11" i="34" a="1"/>
  <c r="B77" i="35" a="1"/>
  <c r="A37" i="36" a="1"/>
  <c r="E140" i="33" a="1"/>
  <c r="D66" i="36" a="1"/>
  <c r="E43" i="31" a="1"/>
  <c r="B145" i="37" a="1"/>
  <c r="E46" i="37" a="1"/>
  <c r="B134" i="34" a="1"/>
  <c r="B15" i="32" a="1"/>
  <c r="A145" i="35" a="1"/>
  <c r="E56" i="37" a="1"/>
  <c r="A138" i="37" a="1"/>
  <c r="A98" i="36" a="1"/>
  <c r="E153" i="35" a="1"/>
  <c r="E118" i="36" a="1"/>
  <c r="D41" i="36" a="1"/>
  <c r="D20" i="36" a="1"/>
  <c r="D28" i="36" a="1"/>
  <c r="E106" i="33" a="1"/>
  <c r="C110" i="34" a="1"/>
  <c r="E44" i="36" a="1"/>
  <c r="B20" i="37" a="1"/>
  <c r="D80" i="34" a="1"/>
  <c r="E23" i="31" a="1"/>
  <c r="B14" i="37" a="1"/>
  <c r="C113" i="34" a="1"/>
  <c r="C60" i="35" a="1"/>
  <c r="E4" i="31" a="1"/>
  <c r="B124" i="37" a="1"/>
  <c r="E90" i="36" a="1"/>
  <c r="D20" i="37" a="1"/>
  <c r="D6" i="34" a="1"/>
  <c r="D88" i="31" a="1"/>
  <c r="C5" i="37" a="1"/>
  <c r="D5" i="34" a="1"/>
  <c r="E75" i="35" a="1"/>
  <c r="E126" i="37" a="1"/>
  <c r="E143" i="36" a="1"/>
  <c r="B46" i="31" a="1"/>
  <c r="D158" i="37" a="1"/>
  <c r="D44" i="37" a="1"/>
  <c r="A90" i="34" a="1"/>
  <c r="E139" i="35" a="1"/>
  <c r="C42" i="35" a="1"/>
  <c r="C95" i="37" a="1"/>
  <c r="E21" i="36" a="1"/>
  <c r="B52" i="33" a="1"/>
  <c r="A124" i="35" a="1"/>
  <c r="E108" i="32" a="1"/>
  <c r="C133" i="36" a="1"/>
  <c r="D149" i="36" a="1"/>
  <c r="B141" i="36" a="1"/>
  <c r="E127" i="35" a="1"/>
  <c r="D21" i="37" a="1"/>
  <c r="A27" i="34" a="1"/>
  <c r="D40" i="36" a="1"/>
  <c r="C152" i="34" a="1"/>
  <c r="D122" i="35" a="1"/>
  <c r="C62" i="34" a="1"/>
  <c r="B27" i="37" a="1"/>
  <c r="C58" i="35" a="1"/>
  <c r="E51" i="31" a="1"/>
  <c r="B121" i="37" a="1"/>
  <c r="B153" i="36" a="1"/>
  <c r="E38" i="34" a="1"/>
  <c r="D97" i="37" a="1"/>
  <c r="C71" i="36" a="1"/>
  <c r="A54" i="35" a="1"/>
  <c r="E35" i="33" a="1"/>
  <c r="B131" i="35" a="1"/>
  <c r="D16" i="36" a="1"/>
  <c r="B127" i="34" a="1"/>
  <c r="E21" i="31" a="1"/>
  <c r="D146" i="33" a="1"/>
  <c r="D135" i="31" a="1"/>
  <c r="B108" i="35" a="1"/>
  <c r="B5" i="36" a="1"/>
  <c r="E51" i="33" a="1"/>
  <c r="A113" i="33" a="1"/>
  <c r="A47" i="37" a="1"/>
  <c r="C25" i="32" a="1"/>
  <c r="E75" i="36" a="1"/>
  <c r="E19" i="32" a="1"/>
  <c r="E79" i="33" a="1"/>
  <c r="C96" i="35" a="1"/>
  <c r="C82" i="34" a="1"/>
  <c r="A120" i="37" a="1"/>
  <c r="C24" i="33" a="1"/>
  <c r="B125" i="35" a="1"/>
  <c r="B35" i="37" a="1"/>
  <c r="C80" i="33" a="1"/>
  <c r="A101" i="35" a="1"/>
  <c r="E36" i="33" a="1"/>
  <c r="D34" i="36" a="1"/>
  <c r="C148" i="32" a="1"/>
  <c r="C103" i="35" a="1"/>
  <c r="E43" i="34" a="1"/>
  <c r="D70" i="34" a="1"/>
  <c r="B155" i="32" a="1"/>
  <c r="E61" i="36" a="1"/>
  <c r="D13" i="37" a="1"/>
  <c r="C129" i="32" a="1"/>
  <c r="E47" i="33" a="1"/>
  <c r="D148" i="32" a="1"/>
  <c r="C132" i="36" a="1"/>
  <c r="B70" i="34" a="1"/>
  <c r="B31" i="33" a="1"/>
  <c r="C43" i="35" a="1"/>
  <c r="E62" i="35" a="1"/>
  <c r="A58" i="33" a="1"/>
  <c r="E130" i="34" a="1"/>
  <c r="D102" i="37" a="1"/>
  <c r="C42" i="37" a="1"/>
  <c r="C15" i="33" a="1"/>
  <c r="E129" i="32" a="1"/>
  <c r="C100" i="37" a="1"/>
  <c r="B114" i="33" a="1"/>
  <c r="E81" i="34" a="1"/>
  <c r="D62" i="34" a="1"/>
  <c r="B71" i="35" a="1"/>
  <c r="B147" i="34" a="1"/>
  <c r="D115" i="36" a="1"/>
  <c r="E45" i="33" a="1"/>
  <c r="E154" i="34" a="1"/>
  <c r="C26" i="32" a="1"/>
  <c r="E128" i="31" a="1"/>
  <c r="E96" i="34" a="1"/>
  <c r="D88" i="37" a="1"/>
  <c r="D116" i="35" a="1"/>
  <c r="B127" i="32" a="1"/>
  <c r="C89" i="32" a="1"/>
  <c r="B110" i="36" a="1"/>
  <c r="E19" i="36" a="1"/>
  <c r="D136" i="35" a="1"/>
  <c r="E55" i="34" a="1"/>
  <c r="E97" i="37" a="1"/>
  <c r="E76" i="36" a="1"/>
  <c r="A87" i="37" a="1"/>
  <c r="A109" i="34" a="1"/>
  <c r="C122" i="31" a="1"/>
  <c r="E14" i="32" a="1"/>
  <c r="E84" i="32" a="1"/>
  <c r="A135" i="37" a="1"/>
  <c r="E154" i="36" a="1"/>
  <c r="E39" i="37" a="1"/>
  <c r="D26" i="34" a="1"/>
  <c r="C4" i="36" a="1"/>
  <c r="B130" i="36" a="1"/>
  <c r="C13" i="37" a="1"/>
  <c r="C37" i="35" a="1"/>
  <c r="B114" i="37" a="1"/>
  <c r="E87" i="32" a="1"/>
  <c r="B4" i="35" a="1"/>
  <c r="E122" i="33" a="1"/>
  <c r="C145" i="32" a="1"/>
  <c r="E52" i="36" a="1"/>
  <c r="C156" i="36" a="1"/>
  <c r="C82" i="33" a="1"/>
  <c r="D10" i="33" a="1"/>
  <c r="E66" i="35" a="1"/>
  <c r="D58" i="36" a="1"/>
  <c r="E17" i="32" a="1"/>
  <c r="D88" i="33" a="1"/>
  <c r="D89" i="35" a="1"/>
  <c r="E103" i="36" a="1"/>
  <c r="A83" i="37" a="1"/>
  <c r="E117" i="37" a="1"/>
  <c r="D118" i="33" a="1"/>
  <c r="E46" i="30" a="1"/>
  <c r="D118" i="37" a="1"/>
  <c r="E144" i="35" a="1"/>
  <c r="C61" i="33" a="1"/>
  <c r="A19" i="37" a="1"/>
  <c r="A147" i="33" a="1"/>
  <c r="E88" i="34" a="1"/>
  <c r="E141" i="31" a="1"/>
  <c r="C137" i="35" a="1"/>
  <c r="E57" i="34" a="1"/>
  <c r="A122" i="35" a="1"/>
  <c r="A115" i="36" a="1"/>
  <c r="A28" i="35" a="1"/>
  <c r="C102" i="37" a="1"/>
  <c r="A38" i="36" a="1"/>
  <c r="E64" i="33" a="1"/>
  <c r="E54" i="31" a="1"/>
  <c r="C134" i="36" a="1"/>
  <c r="A73" i="36" a="1"/>
  <c r="D8" i="37" a="1"/>
  <c r="A30" i="34" a="1"/>
  <c r="E49" i="34" a="1"/>
  <c r="A139" i="36" a="1"/>
  <c r="E11" i="33" a="1"/>
  <c r="A154" i="35" a="1"/>
  <c r="E80" i="34" a="1"/>
  <c r="E65" i="31" a="1"/>
  <c r="A95" i="34" a="1"/>
  <c r="E13" i="34" a="1"/>
  <c r="D69" i="35" a="1"/>
  <c r="E12" i="32" a="1"/>
  <c r="A92" i="37" a="1"/>
  <c r="A141" i="36" a="1"/>
  <c r="E78" i="37" a="1"/>
  <c r="C142" i="37" a="1"/>
  <c r="E111" i="35" a="1"/>
  <c r="E146" i="36" a="1"/>
  <c r="E103" i="37" a="1"/>
  <c r="E33" i="33" a="1"/>
  <c r="D29" i="35" a="1"/>
  <c r="A100" i="36" a="1"/>
  <c r="E37" i="31" a="1"/>
  <c r="E108" i="37" a="1"/>
  <c r="C129" i="37" a="1"/>
  <c r="E127" i="32" a="1"/>
  <c r="E18" i="35" a="1"/>
  <c r="E51" i="34" a="1"/>
  <c r="A134" i="33" a="1"/>
  <c r="B43" i="35" a="1"/>
  <c r="D82" i="34" a="1"/>
  <c r="B44" i="37" a="1"/>
  <c r="C3" i="36" a="1"/>
  <c r="B149" i="34" a="1"/>
  <c r="D78" i="37" a="1"/>
  <c r="E23" i="32" a="1"/>
  <c r="C56" i="36" a="1"/>
  <c r="E65" i="36" a="1"/>
  <c r="C15" i="36" a="1"/>
  <c r="E155" i="31" a="1"/>
  <c r="E111" i="34" a="1"/>
  <c r="E49" i="31" a="1"/>
  <c r="E47" i="31" a="1"/>
  <c r="D22" i="37" a="1"/>
  <c r="E36" i="31" a="1"/>
  <c r="E67" i="36" a="1"/>
  <c r="E10" i="33" a="1"/>
  <c r="D80" i="32" a="1"/>
  <c r="E141" i="35" a="1"/>
  <c r="A136" i="34" a="1"/>
  <c r="B84" i="35" a="1"/>
  <c r="E110" i="34" a="1"/>
  <c r="A100" i="34" a="1"/>
  <c r="E32" i="34" a="1"/>
  <c r="E132" i="31" a="1"/>
  <c r="C80" i="34" a="1"/>
  <c r="D50" i="33" a="1"/>
  <c r="C49" i="34" a="1"/>
  <c r="E102" i="31" a="1"/>
  <c r="E53" i="32" a="1"/>
  <c r="B127" i="36" a="1"/>
  <c r="A71" i="33" a="1"/>
  <c r="E97" i="32" a="1"/>
  <c r="C61" i="34" a="1"/>
  <c r="C60" i="37" a="1"/>
  <c r="E41" i="32" a="1"/>
  <c r="E43" i="35" a="1"/>
  <c r="C143" i="34" a="1"/>
  <c r="D127" i="34" a="1"/>
  <c r="A121" i="36" a="1"/>
  <c r="A31" i="34" a="1"/>
  <c r="D5" i="37" a="1"/>
  <c r="C11" i="36" a="1"/>
  <c r="E47" i="37" a="1"/>
  <c r="B152" i="37" a="1"/>
  <c r="B48" i="31" a="1"/>
  <c r="E58" i="31" a="1"/>
  <c r="C6" i="36" a="1"/>
  <c r="B140" i="35" a="1"/>
  <c r="B85" i="36" a="1"/>
  <c r="B86" i="37" a="1"/>
  <c r="C102" i="35" a="1"/>
  <c r="E134" i="35" a="1"/>
  <c r="A69" i="37" a="1"/>
  <c r="A150" i="31" a="1"/>
  <c r="A110" i="36" a="1"/>
  <c r="E70" i="30" a="1"/>
  <c r="D10" i="35" a="1"/>
  <c r="E140" i="37" a="1"/>
  <c r="A82" i="35" a="1"/>
  <c r="D104" i="34" a="1"/>
  <c r="E63" i="32" a="1"/>
  <c r="A73" i="37" a="1"/>
  <c r="C107" i="31" a="1"/>
  <c r="C103" i="36" a="1"/>
  <c r="B120" i="34" a="1"/>
  <c r="A158" i="36" a="1"/>
  <c r="E37" i="37" a="1"/>
  <c r="D119" i="33" a="1"/>
  <c r="B55" i="37" a="1"/>
  <c r="B16" i="33" a="1"/>
  <c r="C130" i="34" a="1"/>
  <c r="D11" i="36" a="1"/>
  <c r="A54" i="32" a="1"/>
  <c r="B19" i="37" a="1"/>
  <c r="E115" i="36" a="1"/>
  <c r="A3" i="34" a="1"/>
  <c r="A141" i="37" a="1"/>
  <c r="D59" i="34" a="1"/>
  <c r="A43" i="37" a="1"/>
  <c r="E137" i="32" a="1"/>
  <c r="E137" i="34" a="1"/>
  <c r="E47" i="34" a="1"/>
  <c r="E129" i="36" a="1"/>
  <c r="C142" i="35" a="1"/>
  <c r="A132" i="36" a="1"/>
  <c r="D67" i="36" a="1"/>
  <c r="D128" i="37" a="1"/>
  <c r="E62" i="37" a="1"/>
  <c r="A41" i="36" a="1"/>
  <c r="B5" i="37" a="1"/>
  <c r="B36" i="36" a="1"/>
  <c r="B19" i="32" a="1"/>
  <c r="C59" i="37" a="1"/>
  <c r="D36" i="31" a="1"/>
  <c r="D15" i="37" a="1"/>
  <c r="D25" i="36" a="1"/>
  <c r="E39" i="35" a="1"/>
  <c r="E152" i="35" a="1"/>
  <c r="E129" i="33" a="1"/>
  <c r="E139" i="36" a="1"/>
  <c r="C126" i="35" a="1"/>
  <c r="E91" i="37" a="1"/>
  <c r="D101" i="34" a="1"/>
  <c r="E87" i="36" a="1"/>
  <c r="C62" i="35" a="1"/>
  <c r="D39" i="33" a="1"/>
  <c r="C103" i="31" a="1"/>
  <c r="E121" i="35" a="1"/>
  <c r="E158" i="37" a="1"/>
  <c r="E59" i="36" a="1"/>
  <c r="B143" i="37" a="1"/>
  <c r="D4" i="37" a="1"/>
  <c r="A13" i="37" a="1"/>
  <c r="E96" i="35" a="1"/>
  <c r="C109" i="33" a="1"/>
  <c r="D79" i="36" a="1"/>
  <c r="E16" i="36" a="1"/>
  <c r="E109" i="31" a="1"/>
  <c r="C145" i="35" a="1"/>
  <c r="A116" i="34" a="1"/>
  <c r="D56" i="35" a="1"/>
  <c r="E96" i="37" a="1"/>
  <c r="A109" i="37" a="1"/>
  <c r="E93" i="31" a="1"/>
  <c r="D121" i="32" a="1"/>
  <c r="C137" i="36" a="1"/>
  <c r="A81" i="37" a="1"/>
  <c r="E21" i="32" a="1"/>
  <c r="B150" i="37" a="1"/>
  <c r="A12" i="32" a="1"/>
  <c r="E3" i="36" a="1"/>
  <c r="D142" i="37" a="1"/>
  <c r="E87" i="35" a="1"/>
  <c r="E86" i="32" a="1"/>
  <c r="E137" i="31" a="1"/>
  <c r="C84" i="37" a="1"/>
  <c r="B121" i="32" a="1"/>
  <c r="E68" i="33" a="1"/>
  <c r="B58" i="32" a="1"/>
  <c r="C117" i="35" a="1"/>
  <c r="C107" i="36" a="1"/>
  <c r="C23" i="34" a="1"/>
  <c r="A26" i="34" a="1"/>
  <c r="E122" i="37" a="1"/>
  <c r="A111" i="36" a="1"/>
  <c r="D3" i="35" a="1"/>
  <c r="C127" i="35" a="1"/>
  <c r="E130" i="32" a="1"/>
  <c r="E100" i="33" a="1"/>
  <c r="E61" i="33" a="1"/>
  <c r="A18" i="36" a="1"/>
  <c r="A81" i="34" a="1"/>
  <c r="A87" i="36" a="1"/>
  <c r="A35" i="35" a="1"/>
  <c r="E130" i="33" a="1"/>
  <c r="E41" i="36" a="1"/>
  <c r="E13" i="32" a="1"/>
  <c r="B74" i="33" a="1"/>
  <c r="C18" i="36" a="1"/>
  <c r="B84" i="37" a="1"/>
  <c r="E21" i="37" a="1"/>
  <c r="A22" i="35" a="1"/>
  <c r="E68" i="37" a="1"/>
  <c r="C75" i="33" a="1"/>
  <c r="E144" i="34" a="1"/>
  <c r="C97" i="34" a="1"/>
  <c r="C38" i="36" a="1"/>
  <c r="D4" i="36" a="1"/>
  <c r="B90" i="35" a="1"/>
  <c r="A35" i="32" a="1"/>
  <c r="E119" i="32" a="1"/>
  <c r="C63" i="32" a="1"/>
  <c r="C86" i="35" a="1"/>
  <c r="D39" i="36" a="1"/>
  <c r="B98" i="36" a="1"/>
  <c r="B78" i="32" a="1"/>
  <c r="C123" i="37" a="1"/>
  <c r="D131" i="32" a="1"/>
  <c r="E152" i="33" a="1"/>
  <c r="C44" i="36" a="1"/>
  <c r="C125" i="36" a="1"/>
  <c r="C52" i="36" a="1"/>
  <c r="B46" i="32" a="1"/>
  <c r="C84" i="33" a="1"/>
  <c r="D88" i="36" a="1"/>
  <c r="A76" i="32" a="1"/>
  <c r="C90" i="35" a="1"/>
  <c r="E138" i="37" a="1"/>
  <c r="B157" i="31" a="1"/>
  <c r="D94" i="34" a="1"/>
  <c r="E32" i="31" a="1"/>
  <c r="A52" i="31" a="1"/>
  <c r="C55" i="37" a="1"/>
  <c r="B40" i="35" a="1"/>
  <c r="A129" i="35" a="1"/>
  <c r="E33" i="35" a="1"/>
  <c r="C143" i="33" a="1"/>
  <c r="E59" i="31" a="1"/>
  <c r="E21" i="34" a="1"/>
  <c r="E153" i="32" a="1"/>
  <c r="E20" i="31" a="1"/>
  <c r="E140" i="36" a="1"/>
  <c r="D111" i="36" a="1"/>
  <c r="E42" i="31" a="1"/>
  <c r="B15" i="37" a="1"/>
  <c r="D103" i="37" a="1"/>
  <c r="A57" i="36" a="1"/>
  <c r="A33" i="35" a="1"/>
  <c r="E135" i="33" a="1"/>
  <c r="E61" i="31" a="1"/>
  <c r="A13" i="34" a="1"/>
  <c r="E152" i="31" a="1"/>
  <c r="A30" i="37" a="1"/>
  <c r="A156" i="32" a="1"/>
  <c r="E105" i="36" a="1"/>
  <c r="E32" i="37" a="1"/>
  <c r="E24" i="32" a="1"/>
  <c r="E118" i="37" a="1"/>
  <c r="D120" i="32" a="1"/>
  <c r="E150" i="37" a="1"/>
  <c r="E71" i="36" a="1"/>
  <c r="E103" i="31" a="1"/>
  <c r="A112" i="36" a="1"/>
  <c r="C80" i="36" a="1"/>
  <c r="E101" i="32" a="1"/>
  <c r="E45" i="34" a="1"/>
  <c r="A44" i="34" a="1"/>
  <c r="E74" i="33" a="1"/>
  <c r="B25" i="35" a="1"/>
  <c r="B54" i="33" a="1"/>
  <c r="D69" i="36" a="1"/>
  <c r="E8" i="35" a="1"/>
  <c r="E72" i="32" a="1"/>
  <c r="E102" i="36" a="1"/>
  <c r="E8" i="34" a="1"/>
  <c r="A65" i="36" a="1"/>
  <c r="B58" i="37" a="1"/>
  <c r="A43" i="32" a="1"/>
  <c r="E2" i="34" a="1"/>
  <c r="E107" i="36" a="1"/>
  <c r="C101" i="37" a="1"/>
  <c r="D157" i="33" a="1"/>
  <c r="B144" i="35" a="1"/>
  <c r="D124" i="36" a="1"/>
  <c r="A12" i="37" a="1"/>
  <c r="C92" i="35" a="1"/>
  <c r="D157" i="37" a="1"/>
  <c r="E87" i="37" a="1"/>
  <c r="D140" i="33" a="1"/>
  <c r="C18" i="37" a="1"/>
  <c r="D125" i="36" a="1"/>
  <c r="B66" i="36" a="1"/>
  <c r="D24" i="34" a="1"/>
  <c r="D107" i="35" a="1"/>
  <c r="D133" i="35" a="1"/>
  <c r="E67" i="33" a="1"/>
  <c r="A4" i="36" a="1"/>
  <c r="E20" i="33" a="1"/>
  <c r="D42" i="35" a="1"/>
  <c r="D143" i="37" a="1"/>
  <c r="B108" i="36" a="1"/>
  <c r="C59" i="32" a="1"/>
  <c r="C148" i="35" a="1"/>
  <c r="C37" i="33" a="1"/>
  <c r="A97" i="37" a="1"/>
  <c r="E2" i="31" a="1"/>
  <c r="B138" i="37" a="1"/>
  <c r="B83" i="37" a="1"/>
  <c r="A118" i="33" a="1"/>
  <c r="B37" i="33" a="1"/>
  <c r="C108" i="33" a="1"/>
  <c r="E39" i="33" a="1"/>
  <c r="A5" i="35" a="1"/>
  <c r="B157" i="34" a="1"/>
  <c r="E82" i="31" a="1"/>
  <c r="C63" i="35" a="1"/>
  <c r="E31" i="37" a="1"/>
  <c r="C130" i="31" a="1"/>
  <c r="C150" i="37" a="1"/>
  <c r="E5" i="31" a="1"/>
  <c r="B111" i="36" a="1"/>
  <c r="A126" i="37" a="1"/>
  <c r="A40" i="33" a="1"/>
  <c r="E55" i="31" a="1"/>
  <c r="A55" i="36" a="1"/>
  <c r="C130" i="36" a="1"/>
  <c r="D73" i="31" a="1"/>
  <c r="C83" i="37" a="1"/>
  <c r="B90" i="31" a="1"/>
  <c r="A143" i="37" a="1"/>
  <c r="D71" i="33" a="1"/>
  <c r="E114" i="35" a="1"/>
  <c r="B61" i="34" a="1"/>
  <c r="E76" i="35" a="1"/>
  <c r="A32" i="34" a="1"/>
  <c r="C123" i="33" a="1"/>
  <c r="E113" i="33" a="1"/>
  <c r="D86" i="36" a="1"/>
  <c r="B147" i="35" a="1"/>
  <c r="D13" i="32" a="1"/>
  <c r="B109" i="31" a="1"/>
  <c r="B58" i="34" a="1"/>
  <c r="E125" i="37" a="1"/>
  <c r="C36" i="35" a="1"/>
  <c r="E139" i="31" a="1"/>
  <c r="B72" i="33" a="1"/>
  <c r="A154" i="37" a="1"/>
  <c r="E135" i="31" a="1"/>
  <c r="A74" i="37" a="1"/>
  <c r="E2" i="32" a="1"/>
  <c r="D92" i="35" a="1"/>
  <c r="A113" i="37" a="1"/>
  <c r="E112" i="34" a="1"/>
  <c r="D113" i="33" a="1"/>
  <c r="C13" i="36" a="1"/>
  <c r="A150" i="32" a="1"/>
  <c r="E144" i="31" a="1"/>
  <c r="E32" i="33" a="1"/>
  <c r="C106" i="32" a="1"/>
  <c r="C75" i="37" a="1"/>
  <c r="B97" i="37" a="1"/>
  <c r="E19" i="35" a="1"/>
  <c r="D89" i="36" a="1"/>
  <c r="B125" i="36" a="1"/>
  <c r="A97" i="32" a="1"/>
  <c r="D117" i="35" a="1"/>
  <c r="A4" i="34" a="1"/>
  <c r="A82" i="36" a="1"/>
  <c r="C136" i="36" a="1"/>
  <c r="D63" i="35" a="1"/>
  <c r="A7" i="37" a="1"/>
  <c r="A41" i="34" a="1"/>
  <c r="E43" i="36" a="1"/>
  <c r="D148" i="37" a="1"/>
  <c r="E70" i="31" a="1"/>
  <c r="A39" i="36" a="1"/>
  <c r="E151" i="34" a="1"/>
  <c r="E50" i="33" a="1"/>
  <c r="A71" i="36" a="1"/>
  <c r="D146" i="32" a="1"/>
  <c r="E75" i="32" a="1"/>
  <c r="A126" i="33" a="1"/>
  <c r="E139" i="32" a="1"/>
  <c r="E42" i="35" a="1"/>
  <c r="A110" i="35" a="1"/>
  <c r="B31" i="35" a="1"/>
  <c r="B94" i="34" a="1"/>
  <c r="D46" i="36" a="1"/>
  <c r="E80" i="37" a="1"/>
  <c r="A80" i="36" a="1"/>
  <c r="E17" i="36" a="1"/>
  <c r="D75" i="35" a="1"/>
  <c r="E40" i="31" a="1"/>
  <c r="B39" i="37" a="1"/>
  <c r="A120" i="34" a="1"/>
  <c r="B81" i="37" a="1"/>
  <c r="A2" i="34" a="1"/>
  <c r="E112" i="36" a="1"/>
  <c r="B54" i="36" a="1"/>
  <c r="E3" i="32" a="1"/>
  <c r="D129" i="37" a="1"/>
  <c r="E82" i="32" a="1"/>
  <c r="A46" i="36" a="1"/>
  <c r="E30" i="32" a="1"/>
  <c r="C129" i="36" a="1"/>
  <c r="E82" i="35" a="1"/>
  <c r="B103" i="37" a="1"/>
  <c r="E133" i="37" a="1"/>
  <c r="D145" i="37" a="1"/>
  <c r="D140" i="31" a="1"/>
  <c r="A27" i="36" a="1"/>
  <c r="E9" i="36" a="1"/>
  <c r="C154" i="35" a="1"/>
  <c r="A14" i="32" a="1"/>
  <c r="E46" i="32" a="1"/>
  <c r="A93" i="36" a="1"/>
  <c r="C158" i="36" a="1"/>
  <c r="E68" i="31" a="1"/>
  <c r="A149" i="37" a="1"/>
  <c r="A154" i="36" a="1"/>
  <c r="E89" i="33" a="1"/>
  <c r="E128" i="32" a="1"/>
  <c r="D53" i="37" a="1"/>
  <c r="A142" i="37" a="1"/>
  <c r="A36" i="35" a="1"/>
  <c r="E70" i="34" a="1"/>
  <c r="A67" i="36" a="1"/>
  <c r="B51" i="35" a="1"/>
  <c r="E87" i="31" a="1"/>
  <c r="C131" i="33" a="1"/>
  <c r="D147" i="36" a="1"/>
  <c r="A113" i="32" a="1"/>
  <c r="E156" i="33" a="1"/>
  <c r="E43" i="33" a="1"/>
  <c r="E4" i="30" a="1"/>
  <c r="E50" i="35" a="1"/>
  <c r="E46" i="33" a="1"/>
  <c r="D62" i="31" a="1"/>
  <c r="E52" i="35" a="1"/>
  <c r="C47" i="32" a="1"/>
  <c r="B8" i="34" a="1"/>
  <c r="B143" i="35" a="1"/>
  <c r="D129" i="32" a="1"/>
  <c r="E85" i="36" a="1"/>
  <c r="E26" i="37" a="1"/>
  <c r="C138" i="37" a="1"/>
  <c r="A125" i="34" a="1"/>
  <c r="C73" i="34" a="1"/>
  <c r="C100" i="35" a="1"/>
  <c r="B6" i="37" a="1"/>
  <c r="B21" i="34" a="1"/>
  <c r="E119" i="31" a="1"/>
  <c r="A115" i="32" a="1"/>
  <c r="C82" i="35" a="1"/>
  <c r="E153" i="34" a="1"/>
  <c r="E28" i="34" a="1"/>
  <c r="A120" i="35" a="1"/>
  <c r="B53" i="37" a="1"/>
  <c r="E143" i="35" a="1"/>
  <c r="A129" i="34" a="1"/>
  <c r="E57" i="31" a="1"/>
  <c r="D154" i="37" a="1"/>
  <c r="C104" i="37" a="1"/>
  <c r="A20" i="35" a="1"/>
  <c r="A11" i="36" a="1"/>
  <c r="D17" i="35" a="1"/>
  <c r="E158" i="30" a="1"/>
  <c r="A10" i="37" a="1"/>
  <c r="B123" i="36" a="1"/>
  <c r="E43" i="32" a="1"/>
  <c r="E28" i="36" a="1"/>
  <c r="D43" i="36" a="1"/>
  <c r="A134" i="34" a="1"/>
  <c r="E157" i="36" a="1"/>
  <c r="E77" i="36" a="1"/>
  <c r="D154" i="36" a="1"/>
  <c r="C19" i="32" a="1"/>
  <c r="C124" i="36" a="1"/>
  <c r="B89" i="35" a="1"/>
  <c r="B79" i="32" a="1"/>
  <c r="E138" i="33" a="1"/>
  <c r="E129" i="37" a="1"/>
  <c r="C128" i="33" a="1"/>
  <c r="A3" i="35" a="1"/>
  <c r="E111" i="33" a="1"/>
  <c r="C105" i="34" a="1"/>
  <c r="B93" i="37" a="1"/>
  <c r="B11" i="36" a="1"/>
  <c r="D156" i="36" a="1"/>
  <c r="C68" i="36" a="1"/>
  <c r="A10" i="35" a="1"/>
  <c r="E118" i="32" a="1"/>
  <c r="A130" i="36" a="1"/>
  <c r="A102" i="37" a="1"/>
  <c r="C36" i="32" a="1"/>
  <c r="E93" i="36" a="1"/>
  <c r="B47" i="37" a="1"/>
  <c r="A13" i="36" a="1"/>
  <c r="A8" i="33" a="1"/>
  <c r="E7" i="34" a="1"/>
  <c r="D127" i="37" a="1"/>
  <c r="C119" i="36" a="1"/>
  <c r="E53" i="36" a="1"/>
  <c r="E153" i="37" a="1"/>
  <c r="E77" i="33" a="1"/>
  <c r="E103" i="32" a="1"/>
  <c r="A23" i="36" a="1"/>
  <c r="A21" i="32" a="1"/>
  <c r="E46" i="35" a="1"/>
  <c r="A25" i="36" a="1"/>
  <c r="B17" i="36" a="1"/>
  <c r="E59" i="34" a="1"/>
  <c r="B118" i="32" a="1"/>
  <c r="A86" i="37" a="1"/>
  <c r="C26" i="37" a="1"/>
  <c r="A14" i="35" a="1"/>
  <c r="B38" i="36" a="1"/>
  <c r="E126" i="32" a="1"/>
  <c r="D143" i="33" a="1"/>
  <c r="E95" i="35" a="1"/>
  <c r="E13" i="36" a="1"/>
  <c r="C94" i="36" a="1"/>
  <c r="C151" i="36" a="1"/>
  <c r="D75" i="37" a="1"/>
  <c r="A150" i="37" a="1"/>
  <c r="A8" i="36" a="1"/>
  <c r="E32" i="30" a="1"/>
  <c r="D112" i="36" a="1"/>
  <c r="D5" i="32" a="1"/>
  <c r="A39" i="37" a="1"/>
  <c r="E128" i="33" a="1"/>
  <c r="C93" i="33" a="1"/>
  <c r="C62" i="37" a="1"/>
  <c r="B31" i="31" a="1"/>
  <c r="D93" i="37" a="1"/>
  <c r="B97" i="36" a="1"/>
  <c r="E30" i="34" a="1"/>
  <c r="D11" i="37" a="1"/>
  <c r="E92" i="37" a="1"/>
  <c r="D55" i="37" a="1"/>
  <c r="C72" i="37" a="1"/>
  <c r="B87" i="35" a="1"/>
  <c r="D158" i="31" a="1"/>
  <c r="B136" i="32" a="1"/>
  <c r="A115" i="37" a="1"/>
  <c r="D134" i="34" a="1"/>
  <c r="A69" i="33" a="1"/>
  <c r="A78" i="34" a="1"/>
  <c r="C22" i="34" a="1"/>
  <c r="D144" i="35" a="1"/>
  <c r="C93" i="35" a="1"/>
  <c r="C2" i="35" a="1"/>
  <c r="B113" i="34" a="1"/>
  <c r="A149" i="33" a="1"/>
  <c r="D72" i="37" a="1"/>
  <c r="D152" i="36" a="1"/>
  <c r="E47" i="32" a="1"/>
  <c r="D103" i="35" a="1"/>
  <c r="D34" i="34" a="1"/>
  <c r="E135" i="36" a="1"/>
  <c r="E3" i="37" a="1"/>
  <c r="D47" i="32" a="1"/>
  <c r="E37" i="32" a="1"/>
  <c r="B4" i="32" a="1"/>
  <c r="A144" i="34" a="1"/>
  <c r="C108" i="36" a="1"/>
  <c r="B154" i="37" a="1"/>
  <c r="C139" i="34" a="1"/>
  <c r="B37" i="37" a="1"/>
  <c r="C119" i="34" a="1"/>
  <c r="E38" i="33" a="1"/>
  <c r="B118" i="34" a="1"/>
  <c r="C59" i="34" a="1"/>
  <c r="A65" i="33" a="1"/>
  <c r="E156" i="36" a="1"/>
  <c r="C154" i="37" a="1"/>
  <c r="E69" i="32" a="1"/>
  <c r="D32" i="35" a="1"/>
  <c r="C21" i="37" a="1"/>
  <c r="C15" i="34" a="1"/>
  <c r="E68" i="34" a="1"/>
  <c r="A91" i="36" a="1"/>
  <c r="D29" i="37" a="1"/>
  <c r="E43" i="37" a="1"/>
  <c r="E93" i="34" a="1"/>
  <c r="A76" i="36" a="1"/>
  <c r="A117" i="35" a="1"/>
  <c r="B150" i="31" a="1"/>
  <c r="E27" i="35" a="1"/>
  <c r="E35" i="37" a="1"/>
  <c r="E150" i="30" a="1"/>
  <c r="D27" i="36" a="1"/>
  <c r="D55" i="33" a="1"/>
  <c r="E19" i="33" a="1"/>
  <c r="B49" i="37" a="1"/>
  <c r="E26" i="31" a="1"/>
  <c r="C47" i="36" a="1"/>
  <c r="B28" i="37" a="1"/>
  <c r="C105" i="36" a="1"/>
  <c r="B128" i="35" a="1"/>
  <c r="B63" i="34" a="1"/>
  <c r="E15" i="33" a="1"/>
  <c r="D157" i="34" a="1"/>
  <c r="C151" i="34" a="1"/>
  <c r="C10" i="37" a="1"/>
  <c r="D17" i="32" a="1"/>
  <c r="D38" i="33" a="1"/>
  <c r="B22" i="35" a="1"/>
  <c r="C117" i="36" a="1"/>
  <c r="E113" i="35" a="1"/>
  <c r="B18" i="35" a="1"/>
  <c r="B101" i="35" a="1"/>
  <c r="C84" i="36" a="1"/>
  <c r="D29" i="31" a="1"/>
  <c r="B75" i="37" a="1"/>
  <c r="B27" i="33" a="1"/>
  <c r="B124" i="35" a="1"/>
  <c r="E104" i="36" a="1"/>
  <c r="C138" i="35" a="1"/>
  <c r="E54" i="37" a="1"/>
  <c r="B103" i="34" a="1"/>
  <c r="A104" i="36" a="1"/>
  <c r="A72" i="34" a="1"/>
  <c r="A84" i="36" a="1"/>
  <c r="A59" i="37" a="1"/>
  <c r="E64" i="37" a="1"/>
  <c r="E62" i="34" a="1"/>
  <c r="C42" i="36" a="1"/>
  <c r="E59" i="35" a="1"/>
  <c r="C123" i="36" a="1"/>
  <c r="C37" i="37" a="1"/>
  <c r="E67" i="34" a="1"/>
  <c r="C45" i="31" a="1"/>
  <c r="D82" i="37" a="1"/>
  <c r="D140" i="32" a="1"/>
  <c r="E61" i="35" a="1"/>
  <c r="E116" i="35" a="1"/>
  <c r="B146" i="36" a="1"/>
  <c r="E40" i="34" a="1"/>
  <c r="E53" i="31" a="1"/>
  <c r="D111" i="35" a="1"/>
  <c r="E80" i="33" a="1"/>
  <c r="E38" i="31" a="1"/>
  <c r="B19" i="34" a="1"/>
  <c r="E84" i="35" a="1"/>
  <c r="A27" i="37" a="1"/>
  <c r="D36" i="36" a="1"/>
  <c r="E158" i="35" a="1"/>
  <c r="E86" i="34" a="1"/>
  <c r="E146" i="33" a="1"/>
  <c r="D2" i="36" a="1"/>
  <c r="C24" i="34" a="1"/>
  <c r="D12" i="35" a="1"/>
  <c r="E12" i="33" a="1"/>
  <c r="E49" i="33" a="1"/>
  <c r="C115" i="35" a="1"/>
  <c r="E24" i="35" a="1"/>
  <c r="B95" i="34" a="1"/>
  <c r="E69" i="35" a="1"/>
  <c r="C34" i="37" a="1"/>
  <c r="A66" i="36" a="1"/>
  <c r="E124" i="34" a="1"/>
  <c r="A114" i="37" a="1"/>
  <c r="E85" i="37" a="1"/>
  <c r="D16" i="34" a="1"/>
  <c r="A60" i="37" a="1"/>
  <c r="D72" i="36" a="1"/>
  <c r="A56" i="37" a="1"/>
  <c r="B119" i="34" a="1"/>
  <c r="E119" i="33" a="1"/>
  <c r="A68" i="36" a="1"/>
  <c r="C113" i="37" a="1"/>
  <c r="E56" i="30" a="1"/>
  <c r="E139" i="37" a="1"/>
  <c r="A72" i="35" a="1"/>
  <c r="B112" i="36" a="1"/>
  <c r="E124" i="35" a="1"/>
  <c r="D42" i="37" a="1"/>
  <c r="C116" i="36" a="1"/>
  <c r="D57" i="36" a="1"/>
  <c r="B142" i="35" a="1"/>
  <c r="B156" i="34" a="1"/>
  <c r="B54" i="34" a="1"/>
  <c r="E156" i="35" a="1"/>
  <c r="D98" i="37" a="1"/>
  <c r="B123" i="34" a="1"/>
  <c r="D153" i="34" a="1"/>
  <c r="E100" i="34" a="1"/>
  <c r="C135" i="37" a="1"/>
  <c r="B70" i="37" a="1"/>
  <c r="B88" i="37" a="1"/>
  <c r="C29" i="32" a="1"/>
  <c r="E101" i="37" a="1"/>
  <c r="C51" i="35" a="1"/>
  <c r="D49" i="33" a="1"/>
  <c r="D108" i="37" a="1"/>
  <c r="B81" i="36" a="1"/>
  <c r="C34" i="35" a="1"/>
  <c r="C20" i="35" a="1"/>
  <c r="E82" i="34" a="1"/>
  <c r="B150" i="35" a="1"/>
  <c r="E96" i="33" a="1"/>
  <c r="E69" i="36" a="1"/>
  <c r="E47" i="36" a="1"/>
  <c r="D101" i="36" a="1"/>
  <c r="B133" i="31" a="1"/>
  <c r="D123" i="32" a="1"/>
  <c r="A26" i="33" a="1"/>
  <c r="E4" i="35" a="1"/>
  <c r="D140" i="36" a="1"/>
  <c r="D77" i="34" a="1"/>
  <c r="C22" i="35" a="1"/>
  <c r="A81" i="35" a="1"/>
  <c r="D23" i="33" a="1"/>
  <c r="D68" i="35" a="1"/>
  <c r="C121" i="36" a="1"/>
  <c r="B142" i="33" a="1"/>
  <c r="D51" i="34" a="1"/>
  <c r="D155" i="37" a="1"/>
  <c r="E149" i="32" a="1"/>
  <c r="B62" i="35" a="1"/>
  <c r="A33" i="37" a="1"/>
  <c r="B52" i="37" a="1"/>
  <c r="A117" i="37" a="1"/>
  <c r="E138" i="35" a="1"/>
  <c r="D18" i="36" a="1"/>
  <c r="D81" i="36" a="1"/>
  <c r="A145" i="37" a="1"/>
  <c r="B75" i="35" a="1"/>
  <c r="E85" i="34" a="1"/>
  <c r="A37" i="37" a="1"/>
  <c r="A147" i="34" a="1"/>
  <c r="A96" i="36" a="1"/>
  <c r="A97" i="35" a="1"/>
  <c r="A69" i="35" a="1"/>
  <c r="C150" i="31" a="1"/>
  <c r="C107" i="37" a="1"/>
  <c r="D133" i="37" a="1"/>
  <c r="E91" i="36" a="1"/>
  <c r="E79" i="31" a="1"/>
  <c r="C154" i="32" a="1"/>
  <c r="A118" i="35" a="1"/>
  <c r="A157" i="35" a="1"/>
  <c r="B148" i="36" a="1"/>
  <c r="B24" i="35" a="1"/>
  <c r="E154" i="37" a="1"/>
  <c r="E41" i="34" a="1"/>
  <c r="C9" i="33" a="1"/>
  <c r="D157" i="36" a="1"/>
  <c r="A122" i="36" a="1"/>
  <c r="B153" i="35" a="1"/>
  <c r="E157" i="34" a="1"/>
  <c r="D94" i="37" a="1"/>
  <c r="B115" i="37" a="1"/>
  <c r="E15" i="34" a="1"/>
  <c r="B56" i="37" a="1"/>
  <c r="E75" i="31" a="1"/>
  <c r="E77" i="37" a="1"/>
  <c r="E122" i="31" a="1"/>
  <c r="E27" i="36" a="1"/>
  <c r="E67" i="35" a="1"/>
  <c r="B54" i="37" a="1"/>
  <c r="E136" i="37" a="1"/>
  <c r="E52" i="33" a="1"/>
  <c r="D126" i="37" a="1"/>
  <c r="A64" i="34" a="1"/>
  <c r="D103" i="36" a="1"/>
  <c r="B116" i="35" a="1"/>
  <c r="C94" i="34" a="1"/>
  <c r="E99" i="33" a="1"/>
  <c r="A134" i="36" a="1"/>
  <c r="B39" i="35" a="1"/>
  <c r="E120" i="37" a="1"/>
  <c r="B26" i="37" a="1"/>
  <c r="E121" i="33" a="1"/>
  <c r="D134" i="32" a="1"/>
  <c r="D60" i="37" a="1"/>
  <c r="B108" i="37" a="1"/>
  <c r="A128" i="36" a="1"/>
  <c r="A19" i="36" a="1"/>
  <c r="D96" i="37" a="1"/>
  <c r="E142" i="35" a="1"/>
  <c r="E47" i="35" a="1"/>
  <c r="D144" i="37" a="1"/>
  <c r="C101" i="34" a="1"/>
  <c r="A29" i="36" a="1"/>
  <c r="E154" i="33" a="1"/>
  <c r="D150" i="37" a="1"/>
  <c r="A22" i="32" a="1"/>
  <c r="E95" i="34" a="1"/>
  <c r="E125" i="33" a="1"/>
  <c r="C87" i="36" a="1"/>
  <c r="B138" i="34" a="1"/>
  <c r="E64" i="31" a="1"/>
  <c r="D88" i="35" a="1"/>
  <c r="E104" i="31" a="1"/>
  <c r="E84" i="36" a="1"/>
  <c r="A26" i="35" a="1"/>
  <c r="E139" i="33" a="1"/>
  <c r="D133" i="33" a="1"/>
  <c r="B45" i="36" a="1"/>
  <c r="D153" i="35" a="1"/>
  <c r="E85" i="33" a="1"/>
  <c r="E152" i="37" a="1"/>
  <c r="B155" i="36" a="1"/>
  <c r="A91" i="37" a="1"/>
  <c r="E71" i="32" a="1"/>
  <c r="E31" i="32" a="1"/>
  <c r="E18" i="37" a="1"/>
  <c r="B7" i="37" a="1"/>
  <c r="B126" i="34" a="1"/>
  <c r="E114" i="36" a="1"/>
  <c r="D41" i="35" a="1"/>
  <c r="D78" i="32" a="1"/>
  <c r="B7" i="36" a="1"/>
  <c r="A107" i="34" a="1"/>
  <c r="D8" i="35" a="1"/>
  <c r="B76" i="37" a="1"/>
  <c r="E66" i="36" a="1"/>
  <c r="E129" i="34" a="1"/>
  <c r="E116" i="36" a="1"/>
  <c r="C128" i="31" a="1"/>
  <c r="E88" i="36" a="1"/>
  <c r="A85" i="34" a="1"/>
  <c r="C68" i="37" a="1"/>
  <c r="A135" i="31" a="1"/>
  <c r="E131" i="33" a="1"/>
  <c r="D25" i="35" a="1"/>
  <c r="E41" i="33" a="1"/>
  <c r="E22" i="31" a="1"/>
  <c r="C78" i="35" a="1"/>
  <c r="E66" i="31" a="1"/>
  <c r="B153" i="33" a="1"/>
  <c r="B143" i="36" a="1"/>
  <c r="E137" i="33" a="1"/>
  <c r="E14" i="35" a="1"/>
  <c r="E16" i="32" a="1"/>
  <c r="C35" i="37" a="1"/>
  <c r="E86" i="35" a="1"/>
  <c r="C38" i="37" a="1"/>
  <c r="E126" i="31" a="1"/>
  <c r="D106" i="36" a="1"/>
  <c r="E84" i="31" a="1"/>
  <c r="E107" i="35" a="1"/>
  <c r="C56" i="35" a="1"/>
  <c r="E99" i="35" a="1"/>
  <c r="D138" i="37" a="1"/>
  <c r="B135" i="37" a="1"/>
  <c r="A62" i="37" a="1"/>
  <c r="B78" i="37" a="1"/>
  <c r="C39" i="37" a="1"/>
  <c r="B158" i="35" a="1"/>
  <c r="E67" i="37" a="1"/>
  <c r="E140" i="31" a="1"/>
  <c r="E80" i="31" a="1"/>
  <c r="B16" i="36" a="1"/>
  <c r="E149" i="37" a="1"/>
  <c r="C102" i="32" a="1"/>
  <c r="A103" i="37" a="1"/>
  <c r="B113" i="36" a="1"/>
  <c r="B11" i="35" a="1"/>
  <c r="D30" i="34" a="1"/>
  <c r="E145" i="33" a="1"/>
  <c r="E31" i="31" a="1"/>
  <c r="B115" i="35" a="1"/>
  <c r="A150" i="36" a="1"/>
  <c r="D136" i="36" a="1"/>
  <c r="E106" i="35" a="1"/>
  <c r="D156" i="37" a="1"/>
  <c r="E53" i="33" a="1"/>
  <c r="B144" i="34" a="1"/>
  <c r="E122" i="34" a="1"/>
  <c r="E8" i="37" a="1"/>
  <c r="D77" i="33" a="1"/>
  <c r="A43" i="36" a="1"/>
  <c r="E17" i="35" a="1"/>
  <c r="D60" i="34" a="1"/>
  <c r="B10" i="36" a="1"/>
  <c r="D104" i="37" a="1"/>
  <c r="E97" i="36" a="1"/>
  <c r="B17" i="37" a="1"/>
  <c r="E120" i="31" a="1"/>
  <c r="E125" i="34" a="1"/>
  <c r="E93" i="35" a="1"/>
  <c r="D37" i="35" a="1"/>
  <c r="E15" i="37" a="1"/>
  <c r="C91" i="34" a="1"/>
  <c r="A63" i="37" a="1"/>
  <c r="C106" i="34" a="1"/>
  <c r="C135" i="36" a="1"/>
  <c r="E122" i="36" a="1"/>
  <c r="E151" i="31" a="1"/>
  <c r="C45" i="34" a="1"/>
  <c r="C149" i="37" a="1"/>
  <c r="D57" i="35" a="1"/>
  <c r="A146" i="34" a="1"/>
  <c r="E4" i="36" a="1"/>
  <c r="E10" i="34" a="1"/>
  <c r="B76" i="35" a="1"/>
  <c r="D47" i="37" a="1"/>
  <c r="C136" i="37" a="1"/>
  <c r="E13" i="35" a="1"/>
  <c r="C57" i="36" a="1"/>
  <c r="E61" i="37" a="1"/>
  <c r="E131" i="34" a="1"/>
  <c r="C154" i="34" a="1"/>
  <c r="E32" i="36" a="1"/>
  <c r="D35" i="36" a="1"/>
  <c r="D135" i="37" a="1"/>
  <c r="E84" i="34" a="1"/>
  <c r="E94" i="36" a="1"/>
  <c r="E76" i="31" a="1"/>
  <c r="E72" i="33" a="1"/>
  <c r="C31" i="37" a="1"/>
  <c r="E155" i="33" a="1"/>
  <c r="C28" i="35" a="1"/>
  <c r="D150" i="36" a="1"/>
  <c r="D80" i="36" a="1"/>
  <c r="A30" i="32" a="1"/>
  <c r="E72" i="34" a="1"/>
  <c r="A108" i="34" a="1"/>
  <c r="E16" i="33" a="1"/>
  <c r="E116" i="31" a="1"/>
  <c r="A78" i="32" a="1"/>
  <c r="C123" i="32" a="1"/>
  <c r="E143" i="32" a="1"/>
  <c r="B13" i="37" a="1"/>
  <c r="C26" i="34" a="1"/>
  <c r="E24" i="36" a="1"/>
  <c r="E13" i="31" a="1"/>
  <c r="E22" i="37" a="1"/>
  <c r="A24" i="35" a="1"/>
  <c r="E143" i="31" a="1"/>
  <c r="C11" i="35" a="1"/>
  <c r="B43" i="36" a="1"/>
  <c r="D97" i="36" a="1"/>
  <c r="B133" i="35" a="1"/>
  <c r="C45" i="36" a="1"/>
  <c r="E58" i="37" a="1"/>
  <c r="E67" i="32" a="1"/>
  <c r="D118" i="35" a="1"/>
  <c r="E14" i="36" a="1"/>
  <c r="E65" i="34" a="1"/>
  <c r="B133" i="37" a="1"/>
  <c r="B112" i="34" a="1"/>
  <c r="B74" i="37" a="1"/>
  <c r="E123" i="36" a="1"/>
  <c r="B133" i="34" a="1"/>
  <c r="C26" i="36" a="1"/>
  <c r="A144" i="32" a="1"/>
  <c r="E98" i="35" a="1"/>
  <c r="A79" i="32" a="1"/>
  <c r="D100" i="34" a="1"/>
  <c r="E74" i="36" a="1"/>
  <c r="B73" i="32" a="1"/>
  <c r="E58" i="34" a="1"/>
  <c r="C58" i="36" a="1"/>
  <c r="E115" i="32" a="1"/>
  <c r="E23" i="33" a="1"/>
  <c r="E60" i="35" a="1"/>
  <c r="D81" i="33" a="1"/>
  <c r="E138" i="36" a="1"/>
  <c r="C119" i="33" a="1"/>
  <c r="C75" i="35" a="1"/>
  <c r="B118" i="36" a="1"/>
  <c r="E80" i="36" a="1"/>
  <c r="C94" i="33" a="1"/>
  <c r="E73" i="32" a="1"/>
  <c r="E46" i="31" a="1"/>
  <c r="C81" i="33" a="1"/>
  <c r="E145" i="34" a="1"/>
  <c r="B69" i="37" a="1"/>
  <c r="B131" i="33" a="1"/>
  <c r="B92" i="34" a="1"/>
  <c r="C25" i="37" a="1"/>
  <c r="A98" i="37" a="1"/>
  <c r="A64" i="36" a="1"/>
  <c r="E117" i="33" a="1"/>
  <c r="A3" i="32" a="1"/>
  <c r="A83" i="36" a="1"/>
  <c r="D121" i="31" a="1"/>
  <c r="E17" i="34" a="1"/>
  <c r="B67" i="35" a="1"/>
  <c r="C92" i="34" a="1"/>
  <c r="D7" i="35" a="1"/>
  <c r="E63" i="31" a="1"/>
  <c r="E21" i="35" a="1"/>
  <c r="E104" i="32" a="1"/>
  <c r="C22" i="33" a="1"/>
  <c r="E4" i="37" a="1"/>
  <c r="D64" i="35" a="1"/>
  <c r="E113" i="36" a="1"/>
  <c r="D41" i="37" a="1"/>
  <c r="C19" i="36" a="1"/>
  <c r="A153" i="36" a="1"/>
  <c r="B94" i="36" a="1"/>
  <c r="B52" i="32" a="1"/>
  <c r="E94" i="37" a="1"/>
  <c r="E36" i="35" a="1"/>
  <c r="E117" i="36" a="1"/>
  <c r="C114" i="36" a="1"/>
  <c r="E119" i="34" a="1"/>
  <c r="E52" i="31" a="1"/>
  <c r="E113" i="37" a="1"/>
  <c r="C33" i="35" a="1"/>
  <c r="B142" i="36" a="1"/>
  <c r="B130" i="34" a="1"/>
  <c r="B53" i="35" a="1"/>
  <c r="C144" i="37" a="1"/>
  <c r="D151" i="33" a="1"/>
  <c r="E74" i="31" a="1"/>
  <c r="B122" i="36" a="1"/>
  <c r="E25" i="34" a="1"/>
  <c r="B106" i="36" a="1"/>
  <c r="E86" i="37" a="1"/>
  <c r="A94" i="36" a="1"/>
  <c r="D91" i="37" a="1"/>
  <c r="D101" i="33" a="1"/>
  <c r="B148" i="32" a="1"/>
  <c r="C141" i="35" a="1"/>
  <c r="B128" i="34" a="1"/>
  <c r="E55" i="35" a="1"/>
  <c r="A95" i="37" a="1"/>
  <c r="E9" i="37" a="1"/>
  <c r="E131" i="31" a="1"/>
  <c r="A94" i="37" a="1"/>
  <c r="D25" i="37" a="1"/>
  <c r="E68" i="35" a="1"/>
  <c r="B158" i="37" a="1"/>
  <c r="E111" i="31" a="1"/>
  <c r="E125" i="32" a="1"/>
  <c r="B106" i="34" a="1"/>
  <c r="E115" i="34" a="1"/>
  <c r="D136" i="37" a="1"/>
  <c r="E15" i="35" a="1"/>
  <c r="A151" i="36" a="1"/>
  <c r="C97" i="32" a="1"/>
  <c r="A12" i="35" a="1"/>
  <c r="E50" i="31" a="1"/>
  <c r="B44" i="36" a="1"/>
  <c r="B100" i="37" a="1"/>
  <c r="E41" i="35" a="1"/>
  <c r="E40" i="36" a="1"/>
  <c r="D122" i="36" a="1"/>
  <c r="A6" i="37" a="1"/>
  <c r="B120" i="31" a="1"/>
  <c r="D148" i="36" a="1"/>
  <c r="D87" i="37" a="1"/>
  <c r="B112" i="35" a="1"/>
  <c r="A151" i="33" a="1"/>
  <c r="D131" i="37" a="1"/>
  <c r="C157" i="37" a="1"/>
  <c r="D69" i="37" a="1"/>
  <c r="D143" i="36" a="1"/>
  <c r="B119" i="37" a="1"/>
  <c r="E7" i="31" a="1"/>
  <c r="B154" i="32" a="1"/>
  <c r="E146" i="35" a="1"/>
  <c r="C20" i="37" a="1"/>
  <c r="E105" i="32" a="1"/>
  <c r="E30" i="37" a="1"/>
  <c r="D83" i="32" a="1"/>
  <c r="D67" i="34" a="1"/>
  <c r="B118" i="35" a="1"/>
  <c r="D32" i="37" a="1"/>
  <c r="A36" i="37" a="1"/>
  <c r="D156" i="34" a="1"/>
  <c r="E48" i="31" a="1"/>
  <c r="E73" i="37" a="1"/>
  <c r="D61" i="34" a="1"/>
  <c r="E102" i="34" a="1"/>
  <c r="E20" i="34" a="1"/>
  <c r="C54" i="32" a="1"/>
  <c r="E77" i="34" a="1"/>
  <c r="D73" i="37" a="1"/>
  <c r="D8" i="36" a="1"/>
  <c r="E154" i="31" a="1"/>
  <c r="E66" i="37" a="1"/>
  <c r="D10" i="37" a="1"/>
  <c r="C66" i="34" a="1"/>
  <c r="A9" i="31" a="1"/>
  <c r="A67" i="33" a="1"/>
  <c r="E151" i="37" a="1"/>
  <c r="C2" i="37" a="1"/>
  <c r="A42" i="36" a="1"/>
  <c r="A110" i="32" a="1"/>
  <c r="C9" i="37" a="1"/>
  <c r="A50" i="34" a="1"/>
  <c r="B51" i="37" a="1"/>
  <c r="E9" i="35" a="1"/>
  <c r="E92" i="34" a="1"/>
  <c r="E132" i="35" a="1"/>
  <c r="C62" i="36" a="1"/>
  <c r="C129" i="34" a="1"/>
  <c r="B20" i="36" a="1"/>
  <c r="C91" i="37" a="1"/>
  <c r="D77" i="37" a="1"/>
  <c r="C96" i="37" a="1"/>
  <c r="C144" i="34" a="1"/>
  <c r="B124" i="36" a="1"/>
  <c r="E96" i="31" a="1"/>
  <c r="E3" i="31" a="1"/>
  <c r="D94" i="36" a="1"/>
  <c r="E145" i="31" a="1"/>
  <c r="D107" i="37" a="1"/>
  <c r="E86" i="33" a="1"/>
  <c r="C142" i="32" a="1"/>
  <c r="E88" i="37" a="1"/>
  <c r="A21" i="37" a="1"/>
  <c r="E99" i="37" a="1"/>
  <c r="E54" i="33" a="1"/>
  <c r="E121" i="31" a="1"/>
  <c r="E75" i="34" a="1"/>
  <c r="A123" i="34" a="1"/>
  <c r="D13" i="36" a="1"/>
  <c r="A117" i="36" a="1"/>
  <c r="B143" i="33" a="1"/>
  <c r="B22" i="37" a="1"/>
  <c r="C105" i="35" a="1"/>
  <c r="D48" i="34" a="1"/>
  <c r="B32" i="37" a="1"/>
  <c r="A137" i="34" a="1"/>
  <c r="E35" i="35" a="1"/>
  <c r="B140" i="36" a="1"/>
  <c r="C109" i="35" a="1"/>
  <c r="B132" i="37" a="1"/>
  <c r="A41" i="35" a="1"/>
  <c r="E54" i="32" a="1"/>
  <c r="E152" i="32" a="1"/>
  <c r="E45" i="37" a="1"/>
  <c r="C114" i="37" a="1"/>
  <c r="D150" i="34" a="1"/>
  <c r="B63" i="33" a="1"/>
  <c r="A15" i="36" a="1"/>
  <c r="E138" i="34" a="1"/>
  <c r="E94" i="32" a="1"/>
  <c r="E158" i="33" a="1"/>
  <c r="D102" i="32" a="1"/>
  <c r="E60" i="33" a="1"/>
  <c r="A152" i="34" a="1"/>
  <c r="E101" i="36" a="1"/>
  <c r="E145" i="35" a="1"/>
  <c r="E149" i="34" a="1"/>
  <c r="E5" i="33" a="1"/>
  <c r="E81" i="33" a="1"/>
  <c r="E61" i="32" a="1"/>
  <c r="A134" i="37" a="1"/>
  <c r="A128" i="31" a="1"/>
  <c r="B60" i="37" a="1"/>
  <c r="E33" i="37" a="1"/>
  <c r="B75" i="36" a="1"/>
  <c r="B113" i="31" a="1"/>
  <c r="E24" i="33" a="1"/>
  <c r="D6" i="36" a="1"/>
  <c r="E141" i="32" a="1"/>
  <c r="E57" i="32" a="1"/>
  <c r="E136" i="36" a="1"/>
  <c r="A103" i="33" a="1"/>
  <c r="B158" i="32" a="1"/>
  <c r="E69" i="31" a="1"/>
  <c r="B5" i="32" a="1"/>
  <c r="A145" i="36" a="1"/>
  <c r="D86" i="34" a="1"/>
  <c r="C118" i="35" a="1"/>
  <c r="E10" i="35" a="1"/>
  <c r="B131" i="37" a="1"/>
  <c r="C12" i="36" a="1"/>
  <c r="A50" i="37" a="1"/>
  <c r="D68" i="34" a="1"/>
  <c r="C155" i="37" a="1"/>
  <c r="E150" i="35" a="1"/>
  <c r="C82" i="36" a="1"/>
  <c r="A143" i="36" a="1"/>
  <c r="D132" i="33" a="1"/>
  <c r="B119" i="36" a="1"/>
  <c r="E102" i="32" a="1"/>
  <c r="C154" i="36" a="1"/>
  <c r="B30" i="37" a="1"/>
  <c r="E61" i="34" a="1"/>
  <c r="E37" i="34" a="1"/>
  <c r="A77" i="36" a="1"/>
  <c r="E152" i="34" a="1"/>
  <c r="E92" i="33" a="1"/>
  <c r="D137" i="37" a="1"/>
  <c r="D68" i="36" a="1"/>
  <c r="C141" i="36" a="1"/>
  <c r="C2" i="36" a="1"/>
  <c r="C78" i="34" a="1"/>
  <c r="E29" i="36" a="1"/>
  <c r="E34" i="33" a="1"/>
  <c r="E34" i="36" a="1"/>
  <c r="A148" i="36" a="1"/>
  <c r="A9" i="36" a="1"/>
  <c r="C16" i="37" a="1"/>
  <c r="B151" i="35" a="1"/>
  <c r="E69" i="37" a="1"/>
  <c r="E90" i="37" a="1"/>
  <c r="E66" i="34" a="1"/>
  <c r="C23" i="36" a="1"/>
  <c r="E83" i="37" a="1"/>
  <c r="C125" i="37" a="1"/>
  <c r="B27" i="36" a="1"/>
  <c r="A140" i="34" a="1"/>
  <c r="A25" i="37" a="1"/>
  <c r="A76" i="37" a="1"/>
  <c r="B126" i="35" a="1"/>
  <c r="D49" i="37" a="1"/>
  <c r="A24" i="37" a="1"/>
  <c r="C17" i="37" a="1"/>
  <c r="E116" i="33" a="1"/>
  <c r="B78" i="34" a="1"/>
  <c r="A138" i="34" a="1"/>
  <c r="A126" i="36" a="1"/>
  <c r="E31" i="34" a="1"/>
  <c r="C71" i="37" a="1"/>
  <c r="C131" i="31" a="1"/>
  <c r="D128" i="36" a="1"/>
  <c r="C6" i="35" a="1"/>
  <c r="B103" i="36" a="1"/>
  <c r="E17" i="37" a="1"/>
  <c r="D66" i="37" a="1"/>
  <c r="D153" i="32" a="1"/>
  <c r="B8" i="37" a="1"/>
  <c r="D82" i="35" a="1"/>
  <c r="E55" i="37" a="1"/>
  <c r="E51" i="35" a="1"/>
  <c r="C61" i="37" a="1"/>
  <c r="B93" i="34" a="1"/>
  <c r="E12" i="34" a="1"/>
  <c r="E150" i="36" a="1"/>
  <c r="E14" i="34" a="1"/>
  <c r="A89" i="35" a="1"/>
  <c r="A104" i="34" a="1"/>
  <c r="C61" i="35" a="1"/>
  <c r="E24" i="37" a="1"/>
  <c r="D84" i="36" a="1"/>
  <c r="B83" i="35" a="1"/>
  <c r="E17" i="31" a="1"/>
  <c r="D79" i="37" a="1"/>
  <c r="C40" i="36" a="1"/>
  <c r="B29" i="35" a="1"/>
  <c r="D157" i="35" a="1"/>
  <c r="E90" i="31" a="1"/>
  <c r="E117" i="32" a="1"/>
  <c r="B116" i="37" a="1"/>
  <c r="B132" i="36" a="1"/>
  <c r="A43" i="34" a="1"/>
  <c r="D37" i="33" a="1"/>
  <c r="E88" i="35" a="1"/>
  <c r="D7" i="34" a="1"/>
  <c r="E88" i="31" a="1"/>
  <c r="A70" i="35" a="1"/>
  <c r="B61" i="37" a="1"/>
  <c r="E78" i="36" a="1"/>
  <c r="C148" i="37" a="1"/>
  <c r="B71" i="37" a="1"/>
  <c r="E114" i="37" a="1"/>
  <c r="B9" i="35" a="1"/>
  <c r="E134" i="36" a="1"/>
  <c r="D52" i="37" a="1"/>
  <c r="A158" i="37" a="1"/>
  <c r="C120" i="33" a="1"/>
  <c r="D85" i="32" a="1"/>
  <c r="E120" i="33" a="1"/>
  <c r="E64" i="34" a="1"/>
  <c r="B105" i="36" a="1"/>
  <c r="E46" i="34" a="1"/>
  <c r="E40" i="37" a="1"/>
  <c r="A33" i="33" a="1"/>
  <c r="B76" i="33" a="1"/>
  <c r="E58" i="32" a="1"/>
  <c r="E98" i="31" a="1"/>
  <c r="E3" i="34" a="1"/>
  <c r="E114" i="32" a="1"/>
  <c r="E90" i="35" a="1"/>
  <c r="B63" i="37" a="1"/>
  <c r="B25" i="37" a="1"/>
  <c r="E35" i="34" a="1"/>
  <c r="C66" i="37" a="1"/>
  <c r="C14" i="35" a="1"/>
  <c r="E147" i="36" a="1"/>
  <c r="B89" i="37" a="1"/>
  <c r="C153" i="37" a="1"/>
  <c r="A105" i="37" a="1"/>
  <c r="B144" i="37" a="1"/>
  <c r="E90" i="32" a="1"/>
  <c r="D121" i="35" a="1"/>
  <c r="E26" i="33" a="1"/>
  <c r="E92" i="31" a="1"/>
  <c r="D56" i="37" a="1"/>
  <c r="B56" i="34" a="1"/>
  <c r="A155" i="35" a="1"/>
  <c r="E72" i="35" a="1"/>
  <c r="D95" i="35" a="1"/>
  <c r="E58" i="35" a="1"/>
  <c r="E99" i="34" a="1"/>
  <c r="D145" i="36" a="1"/>
  <c r="E58" i="33" a="1"/>
  <c r="D33" i="33" a="1"/>
  <c r="D50" i="37" a="1"/>
  <c r="D25" i="32" a="1"/>
  <c r="B107" i="36" a="1"/>
  <c r="B24" i="37" a="1"/>
  <c r="E57" i="33" a="1"/>
  <c r="C41" i="35" a="1"/>
  <c r="E133" i="31" a="1"/>
  <c r="A85" i="37" a="1"/>
  <c r="E27" i="31" a="1"/>
  <c r="B148" i="37" a="1"/>
  <c r="E77" i="32" a="1"/>
  <c r="B107" i="34" a="1"/>
  <c r="E106" i="36" a="1"/>
  <c r="C57" i="35" a="1"/>
  <c r="B68" i="34" a="1"/>
  <c r="C58" i="34" a="1"/>
  <c r="A116" i="32" a="1"/>
  <c r="E77" i="35" a="1"/>
  <c r="E56" i="32" a="1"/>
  <c r="A70" i="32" a="1"/>
  <c r="C141" i="32" a="1"/>
  <c r="E95" i="32" a="1"/>
  <c r="E108" i="31" a="1"/>
  <c r="D137" i="33" a="1"/>
  <c r="C61" i="36" a="1"/>
  <c r="E152" i="30" a="1"/>
  <c r="D87" i="36" a="1"/>
  <c r="A111" i="32" a="1"/>
  <c r="E71" i="31" a="1"/>
  <c r="B128" i="36" a="1"/>
  <c r="C69" i="32" a="1"/>
  <c r="D158" i="36" a="1"/>
  <c r="D100" i="37" a="1"/>
  <c r="A53" i="36" a="1"/>
  <c r="A11" i="34" a="1"/>
  <c r="A38" i="32" a="1"/>
  <c r="D73" i="35" a="1"/>
  <c r="B90" i="36" a="1"/>
  <c r="D70" i="36" a="1"/>
  <c r="A112" i="34" a="1"/>
  <c r="E89" i="37" a="1"/>
  <c r="B139" i="36" a="1"/>
  <c r="E147" i="37" a="1"/>
  <c r="A66" i="37" a="1"/>
  <c r="A133" i="37" a="1"/>
  <c r="B129" i="37" a="1"/>
  <c r="A114" i="32" a="1"/>
  <c r="E10" i="37" a="1"/>
  <c r="E37" i="35" a="1"/>
  <c r="A17" i="37" a="1"/>
  <c r="E119" i="36" a="1"/>
  <c r="C94" i="35" a="1"/>
  <c r="A81" i="33" a="1"/>
  <c r="C50" i="36" a="1"/>
  <c r="E114" i="31" a="1"/>
  <c r="B80" i="37" a="1"/>
  <c r="E127" i="37" a="1"/>
  <c r="B23" i="32" a="1"/>
  <c r="E113" i="31" a="1"/>
  <c r="B10" i="37" a="1"/>
  <c r="C152" i="37" a="1"/>
  <c r="E80" i="35" a="1"/>
  <c r="D113" i="32" a="1"/>
  <c r="E15" i="36" a="1"/>
  <c r="C158" i="37" a="1"/>
  <c r="B52" i="36" a="1"/>
  <c r="E33" i="31" a="1"/>
  <c r="B137" i="37" a="1"/>
  <c r="A15" i="37" a="1"/>
  <c r="B147" i="32" a="1"/>
  <c r="E147" i="33" a="1"/>
  <c r="C21" i="33" a="1"/>
  <c r="C111" i="36" a="1"/>
  <c r="A133" i="35" a="1"/>
  <c r="A70" i="36" a="1"/>
  <c r="D46" i="35" a="1"/>
  <c r="D7" i="33" a="1"/>
  <c r="E117" i="31" a="1"/>
  <c r="C153" i="34" a="1"/>
  <c r="B98" i="35" a="1"/>
  <c r="C54" i="37" a="1"/>
  <c r="B129" i="36" a="1"/>
  <c r="D130" i="34" a="1"/>
  <c r="E142" i="36" a="1"/>
  <c r="B62" i="37" a="1"/>
  <c r="D85" i="37" a="1"/>
  <c r="A21" i="35" a="1"/>
  <c r="B75" i="34" a="1"/>
  <c r="B154" i="36" a="1"/>
  <c r="E118" i="34" a="1"/>
  <c r="C61" i="32" a="1"/>
  <c r="A68" i="37" a="1"/>
  <c r="A101" i="33" a="1"/>
  <c r="A51" i="36" a="1"/>
  <c r="D77" i="32" a="1"/>
  <c r="D116" i="37" a="1"/>
  <c r="D115" i="37" a="1"/>
  <c r="E14" i="37" a="1"/>
  <c r="B156" i="31" a="1"/>
  <c r="E134" i="32" a="1"/>
  <c r="A111" i="37" a="1"/>
  <c r="C67" i="37" a="1"/>
  <c r="A63" i="36" a="1"/>
  <c r="D128" i="35" a="1"/>
  <c r="D6" i="37" a="1"/>
  <c r="A50" i="36" a="1"/>
  <c r="E132" i="33" a="1"/>
  <c r="C149" i="31" a="1"/>
  <c r="B101" i="33" a="1"/>
  <c r="A77" i="33" a="1"/>
  <c r="A153" i="34" a="1"/>
  <c r="C113" i="36" a="1"/>
  <c r="A31" i="35" a="1"/>
  <c r="E43" i="30" a="1"/>
  <c r="B9" i="33" a="1"/>
  <c r="B152" i="34" a="1"/>
  <c r="B3" i="37" a="1"/>
  <c r="B122" i="33" a="1"/>
  <c r="D153" i="36" a="1"/>
  <c r="A129" i="31" a="1"/>
  <c r="B59" i="31" a="1"/>
  <c r="E93" i="37" a="1"/>
  <c r="C34" i="34" a="1"/>
  <c r="D95" i="36" a="1"/>
  <c r="C29" i="37" a="1"/>
  <c r="E93" i="32" a="1"/>
  <c r="A158" i="34" a="1"/>
  <c r="E118" i="31" a="1"/>
  <c r="A55" i="32" a="1"/>
  <c r="E126" i="36" a="1"/>
  <c r="C2" i="34" a="1"/>
  <c r="B84" i="33" a="1"/>
  <c r="A132" i="32" a="1"/>
  <c r="A104" i="32" a="1"/>
  <c r="B120" i="32" a="1"/>
  <c r="E60" i="36" a="1"/>
  <c r="E26" i="36" a="1"/>
  <c r="D123" i="35" a="1"/>
  <c r="B82" i="37" a="1"/>
  <c r="D142" i="33" a="1"/>
  <c r="A127" i="33" a="1"/>
  <c r="A111" i="33" a="1"/>
  <c r="E60" i="32" a="1"/>
  <c r="C83" i="34" a="1"/>
  <c r="B7" i="31" a="1"/>
  <c r="E140" i="34" a="1"/>
  <c r="C152" i="31" a="1"/>
  <c r="C32" i="34" a="1"/>
  <c r="B144" i="36" a="1"/>
  <c r="E142" i="34" a="1"/>
  <c r="A47" i="34" a="1"/>
  <c r="C43" i="34" a="1"/>
  <c r="E150" i="32" a="1"/>
  <c r="C121" i="32" a="1"/>
  <c r="A84" i="32" a="1"/>
  <c r="E149" i="33" a="1"/>
  <c r="C131" i="37" a="1"/>
  <c r="D24" i="37" a="1"/>
  <c r="A116" i="36" a="1"/>
  <c r="D105" i="34" a="1"/>
  <c r="A37" i="32" a="1"/>
  <c r="D18" i="35" a="1"/>
  <c r="D108" i="31" a="1"/>
  <c r="D104" i="36" a="1"/>
  <c r="C57" i="33" a="1"/>
  <c r="E9" i="32" a="1"/>
  <c r="C134" i="33" a="1"/>
  <c r="C112" i="32" a="1"/>
  <c r="C86" i="32" a="1"/>
  <c r="E66" i="30" a="1"/>
  <c r="B20" i="34" a="1"/>
  <c r="C117" i="37" a="1"/>
  <c r="A138" i="32" a="1"/>
  <c r="E148" i="32" a="1"/>
  <c r="C139" i="32" a="1"/>
  <c r="E26" i="35" a="1"/>
  <c r="E86" i="31" a="1"/>
  <c r="B10" i="33" a="1"/>
  <c r="B111" i="34" a="1"/>
  <c r="A29" i="33" a="1"/>
  <c r="A126" i="35" a="1"/>
  <c r="A49" i="34" a="1"/>
  <c r="D28" i="34" a="1"/>
  <c r="C130" i="37" a="1"/>
  <c r="E10" i="32" a="1"/>
  <c r="C53" i="36" a="1"/>
  <c r="B144" i="32" a="1"/>
  <c r="B6" i="36" a="1"/>
  <c r="D44" i="34" a="1"/>
  <c r="A80" i="35" a="1"/>
  <c r="D16" i="32" a="1"/>
  <c r="C147" i="34" a="1"/>
  <c r="C115" i="34" a="1"/>
  <c r="A130" i="33" a="1"/>
  <c r="B55" i="32" a="1"/>
  <c r="B41" i="32" a="1"/>
  <c r="B127" i="35" a="1"/>
  <c r="E19" i="31" a="1"/>
  <c r="E156" i="30" a="1"/>
  <c r="B12" i="36" a="1"/>
  <c r="C120" i="35" a="1"/>
  <c r="D131" i="35" a="1"/>
  <c r="A114" i="34" a="1"/>
  <c r="E83" i="33" a="1"/>
  <c r="E52" i="34" a="1"/>
  <c r="E53" i="34" a="1"/>
  <c r="B42" i="36" a="1"/>
  <c r="A136" i="37" a="1"/>
  <c r="B153" i="37" a="1"/>
  <c r="A115" i="35" a="1"/>
  <c r="E155" i="37" a="1"/>
  <c r="A95" i="31" a="1"/>
  <c r="E62" i="36" a="1"/>
  <c r="D71" i="31" a="1"/>
  <c r="B95" i="36" a="1"/>
  <c r="D68" i="33" a="1"/>
  <c r="B10" i="32" a="1"/>
  <c r="E11" i="37" a="1"/>
  <c r="C35" i="35" a="1"/>
  <c r="E29" i="32" a="1"/>
  <c r="C27" i="36" a="1"/>
  <c r="E8" i="36" a="1"/>
  <c r="D22" i="32" a="1"/>
  <c r="E156" i="34" a="1"/>
  <c r="A66" i="33" a="1"/>
  <c r="D96" i="31" a="1"/>
  <c r="B124" i="32" a="1"/>
  <c r="C68" i="34" a="1"/>
  <c r="C18" i="34" a="1"/>
  <c r="C151" i="35" a="1"/>
  <c r="A147" i="36" a="1"/>
  <c r="A26" i="36" a="1"/>
  <c r="E91" i="33" a="1"/>
  <c r="B3" i="35" a="1"/>
  <c r="B57" i="37" a="1"/>
  <c r="A138" i="35" a="1"/>
  <c r="E109" i="37" a="1"/>
  <c r="C125" i="34" a="1"/>
  <c r="D119" i="32" a="1"/>
  <c r="E109" i="34" a="1"/>
  <c r="E145" i="37" a="1"/>
  <c r="A36" i="32" a="1"/>
  <c r="A6" i="35" a="1"/>
  <c r="E26" i="34" a="1"/>
  <c r="D31" i="34" a="1"/>
  <c r="E155" i="36" a="1"/>
  <c r="D85" i="35" a="1"/>
  <c r="C41" i="31" a="1"/>
  <c r="E42" i="33" a="1"/>
  <c r="E151" i="33" a="1"/>
  <c r="B116" i="34" a="1"/>
  <c r="D29" i="32" a="1"/>
  <c r="B61" i="36" a="1"/>
  <c r="B36" i="37" a="1"/>
  <c r="D84" i="33" a="1"/>
  <c r="A144" i="35" a="1"/>
  <c r="E89" i="35" a="1"/>
  <c r="D17" i="37" a="1"/>
  <c r="E130" i="37" a="1"/>
  <c r="E2" i="30" a="1"/>
  <c r="B145" i="35" a="1"/>
  <c r="E64" i="35" a="1"/>
  <c r="A56" i="34" a="1"/>
  <c r="E128" i="36" a="1"/>
  <c r="D105" i="35" a="1"/>
  <c r="D63" i="37" a="1"/>
  <c r="C117" i="34" a="1"/>
  <c r="A10" i="33" a="1"/>
  <c r="A71" i="31" a="1"/>
  <c r="B37" i="35" a="1"/>
  <c r="E25" i="36" a="1"/>
  <c r="D149" i="33" a="1"/>
  <c r="D41" i="34" a="1"/>
  <c r="D121" i="33" a="1"/>
  <c r="D130" i="35" a="1"/>
  <c r="E94" i="31" a="1"/>
  <c r="A52" i="34" a="1"/>
  <c r="B72" i="34" a="1"/>
  <c r="D71" i="35" a="1"/>
  <c r="B28" i="36" a="1"/>
  <c r="D19" i="35" a="1"/>
  <c r="A33" i="34" a="1"/>
  <c r="C52" i="34" a="1"/>
  <c r="E7" i="37" a="1"/>
  <c r="A139" i="35" a="1"/>
  <c r="E136" i="34" a="1"/>
  <c r="A155" i="33" a="1"/>
  <c r="B145" i="32" a="1"/>
  <c r="C133" i="33" a="1"/>
  <c r="E23" i="36" a="1"/>
  <c r="D11" i="31" a="1"/>
  <c r="D154" i="33" a="1"/>
  <c r="E155" i="32" a="1"/>
  <c r="A130" i="34" a="1"/>
  <c r="C118" i="34" a="1"/>
  <c r="B51" i="32" a="1"/>
  <c r="B26" i="34" a="1"/>
  <c r="E78" i="34" a="1"/>
  <c r="B52" i="35" a="1"/>
  <c r="E30" i="35" a="1"/>
  <c r="B68" i="35" a="1"/>
  <c r="D6" i="31" a="1"/>
  <c r="E98" i="37" a="1"/>
  <c r="C137" i="33" a="1"/>
  <c r="D56" i="32" a="1"/>
  <c r="C111" i="32" a="1"/>
  <c r="B134" i="37" a="1"/>
  <c r="C136" i="34" a="1"/>
  <c r="B3" i="32" a="1"/>
  <c r="D59" i="31" a="1"/>
  <c r="E30" i="31" a="1"/>
  <c r="D85" i="33" a="1"/>
  <c r="B141" i="32" a="1"/>
  <c r="D145" i="33" a="1"/>
  <c r="E52" i="37" a="1"/>
  <c r="B41" i="31" a="1"/>
  <c r="A136" i="36" a="1"/>
  <c r="A45" i="33" a="1"/>
  <c r="E2" i="33" a="1"/>
  <c r="E47" i="30" a="1"/>
  <c r="E142" i="32" a="1"/>
  <c r="B70" i="35" a="1"/>
  <c r="A157" i="34" a="1"/>
  <c r="D123" i="36" a="1"/>
  <c r="E2" i="37" a="1"/>
  <c r="E102" i="33" a="1"/>
  <c r="C57" i="32" a="1"/>
  <c r="C103" i="37" a="1"/>
  <c r="B154" i="33" a="1"/>
  <c r="D152" i="33" a="1"/>
  <c r="C148" i="31" a="1"/>
  <c r="D80" i="31" a="1"/>
  <c r="C156" i="31" a="1"/>
  <c r="A139" i="32" a="1"/>
  <c r="C68" i="31" a="1"/>
  <c r="C56" i="37" a="1"/>
  <c r="B56" i="36" a="1"/>
  <c r="A122" i="31" a="1"/>
  <c r="B6" i="34" a="1"/>
  <c r="B64" i="37" a="1"/>
  <c r="D54" i="34" a="1"/>
  <c r="D49" i="35" a="1"/>
  <c r="E98" i="33" a="1"/>
  <c r="D145" i="34" a="1"/>
  <c r="E85" i="35" a="1"/>
  <c r="D63" i="34" a="1"/>
  <c r="B5" i="31" a="1"/>
  <c r="D155" i="32" a="1"/>
  <c r="C66" i="33" a="1"/>
  <c r="E48" i="37" a="1"/>
  <c r="C27" i="34" a="1"/>
  <c r="E127" i="36" a="1"/>
  <c r="A131" i="34" a="1"/>
  <c r="E79" i="35" a="1"/>
  <c r="E100" i="36" a="1"/>
  <c r="B50" i="33" a="1"/>
  <c r="D31" i="37" a="1"/>
  <c r="E57" i="37" a="1"/>
  <c r="D58" i="37" a="1"/>
  <c r="D108" i="36" a="1"/>
  <c r="B120" i="37" a="1"/>
  <c r="B88" i="34" a="1"/>
  <c r="C93" i="32" a="1"/>
  <c r="E22" i="33" a="1"/>
  <c r="E127" i="33" a="1"/>
  <c r="A30" i="33" a="1"/>
  <c r="E107" i="37" a="1"/>
  <c r="C104" i="35" a="1"/>
  <c r="D96" i="32" a="1"/>
  <c r="B98" i="32" a="1"/>
  <c r="D61" i="37" a="1"/>
  <c r="D17" i="33" a="1"/>
  <c r="B74" i="35" a="1"/>
  <c r="C88" i="35" a="1"/>
  <c r="D118" i="36" a="1"/>
  <c r="A60" i="35" a="1"/>
  <c r="B82" i="32" a="1"/>
  <c r="C141" i="37" a="1"/>
  <c r="E141" i="33" a="1"/>
  <c r="C109" i="34" a="1"/>
  <c r="D30" i="35" a="1"/>
  <c r="C9" i="34" a="1"/>
  <c r="D133" i="31" a="1"/>
  <c r="A150" i="34" a="1"/>
  <c r="E25" i="31" a="1"/>
  <c r="C8" i="33" a="1"/>
  <c r="C133" i="31" a="1"/>
  <c r="E58" i="36" a="1"/>
  <c r="B56" i="32" a="1"/>
  <c r="D74" i="31" a="1"/>
  <c r="B56" i="35" a="1"/>
  <c r="D8" i="34" a="1"/>
  <c r="D110" i="35" a="1"/>
  <c r="C85" i="35" a="1"/>
  <c r="A140" i="37" a="1"/>
  <c r="C113" i="31" a="1"/>
  <c r="E49" i="32" a="1"/>
  <c r="C84" i="35" a="1"/>
  <c r="D79" i="34" a="1"/>
  <c r="C30" i="33" a="1"/>
  <c r="C6" i="37" a="1"/>
  <c r="D122" i="34" a="1"/>
  <c r="A99" i="34" a="1"/>
  <c r="A59" i="33" a="1"/>
  <c r="A147" i="32" a="1"/>
  <c r="B125" i="37" a="1"/>
  <c r="E11" i="32" a="1"/>
  <c r="B16" i="32" a="1"/>
  <c r="B22" i="33" a="1"/>
  <c r="D85" i="36" a="1"/>
  <c r="A151" i="37" a="1"/>
  <c r="C14" i="31" a="1"/>
  <c r="E73" i="34" a="1"/>
  <c r="E25" i="30" a="1"/>
  <c r="C147" i="32" a="1"/>
  <c r="A34" i="34" a="1"/>
  <c r="A19" i="35" a="1"/>
  <c r="B42" i="35" a="1"/>
  <c r="E117" i="34" a="1"/>
  <c r="A55" i="34" a="1"/>
  <c r="D118" i="32" a="1"/>
  <c r="A10" i="32" a="1"/>
  <c r="B57" i="33" a="1"/>
  <c r="B137" i="31" a="1"/>
  <c r="D97" i="31" a="1"/>
  <c r="D11" i="34" a="1"/>
  <c r="B83" i="34" a="1"/>
  <c r="B136" i="36" a="1"/>
  <c r="A103" i="36" a="1"/>
  <c r="D116" i="36" a="1"/>
  <c r="A132" i="33" a="1"/>
  <c r="A45" i="36" a="1"/>
  <c r="B82" i="34" a="1"/>
  <c r="D131" i="31" a="1"/>
  <c r="A39" i="33" a="1"/>
  <c r="D78" i="35" a="1"/>
  <c r="D100" i="35" a="1"/>
  <c r="A13" i="31" a="1"/>
  <c r="D125" i="34" a="1"/>
  <c r="A48" i="35" a="1"/>
  <c r="A81" i="31" a="1"/>
  <c r="D108" i="33" a="1"/>
  <c r="E74" i="32" a="1"/>
  <c r="E48" i="36" a="1"/>
  <c r="C38" i="34" a="1"/>
  <c r="B37" i="32" a="1"/>
  <c r="C20" i="33" a="1"/>
  <c r="D87" i="35" a="1"/>
  <c r="E104" i="30" a="1"/>
  <c r="B68" i="37" a="1"/>
  <c r="E149" i="30" a="1"/>
  <c r="C8" i="37" a="1"/>
  <c r="C48" i="35" a="1"/>
  <c r="D27" i="35" a="1"/>
  <c r="B43" i="34" a="1"/>
  <c r="B39" i="33" a="1"/>
  <c r="A137" i="31" a="1"/>
  <c r="B38" i="32" a="1"/>
  <c r="A100" i="37" a="1"/>
  <c r="A7" i="36" a="1"/>
  <c r="D143" i="32" a="1"/>
  <c r="C89" i="35" a="1"/>
  <c r="C96" i="36" a="1"/>
  <c r="E98" i="36" a="1"/>
  <c r="E16" i="35" a="1"/>
  <c r="D136" i="34" a="1"/>
  <c r="B50" i="37" a="1"/>
  <c r="A38" i="37" a="1"/>
  <c r="C49" i="36" a="1"/>
  <c r="C34" i="33" a="1"/>
  <c r="E150" i="31" a="1"/>
  <c r="D55" i="32" a="1"/>
  <c r="A91" i="31" a="1"/>
  <c r="D48" i="35" a="1"/>
  <c r="D94" i="35" a="1"/>
  <c r="E89" i="32" a="1"/>
  <c r="C17" i="31" a="1"/>
  <c r="A15" i="33" a="1"/>
  <c r="D133" i="34" a="1"/>
  <c r="B53" i="36" a="1"/>
  <c r="B18" i="36" a="1"/>
  <c r="E111" i="37" a="1"/>
  <c r="E153" i="36" a="1"/>
  <c r="B131" i="34" a="1"/>
  <c r="B38" i="35" a="1"/>
  <c r="A92" i="35" a="1"/>
  <c r="B87" i="31" a="1"/>
  <c r="A19" i="33" a="1"/>
  <c r="B152" i="36" a="1"/>
  <c r="A110" i="34" a="1"/>
  <c r="C7" i="32" a="1"/>
  <c r="C103" i="33" a="1"/>
  <c r="E28" i="32" a="1"/>
  <c r="D84" i="35" a="1"/>
  <c r="A117" i="32" a="1"/>
  <c r="B88" i="36" a="1"/>
  <c r="B36" i="34" a="1"/>
  <c r="D130" i="36" a="1"/>
  <c r="E120" i="35" a="1"/>
  <c r="E7" i="33" a="1"/>
  <c r="B100" i="34" a="1"/>
  <c r="E121" i="34" a="1"/>
  <c r="E4" i="33" a="1"/>
  <c r="E120" i="36" a="1"/>
  <c r="C72" i="32" a="1"/>
  <c r="E18" i="33" a="1"/>
  <c r="B31" i="36" a="1"/>
  <c r="E136" i="33" a="1"/>
  <c r="B151" i="37" a="1"/>
  <c r="B79" i="35" a="1"/>
  <c r="A69" i="36" a="1"/>
  <c r="D55" i="36" a="1"/>
  <c r="A150" i="35" a="1"/>
  <c r="C38" i="32" a="1"/>
  <c r="B130" i="31" a="1"/>
  <c r="B149" i="36" a="1"/>
  <c r="E98" i="30" a="1"/>
  <c r="A51" i="35" a="1"/>
  <c r="A11" i="33" a="1"/>
  <c r="B130" i="33" a="1"/>
  <c r="D37" i="32" a="1"/>
  <c r="D111" i="34" a="1"/>
  <c r="A41" i="33" a="1"/>
  <c r="C36" i="33" a="1"/>
  <c r="D4" i="31" a="1"/>
  <c r="B55" i="33" a="1"/>
  <c r="B17" i="35" a="1"/>
  <c r="B46" i="33" a="1"/>
  <c r="D114" i="35" a="1"/>
  <c r="B41" i="37" a="1"/>
  <c r="B106" i="37" a="1"/>
  <c r="E48" i="35" a="1"/>
  <c r="B91" i="35" a="1"/>
  <c r="D44" i="33" a="1"/>
  <c r="C140" i="36" a="1"/>
  <c r="A144" i="33" a="1"/>
  <c r="E105" i="37" a="1"/>
  <c r="B86" i="34" a="1"/>
  <c r="A34" i="36" a="1"/>
  <c r="D50" i="34" a="1"/>
  <c r="E35" i="32" a="1"/>
  <c r="C136" i="33" a="1"/>
  <c r="C106" i="31" a="1"/>
  <c r="B65" i="34" a="1"/>
  <c r="B73" i="35" a="1"/>
  <c r="B40" i="36" a="1"/>
  <c r="B90" i="33" a="1"/>
  <c r="E129" i="35" a="1"/>
  <c r="D107" i="31" a="1"/>
  <c r="C25" i="33" a="1"/>
  <c r="A36" i="36" a="1"/>
  <c r="A52" i="32" a="1"/>
  <c r="E133" i="32" a="1"/>
  <c r="A20" i="37" a="1"/>
  <c r="E10" i="31" a="1"/>
  <c r="C39" i="31" a="1"/>
  <c r="E54" i="36" a="1"/>
  <c r="B4" i="33" a="1"/>
  <c r="A130" i="37" a="1"/>
  <c r="C118" i="36" a="1"/>
  <c r="B16" i="34" a="1"/>
  <c r="E9" i="33" a="1"/>
  <c r="D98" i="32" a="1"/>
  <c r="B16" i="35" a="1"/>
  <c r="D138" i="33" a="1"/>
  <c r="D68" i="37" a="1"/>
  <c r="A78" i="31" a="1"/>
  <c r="B60" i="34" a="1"/>
  <c r="C114" i="32" a="1"/>
  <c r="C138" i="32" a="1"/>
  <c r="B143" i="31" a="1"/>
  <c r="A142" i="32" a="1"/>
  <c r="E142" i="33" a="1"/>
  <c r="D61" i="32" a="1"/>
  <c r="C3" i="33" a="1"/>
  <c r="C88" i="32" a="1"/>
  <c r="D142" i="34" a="1"/>
  <c r="A118" i="37" a="1"/>
  <c r="E65" i="37" a="1"/>
  <c r="D122" i="37" a="1"/>
  <c r="D123" i="37" a="1"/>
  <c r="B38" i="33" a="1"/>
  <c r="E31" i="35" a="1"/>
  <c r="D115" i="35" a="1"/>
  <c r="A119" i="33" a="1"/>
  <c r="E120" i="32" a="1"/>
  <c r="E3" i="35" a="1"/>
  <c r="D32" i="36" a="1"/>
  <c r="A16" i="32" a="1"/>
  <c r="D141" i="31" a="1"/>
  <c r="E42" i="36" a="1"/>
  <c r="D112" i="34" a="1"/>
  <c r="E2" i="35" a="1"/>
  <c r="C68" i="32" a="1"/>
  <c r="B80" i="34" a="1"/>
  <c r="B2" i="36" a="1"/>
  <c r="B24" i="33" a="1"/>
  <c r="E104" i="33" a="1"/>
  <c r="B81" i="32" a="1"/>
  <c r="B81" i="34" a="1"/>
  <c r="C96" i="34" a="1"/>
  <c r="D28" i="33" a="1"/>
  <c r="E142" i="37" a="1"/>
  <c r="C146" i="33" a="1"/>
  <c r="E107" i="32" a="1"/>
  <c r="A98" i="35" a="1"/>
  <c r="A156" i="36" a="1"/>
  <c r="B80" i="36" a="1"/>
  <c r="D63" i="33" a="1"/>
  <c r="D12" i="37" a="1"/>
  <c r="E16" i="31" a="1"/>
  <c r="C153" i="33" a="1"/>
  <c r="C98" i="36" a="1"/>
  <c r="C67" i="33" a="1"/>
  <c r="E128" i="37" a="1"/>
  <c r="E130" i="31" a="1"/>
  <c r="A85" i="35" a="1"/>
  <c r="D24" i="32" a="1"/>
  <c r="E94" i="35" a="1"/>
  <c r="C55" i="35" a="1"/>
  <c r="E44" i="35" a="1"/>
  <c r="A114" i="31" a="1"/>
  <c r="B43" i="37" a="1"/>
  <c r="D43" i="37" a="1"/>
  <c r="B67" i="33" a="1"/>
  <c r="C93" i="36" a="1"/>
  <c r="D147" i="32" a="1"/>
  <c r="A129" i="33" a="1"/>
  <c r="C157" i="35" a="1"/>
  <c r="A108" i="33" a="1"/>
  <c r="B32" i="31" a="1"/>
  <c r="C86" i="36" a="1"/>
  <c r="A59" i="35" a="1"/>
  <c r="D140" i="34" a="1"/>
  <c r="A151" i="31" a="1"/>
  <c r="D98" i="34" a="1"/>
  <c r="E87" i="30" a="1"/>
  <c r="D45" i="35" a="1"/>
  <c r="D8" i="31" a="1"/>
  <c r="E26" i="32" a="1"/>
  <c r="D22" i="33" a="1"/>
  <c r="B147" i="37" a="1"/>
  <c r="D92" i="36" a="1"/>
  <c r="B77" i="33" a="1"/>
  <c r="D119" i="37" a="1"/>
  <c r="D149" i="35" a="1"/>
  <c r="B93" i="32" a="1"/>
  <c r="C28" i="32" a="1"/>
  <c r="E111" i="30" a="1"/>
  <c r="D74" i="34" a="1"/>
  <c r="A34" i="31" a="1"/>
  <c r="D151" i="34" a="1"/>
  <c r="A106" i="34" a="1"/>
  <c r="E57" i="36" a="1"/>
  <c r="B140" i="33" a="1"/>
  <c r="E34" i="32" a="1"/>
  <c r="B132" i="33" a="1"/>
  <c r="E54" i="30" a="1"/>
  <c r="D19" i="32" a="1"/>
  <c r="B13" i="31" a="1"/>
  <c r="A75" i="36" a="1"/>
  <c r="B8" i="33" a="1"/>
  <c r="A77" i="32" a="1"/>
  <c r="C113" i="32" a="1"/>
  <c r="A138" i="36" a="1"/>
  <c r="B148" i="34" a="1"/>
  <c r="D145" i="35" a="1"/>
  <c r="A107" i="32" a="1"/>
  <c r="C102" i="33" a="1"/>
  <c r="A63" i="35" a="1"/>
  <c r="C148" i="33" a="1"/>
  <c r="B37" i="36" a="1"/>
  <c r="B74" i="32" a="1"/>
  <c r="E24" i="30" a="1"/>
  <c r="E33" i="32" a="1"/>
  <c r="D154" i="35" a="1"/>
  <c r="C102" i="31" a="1"/>
  <c r="B79" i="36" a="1"/>
  <c r="D2" i="33" a="1"/>
  <c r="B53" i="33" a="1"/>
  <c r="A44" i="31" a="1"/>
  <c r="D139" i="36" a="1"/>
  <c r="E158" i="36" a="1"/>
  <c r="A76" i="33" a="1"/>
  <c r="B118" i="31" a="1"/>
  <c r="D123" i="31" a="1"/>
  <c r="E157" i="37" a="1"/>
  <c r="A7" i="33" a="1"/>
  <c r="B40" i="37" a="1"/>
  <c r="E82" i="37" a="1"/>
  <c r="A83" i="32" a="1"/>
  <c r="B117" i="33" a="1"/>
  <c r="A96" i="32" a="1"/>
  <c r="C54" i="33" a="1"/>
  <c r="C36" i="37" a="1"/>
  <c r="E121" i="36" a="1"/>
  <c r="E38" i="36" a="1"/>
  <c r="C37" i="36" a="1"/>
  <c r="D144" i="33" a="1"/>
  <c r="D25" i="34" a="1"/>
  <c r="D16" i="37" a="1"/>
  <c r="C22" i="32" a="1"/>
  <c r="C51" i="36" a="1"/>
  <c r="E74" i="35" a="1"/>
  <c r="D79" i="35" a="1"/>
  <c r="D17" i="36" a="1"/>
  <c r="A56" i="32" a="1"/>
  <c r="A17" i="32" a="1"/>
  <c r="A46" i="33" a="1"/>
  <c r="E157" i="35" a="1"/>
  <c r="C158" i="35" a="1"/>
  <c r="B78" i="35" a="1"/>
  <c r="B5" i="34" a="1"/>
  <c r="A101" i="37" a="1"/>
  <c r="A87" i="34" a="1"/>
  <c r="D47" i="33" a="1"/>
  <c r="E123" i="35" a="1"/>
  <c r="C149" i="35" a="1"/>
  <c r="B86" i="36" a="1"/>
  <c r="E97" i="33" a="1"/>
  <c r="D45" i="31" a="1"/>
  <c r="D72" i="33" a="1"/>
  <c r="D88" i="34" a="1"/>
  <c r="D59" i="36" a="1"/>
  <c r="C72" i="36" a="1"/>
  <c r="B82" i="35" a="1"/>
  <c r="C58" i="32" a="1"/>
  <c r="B158" i="31" a="1"/>
  <c r="D77" i="35" a="1"/>
  <c r="E99" i="36" a="1"/>
  <c r="C40" i="37" a="1"/>
  <c r="B127" i="31" a="1"/>
  <c r="A154" i="34" a="1"/>
  <c r="B112" i="32" a="1"/>
  <c r="B127" i="37" a="1"/>
  <c r="A5" i="36" a="1"/>
  <c r="D104" i="31" a="1"/>
  <c r="C138" i="33" a="1"/>
  <c r="A114" i="36" a="1"/>
  <c r="E41" i="31" a="1"/>
  <c r="B157" i="36" a="1"/>
  <c r="C145" i="34" a="1"/>
  <c r="E44" i="32" a="1"/>
  <c r="E153" i="31" a="1"/>
  <c r="C139" i="31" a="1"/>
  <c r="A25" i="33" a="1"/>
  <c r="B21" i="31" a="1"/>
  <c r="E97" i="34" a="1"/>
  <c r="C5" i="32" a="1"/>
  <c r="C5" i="34" a="1"/>
  <c r="D117" i="37" a="1"/>
  <c r="A72" i="33" a="1"/>
  <c r="C3" i="37" a="1"/>
  <c r="D24" i="36" a="1"/>
  <c r="E126" i="34" a="1"/>
  <c r="E100" i="31" a="1"/>
  <c r="B12" i="31" a="1"/>
  <c r="A94" i="33" a="1"/>
  <c r="D127" i="32" a="1"/>
  <c r="A42" i="33" a="1"/>
  <c r="C16" i="32" a="1"/>
  <c r="B62" i="34" a="1"/>
  <c r="B85" i="32" a="1"/>
  <c r="D52" i="34" a="1"/>
  <c r="B81" i="35" a="1"/>
  <c r="E146" i="34" a="1"/>
  <c r="A76" i="34" a="1"/>
  <c r="E139" i="34" a="1"/>
  <c r="E103" i="33" a="1"/>
  <c r="E126" i="30" a="1"/>
  <c r="D41" i="33" a="1"/>
  <c r="D109" i="35" a="1"/>
  <c r="D122" i="32" a="1"/>
  <c r="C50" i="34" a="1"/>
  <c r="E60" i="37" a="1"/>
  <c r="C93" i="34" a="1"/>
  <c r="A57" i="31" a="1"/>
  <c r="D59" i="32" a="1"/>
  <c r="D35" i="33" a="1"/>
  <c r="E20" i="32" a="1"/>
  <c r="C97" i="35" a="1"/>
  <c r="B34" i="34" a="1"/>
  <c r="E90" i="33" a="1"/>
  <c r="B72" i="36" a="1"/>
  <c r="C44" i="37" a="1"/>
  <c r="B63" i="36" a="1"/>
  <c r="E104" i="34" a="1"/>
  <c r="C37" i="32" a="1"/>
  <c r="C54" i="36" a="1"/>
  <c r="B116" i="32" a="1"/>
  <c r="E108" i="33" a="1"/>
  <c r="C130" i="35" a="1"/>
  <c r="C125" i="31" a="1"/>
  <c r="C22" i="36" a="1"/>
  <c r="A47" i="31" a="1"/>
  <c r="A112" i="32" a="1"/>
  <c r="A95" i="36" a="1"/>
  <c r="C132" i="32" a="1"/>
  <c r="D140" i="35" a="1"/>
  <c r="D111" i="33" a="1"/>
  <c r="E156" i="32" a="1"/>
  <c r="D9" i="36" a="1"/>
  <c r="A87" i="35" a="1"/>
  <c r="A48" i="36" a="1"/>
  <c r="B61" i="31" a="1"/>
  <c r="A135" i="32" a="1"/>
  <c r="E145" i="30" a="1"/>
  <c r="C127" i="36" a="1"/>
  <c r="D130" i="37" a="1"/>
  <c r="D134" i="33" a="1"/>
  <c r="B139" i="34" a="1"/>
  <c r="E150" i="34" a="1"/>
  <c r="A68" i="35" a="1"/>
  <c r="E56" i="34" a="1"/>
  <c r="C105" i="37" a="1"/>
  <c r="D42" i="34" a="1"/>
  <c r="C81" i="37" a="1"/>
  <c r="A23" i="34" a="1"/>
  <c r="E156" i="37" a="1"/>
  <c r="E155" i="30" a="1"/>
  <c r="C35" i="34" a="1"/>
  <c r="B101" i="34" a="1"/>
  <c r="B102" i="32" a="1"/>
  <c r="B99" i="36" a="1"/>
  <c r="A116" i="31" a="1"/>
  <c r="B28" i="32" a="1"/>
  <c r="E121" i="32" a="1"/>
  <c r="A77" i="35" a="1"/>
  <c r="D125" i="32" a="1"/>
  <c r="B85" i="34" a="1"/>
  <c r="C132" i="37" a="1"/>
  <c r="A64" i="37" a="1"/>
  <c r="B58" i="35" a="1"/>
  <c r="B103" i="32" a="1"/>
  <c r="C70" i="32" a="1"/>
  <c r="A8" i="34" a="1"/>
  <c r="E6" i="33" a="1"/>
  <c r="E37" i="30" a="1"/>
  <c r="C152" i="36" a="1"/>
  <c r="B32" i="35" a="1"/>
  <c r="B105" i="33" a="1"/>
  <c r="E22" i="32" a="1"/>
  <c r="D65" i="37" a="1"/>
  <c r="B155" i="31" a="1"/>
  <c r="D121" i="36" a="1"/>
  <c r="B47" i="32" a="1"/>
  <c r="C98" i="37" a="1"/>
  <c r="C58" i="37" a="1"/>
  <c r="D109" i="31" a="1"/>
  <c r="D2" i="35" a="1"/>
  <c r="A109" i="36" a="1"/>
  <c r="E80" i="32" a="1"/>
  <c r="D152" i="37" a="1"/>
  <c r="B86" i="35" a="1"/>
  <c r="B48" i="36" a="1"/>
  <c r="E115" i="35" a="1"/>
  <c r="D15" i="36" a="1"/>
  <c r="C73" i="31" a="1"/>
  <c r="A153" i="37" a="1"/>
  <c r="E12" i="31" a="1"/>
  <c r="B70" i="31" a="1"/>
  <c r="E144" i="33" a="1"/>
  <c r="A72" i="36" a="1"/>
  <c r="E50" i="36" a="1"/>
  <c r="D50" i="35" a="1"/>
  <c r="E140" i="35" a="1"/>
  <c r="E149" i="36" a="1"/>
  <c r="A65" i="35" a="1"/>
  <c r="B71" i="33" a="1"/>
  <c r="C66" i="32" a="1"/>
  <c r="B117" i="35" a="1"/>
  <c r="B136" i="37" a="1"/>
  <c r="C21" i="34" a="1"/>
  <c r="A128" i="35" a="1"/>
  <c r="C46" i="34" a="1"/>
  <c r="E88" i="30" a="1"/>
  <c r="A90" i="36" a="1"/>
  <c r="E31" i="33" a="1"/>
  <c r="B145" i="34" a="1"/>
  <c r="C105" i="32" a="1"/>
  <c r="C43" i="37" a="1"/>
  <c r="E134" i="34" a="1"/>
  <c r="C63" i="34" a="1"/>
  <c r="E38" i="35" a="1"/>
  <c r="D155" i="33" a="1"/>
  <c r="D150" i="31" a="1"/>
  <c r="D109" i="37" a="1"/>
  <c r="C4" i="31" a="1"/>
  <c r="C116" i="37" a="1"/>
  <c r="A44" i="35" a="1"/>
  <c r="A19" i="31" a="1"/>
  <c r="B79" i="34" a="1"/>
  <c r="B87" i="36" a="1"/>
  <c r="A11" i="37" a="1"/>
  <c r="D114" i="36" a="1"/>
  <c r="B47" i="35" a="1"/>
  <c r="E71" i="35" a="1"/>
  <c r="A143" i="34" a="1"/>
  <c r="E34" i="35" a="1"/>
  <c r="C44" i="33" a="1"/>
  <c r="B106" i="35" a="1"/>
  <c r="E127" i="34" a="1"/>
  <c r="D113" i="35" a="1"/>
  <c r="B156" i="33" a="1"/>
  <c r="D99" i="36" a="1"/>
  <c r="C28" i="34" a="1"/>
  <c r="E6" i="34" a="1"/>
  <c r="E107" i="33" a="1"/>
  <c r="C158" i="33" a="1"/>
  <c r="E13" i="33" a="1"/>
  <c r="D123" i="34" a="1"/>
  <c r="C45" i="33" a="1"/>
  <c r="E71" i="33" a="1"/>
  <c r="B114" i="36" a="1"/>
  <c r="C39" i="36" a="1"/>
  <c r="D45" i="33" a="1"/>
  <c r="A66" i="34" a="1"/>
  <c r="C64" i="35" a="1"/>
  <c r="C110" i="31" a="1"/>
  <c r="E74" i="37" a="1"/>
  <c r="A146" i="35" a="1"/>
  <c r="D129" i="34" a="1"/>
  <c r="A51" i="33" a="1"/>
  <c r="E39" i="34" a="1"/>
  <c r="B88" i="31" a="1"/>
  <c r="D100" i="33" a="1"/>
  <c r="B31" i="37" a="1"/>
  <c r="A141" i="35" a="1"/>
  <c r="D73" i="36" a="1"/>
  <c r="B85" i="31" a="1"/>
  <c r="D158" i="34" a="1"/>
  <c r="A98" i="31" a="1"/>
  <c r="B77" i="37" a="1"/>
  <c r="C25" i="35" a="1"/>
  <c r="B67" i="34" a="1"/>
  <c r="A158" i="35" a="1"/>
  <c r="C65" i="35" a="1"/>
  <c r="B60" i="32" a="1"/>
  <c r="C9" i="36" a="1"/>
  <c r="A7" i="34" a="1"/>
  <c r="A105" i="31" a="1"/>
  <c r="E123" i="32" a="1"/>
  <c r="E11" i="30" a="1"/>
  <c r="B141" i="33" a="1"/>
  <c r="E6" i="31" a="1"/>
  <c r="C22" i="31" a="1"/>
  <c r="C131" i="32" a="1"/>
  <c r="B138" i="33" a="1"/>
  <c r="A95" i="33" a="1"/>
  <c r="C60" i="33" a="1"/>
  <c r="C111" i="33" a="1"/>
  <c r="D27" i="37" a="1"/>
  <c r="D19" i="37" a="1"/>
  <c r="E38" i="32" a="1"/>
  <c r="E85" i="32" a="1"/>
  <c r="D52" i="33" a="1"/>
  <c r="D5" i="33" a="1"/>
  <c r="A64" i="33" a="1"/>
  <c r="E78" i="33" a="1"/>
  <c r="D6" i="32" a="1"/>
  <c r="B64" i="31" a="1"/>
  <c r="D66" i="34" a="1"/>
  <c r="E76" i="30" a="1"/>
  <c r="E110" i="32" a="1"/>
  <c r="D26" i="37" a="1"/>
  <c r="E20" i="30" a="1"/>
  <c r="A123" i="31" a="1"/>
  <c r="E147" i="34" a="1"/>
  <c r="C24" i="31" a="1"/>
  <c r="D13" i="35" a="1"/>
  <c r="B121" i="35" a="1"/>
  <c r="C145" i="31" a="1"/>
  <c r="D126" i="36" a="1"/>
  <c r="D84" i="32" a="1"/>
  <c r="C157" i="31" a="1"/>
  <c r="D148" i="31" a="1"/>
  <c r="A45" i="34" a="1"/>
  <c r="E105" i="34" a="1"/>
  <c r="A31" i="33" a="1"/>
  <c r="B8" i="32" a="1"/>
  <c r="E93" i="33" a="1"/>
  <c r="E101" i="31" a="1"/>
  <c r="A4" i="31" a="1"/>
  <c r="B4" i="34" a="1"/>
  <c r="D112" i="33" a="1"/>
  <c r="D7" i="36" a="1"/>
  <c r="C102" i="34" a="1"/>
  <c r="B135" i="35" a="1"/>
  <c r="C116" i="34" a="1"/>
  <c r="E124" i="31" a="1"/>
  <c r="A79" i="36" a="1"/>
  <c r="B26" i="36" a="1"/>
  <c r="C34" i="32" a="1"/>
  <c r="A78" i="33" a="1"/>
  <c r="C95" i="34" a="1"/>
  <c r="C80" i="37" a="1"/>
  <c r="D14" i="36" a="1"/>
  <c r="D76" i="35" a="1"/>
  <c r="D92" i="33" a="1"/>
  <c r="C74" i="37" a="1"/>
  <c r="B33" i="35" a="1"/>
  <c r="B29" i="34" a="1"/>
  <c r="A132" i="37" a="1"/>
  <c r="A49" i="32" a="1"/>
  <c r="E65" i="32" a="1"/>
  <c r="D127" i="36" a="1"/>
  <c r="B112" i="31" a="1"/>
  <c r="C9" i="31" a="1"/>
  <c r="A77" i="31" a="1"/>
  <c r="A88" i="35" a="1"/>
  <c r="B59" i="37" a="1"/>
  <c r="A117" i="34" a="1"/>
  <c r="C78" i="31" a="1"/>
  <c r="C8" i="36" a="1"/>
  <c r="C90" i="34" a="1"/>
  <c r="E95" i="31" a="1"/>
  <c r="C120" i="31" a="1"/>
  <c r="A144" i="37" a="1"/>
  <c r="D93" i="31" a="1"/>
  <c r="C145" i="37" a="1"/>
  <c r="C8" i="35" a="1"/>
  <c r="D96" i="33" a="1"/>
  <c r="C155" i="32" a="1"/>
  <c r="B73" i="33" a="1"/>
  <c r="D10" i="36" a="1"/>
  <c r="A115" i="31" a="1"/>
  <c r="D14" i="35" a="1"/>
  <c r="E125" i="36" a="1"/>
  <c r="E141" i="36" a="1"/>
  <c r="A158" i="31" a="1"/>
  <c r="D8" i="33" a="1"/>
  <c r="B17" i="34" a="1"/>
  <c r="C53" i="34" a="1"/>
  <c r="A88" i="36" a="1"/>
  <c r="C94" i="37" a="1"/>
  <c r="A123" i="37" a="1"/>
  <c r="D14" i="31" a="1"/>
  <c r="A118" i="36" a="1"/>
  <c r="C120" i="34" a="1"/>
  <c r="A141" i="32" a="1"/>
  <c r="C125" i="33" a="1"/>
  <c r="A3" i="37" a="1"/>
  <c r="C51" i="37" a="1"/>
  <c r="A46" i="32" a="1"/>
  <c r="B23" i="36" a="1"/>
  <c r="A137" i="32" a="1"/>
  <c r="A30" i="35" a="1"/>
  <c r="A131" i="33" a="1"/>
  <c r="A128" i="32" a="1"/>
  <c r="C100" i="34" a="1"/>
  <c r="B138" i="31" a="1"/>
  <c r="E125" i="30" a="1"/>
  <c r="C118" i="32" a="1"/>
  <c r="D150" i="33" a="1"/>
  <c r="D23" i="34" a="1"/>
  <c r="C63" i="36" a="1"/>
  <c r="B95" i="33" a="1"/>
  <c r="B115" i="31" a="1"/>
  <c r="A152" i="36" a="1"/>
  <c r="A118" i="32" a="1"/>
  <c r="B63" i="32" a="1"/>
  <c r="A104" i="35" a="1"/>
  <c r="B82" i="36" a="1"/>
  <c r="D66" i="31" a="1"/>
  <c r="A153" i="35" a="1"/>
  <c r="D3" i="37" a="1"/>
  <c r="A121" i="33" a="1"/>
  <c r="A108" i="37" a="1"/>
  <c r="D23" i="32" a="1"/>
  <c r="A78" i="37" a="1"/>
  <c r="E36" i="32" a="1"/>
  <c r="E34" i="31" a="1"/>
  <c r="C121" i="37" a="1"/>
  <c r="C27" i="33" a="1"/>
  <c r="D100" i="32" a="1"/>
  <c r="D79" i="31" a="1"/>
  <c r="E148" i="33" a="1"/>
  <c r="A40" i="36" a="1"/>
  <c r="B144" i="31" a="1"/>
  <c r="A99" i="37" a="1"/>
  <c r="E5" i="30" a="1"/>
  <c r="E107" i="31" a="1"/>
  <c r="A152" i="32" a="1"/>
  <c r="B123" i="32" a="1"/>
  <c r="D69" i="31" a="1"/>
  <c r="E28" i="30" a="1"/>
  <c r="B39" i="36" a="1"/>
  <c r="A92" i="32" a="1"/>
  <c r="B99" i="33" a="1"/>
  <c r="C72" i="35" a="1"/>
  <c r="A140" i="36" a="1"/>
  <c r="A56" i="36" a="1"/>
  <c r="B89" i="36" a="1"/>
  <c r="B38" i="31" a="1"/>
  <c r="D106" i="33" a="1"/>
  <c r="A75" i="32" a="1"/>
  <c r="D36" i="37" a="1"/>
  <c r="B98" i="33" a="1"/>
  <c r="B49" i="33" a="1"/>
  <c r="D90" i="37" a="1"/>
  <c r="E48" i="34" a="1"/>
  <c r="A121" i="37" a="1"/>
  <c r="E68" i="32" a="1"/>
  <c r="D10" i="34" a="1"/>
  <c r="D106" i="35" a="1"/>
  <c r="D124" i="31" a="1"/>
  <c r="B111" i="35" a="1"/>
  <c r="D72" i="31" a="1"/>
  <c r="B19" i="35" a="1"/>
  <c r="D146" i="36" a="1"/>
  <c r="E24" i="34" a="1"/>
  <c r="C49" i="35" a="1"/>
  <c r="E71" i="34" a="1"/>
  <c r="C155" i="31" a="1"/>
  <c r="C88" i="37" a="1"/>
  <c r="A91" i="35" a="1"/>
  <c r="A90" i="33" a="1"/>
  <c r="B118" i="37" a="1"/>
  <c r="C46" i="33" a="1"/>
  <c r="D145" i="31" a="1"/>
  <c r="E22" i="36" a="1"/>
  <c r="D132" i="36" a="1"/>
  <c r="D121" i="37" a="1"/>
  <c r="A19" i="32" a="1"/>
  <c r="E39" i="32" a="1"/>
  <c r="E88" i="32" a="1"/>
  <c r="C38" i="35" a="1"/>
  <c r="B97" i="34" a="1"/>
  <c r="A44" i="36" a="1"/>
  <c r="A61" i="37" a="1"/>
  <c r="B59" i="34" a="1"/>
  <c r="D73" i="34" a="1"/>
  <c r="A119" i="32" a="1"/>
  <c r="B50" i="31" a="1"/>
  <c r="B65" i="37" a="1"/>
  <c r="B145" i="33" a="1"/>
  <c r="D38" i="35" a="1"/>
  <c r="A8" i="37" a="1"/>
  <c r="E145" i="32" a="1"/>
  <c r="D70" i="31" a="1"/>
  <c r="E108" i="36" a="1"/>
  <c r="E144" i="32" a="1"/>
  <c r="E103" i="35" a="1"/>
  <c r="A55" i="37" a="1"/>
  <c r="A52" i="36" a="1"/>
  <c r="C23" i="32" a="1"/>
  <c r="D150" i="35" a="1"/>
  <c r="C92" i="37" a="1"/>
  <c r="C155" i="36" a="1"/>
  <c r="C76" i="35" a="1"/>
  <c r="A69" i="31" a="1"/>
  <c r="E30" i="33" a="1"/>
  <c r="B57" i="35" a="1"/>
  <c r="A44" i="37" a="1"/>
  <c r="A89" i="33" a="1"/>
  <c r="D113" i="34" a="1"/>
  <c r="C31" i="35" a="1"/>
  <c r="E104" i="35" a="1"/>
  <c r="C76" i="36" a="1"/>
  <c r="C51" i="31" a="1"/>
  <c r="D83" i="34" a="1"/>
  <c r="A15" i="34" a="1"/>
  <c r="D46" i="33" a="1"/>
  <c r="E158" i="34" a="1"/>
  <c r="D65" i="34" a="1"/>
  <c r="C115" i="33" a="1"/>
  <c r="C12" i="32" a="1"/>
  <c r="B109" i="34" a="1"/>
  <c r="A55" i="33" a="1"/>
  <c r="E7" i="36" a="1"/>
  <c r="D58" i="34" a="1"/>
  <c r="E73" i="30" a="1"/>
  <c r="B71" i="36" a="1"/>
  <c r="D119" i="35" a="1"/>
  <c r="E68" i="36" a="1"/>
  <c r="B23" i="37" a="1"/>
  <c r="B142" i="34" a="1"/>
  <c r="E123" i="33" a="1"/>
  <c r="A155" i="31" a="1"/>
  <c r="B140" i="37" a="1"/>
  <c r="C113" i="35" a="1"/>
  <c r="A153" i="33" a="1"/>
  <c r="D12" i="33" a="1"/>
  <c r="B49" i="32" a="1"/>
  <c r="A75" i="33" a="1"/>
  <c r="B152" i="35" a="1"/>
  <c r="A111" i="35" a="1"/>
  <c r="E45" i="31" a="1"/>
  <c r="D34" i="37" a="1"/>
  <c r="C79" i="36" a="1"/>
  <c r="A133" i="32" a="1"/>
  <c r="A21" i="33" a="1"/>
  <c r="B131" i="36" a="1"/>
  <c r="A156" i="33" a="1"/>
  <c r="C123" i="31" a="1"/>
  <c r="A107" i="36" a="1"/>
  <c r="E21" i="30" a="1"/>
  <c r="C23" i="33" a="1"/>
  <c r="D135" i="34" a="1"/>
  <c r="A49" i="31" a="1"/>
  <c r="A9" i="34" a="1"/>
  <c r="C91" i="35" a="1"/>
  <c r="D99" i="33" a="1"/>
  <c r="E148" i="31" a="1"/>
  <c r="C24" i="35" a="1"/>
  <c r="E18" i="30" a="1"/>
  <c r="A144" i="31" a="1"/>
  <c r="B60" i="35" a="1"/>
  <c r="E144" i="30" a="1"/>
  <c r="B71" i="31" a="1"/>
  <c r="C104" i="31" a="1"/>
  <c r="D60" i="33" a="1"/>
  <c r="C93" i="31" a="1"/>
  <c r="A147" i="35" a="1"/>
  <c r="C117" i="32" a="1"/>
  <c r="E114" i="33" a="1"/>
  <c r="C142" i="33" a="1"/>
  <c r="C24" i="36" a="1"/>
  <c r="C119" i="31" a="1"/>
  <c r="A77" i="34" a="1"/>
  <c r="A103" i="34" a="1"/>
  <c r="B21" i="35" a="1"/>
  <c r="E73" i="33" a="1"/>
  <c r="E100" i="35" a="1"/>
  <c r="A38" i="33" a="1"/>
  <c r="C156" i="37" a="1"/>
  <c r="B135" i="31" a="1"/>
  <c r="E146" i="37" a="1"/>
  <c r="E123" i="31" a="1"/>
  <c r="A92" i="31" a="1"/>
  <c r="C44" i="35" a="1"/>
  <c r="C29" i="35" a="1"/>
  <c r="A134" i="35" a="1"/>
  <c r="D18" i="34" a="1"/>
  <c r="B91" i="31" a="1"/>
  <c r="C52" i="31" a="1"/>
  <c r="D54" i="33" a="1"/>
  <c r="B131" i="32" a="1"/>
  <c r="E92" i="35" a="1"/>
  <c r="A68" i="33" a="1"/>
  <c r="E112" i="35" a="1"/>
  <c r="C155" i="35" a="1"/>
  <c r="D101" i="32" a="1"/>
  <c r="C77" i="34" a="1"/>
  <c r="B121" i="33" a="1"/>
  <c r="B142" i="37" a="1"/>
  <c r="C44" i="32" a="1"/>
  <c r="D156" i="32" a="1"/>
  <c r="E56" i="35" a="1"/>
  <c r="D65" i="33" a="1"/>
  <c r="A34" i="33" a="1"/>
  <c r="C115" i="36" a="1"/>
  <c r="A18" i="37" a="1"/>
  <c r="D65" i="36" a="1"/>
  <c r="C106" i="37" a="1"/>
  <c r="E116" i="30" a="1"/>
  <c r="B47" i="33" a="1"/>
  <c r="A59" i="32" a="1"/>
  <c r="E78" i="35" a="1"/>
  <c r="B149" i="33" a="1"/>
  <c r="E77" i="31" a="1"/>
  <c r="C135" i="32" a="1"/>
  <c r="A41" i="32" a="1"/>
  <c r="E5" i="32" a="1"/>
  <c r="B96" i="31" a="1"/>
  <c r="C28" i="36" a="1"/>
  <c r="C119" i="32" a="1"/>
  <c r="C73" i="36" a="1"/>
  <c r="D65" i="31" a="1"/>
  <c r="A91" i="33" a="1"/>
  <c r="C147" i="33" a="1"/>
  <c r="A48" i="32" a="1"/>
  <c r="C36" i="36" a="1"/>
  <c r="C16" i="35" a="1"/>
  <c r="D132" i="35" a="1"/>
  <c r="C78" i="32" a="1"/>
  <c r="E85" i="30" a="1"/>
  <c r="C112" i="37" a="1"/>
  <c r="C48" i="33" a="1"/>
  <c r="A98" i="34" a="1"/>
  <c r="B90" i="32" a="1"/>
  <c r="B15" i="33" a="1"/>
  <c r="E118" i="35" a="1"/>
  <c r="D85" i="34" a="1"/>
  <c r="B57" i="32" a="1"/>
  <c r="A41" i="37" a="1"/>
  <c r="D32" i="32" a="1"/>
  <c r="C38" i="33" a="1"/>
  <c r="D101" i="35" a="1"/>
  <c r="E119" i="37" a="1"/>
  <c r="A25" i="32" a="1"/>
  <c r="D35" i="32" a="1"/>
  <c r="D136" i="33" a="1"/>
  <c r="A15" i="31" a="1"/>
  <c r="B82" i="33" a="1"/>
  <c r="E123" i="30" a="1"/>
  <c r="D39" i="32" a="1"/>
  <c r="D147" i="35" a="1"/>
  <c r="C71" i="33" a="1"/>
  <c r="A121" i="35" a="1"/>
  <c r="E3" i="30" a="1"/>
  <c r="B139" i="31" a="1"/>
  <c r="B142" i="32" a="1"/>
  <c r="B86" i="33" a="1"/>
  <c r="C2" i="33" a="1"/>
  <c r="E23" i="30" a="1"/>
  <c r="A46" i="31" a="1"/>
  <c r="A94" i="31" a="1"/>
  <c r="C68" i="33" a="1"/>
  <c r="B57" i="34" a="1"/>
  <c r="C9" i="35" a="1"/>
  <c r="A11" i="35" a="1"/>
  <c r="B81" i="31" a="1"/>
  <c r="B95" i="37" a="1"/>
  <c r="B116" i="36" a="1"/>
  <c r="D83" i="37" a="1"/>
  <c r="A14" i="33" a="1"/>
  <c r="B137" i="35" a="1"/>
  <c r="D134" i="36" a="1"/>
  <c r="C7" i="37" a="1"/>
  <c r="A128" i="37" a="1"/>
  <c r="D105" i="37" a="1"/>
  <c r="D5" i="35" a="1"/>
  <c r="C72" i="31" a="1"/>
  <c r="A119" i="36" a="1"/>
  <c r="A35" i="37" a="1"/>
  <c r="E14" i="33" a="1"/>
  <c r="B65" i="33" a="1"/>
  <c r="D110" i="36" a="1"/>
  <c r="C60" i="31" a="1"/>
  <c r="A84" i="33" a="1"/>
  <c r="A149" i="36" a="1"/>
  <c r="D23" i="35" a="1"/>
  <c r="E49" i="35" a="1"/>
  <c r="A107" i="33" a="1"/>
  <c r="B143" i="32" a="1"/>
  <c r="D94" i="31" a="1"/>
  <c r="E100" i="37" a="1"/>
  <c r="A140" i="33" a="1"/>
  <c r="E95" i="33" a="1"/>
  <c r="B113" i="35" a="1"/>
  <c r="C25" i="36" a="1"/>
  <c r="E143" i="37" a="1"/>
  <c r="C69" i="36" a="1"/>
  <c r="E112" i="32" a="1"/>
  <c r="A95" i="35" a="1"/>
  <c r="E110" i="30" a="1"/>
  <c r="D93" i="32" a="1"/>
  <c r="B131" i="31" a="1"/>
  <c r="C69" i="34" a="1"/>
  <c r="C84" i="34" a="1"/>
  <c r="A57" i="32" a="1"/>
  <c r="A64" i="35" a="1"/>
  <c r="B92" i="37" a="1"/>
  <c r="D102" i="34" a="1"/>
  <c r="C107" i="32" a="1"/>
  <c r="D49" i="34" a="1"/>
  <c r="A70" i="31" a="1"/>
  <c r="D137" i="34" a="1"/>
  <c r="C63" i="31" a="1"/>
  <c r="D110" i="34" a="1"/>
  <c r="E59" i="37" a="1"/>
  <c r="B41" i="36" a="1"/>
  <c r="C106" i="35" a="1"/>
  <c r="D73" i="33" a="1"/>
  <c r="C76" i="34" a="1"/>
  <c r="E31" i="30" a="1"/>
  <c r="D6" i="33" a="1"/>
  <c r="E39" i="30" a="1"/>
  <c r="D104" i="32" a="1"/>
  <c r="D49" i="32" a="1"/>
  <c r="D112" i="35" a="1"/>
  <c r="A122" i="32" a="1"/>
  <c r="E39" i="36" a="1"/>
  <c r="B6" i="32" a="1"/>
  <c r="B134" i="36" a="1"/>
  <c r="A84" i="34" a="1"/>
  <c r="D40" i="32" a="1"/>
  <c r="A26" i="32" a="1"/>
  <c r="C146" i="35" a="1"/>
  <c r="C43" i="33" a="1"/>
  <c r="D116" i="33" a="1"/>
  <c r="D96" i="35" a="1"/>
  <c r="C10" i="32" a="1"/>
  <c r="E136" i="30" a="1"/>
  <c r="C43" i="32" a="1"/>
  <c r="C124" i="37" a="1"/>
  <c r="E5" i="35" a="1"/>
  <c r="D67" i="37" a="1"/>
  <c r="E63" i="36" a="1"/>
  <c r="B44" i="31" a="1"/>
  <c r="C21" i="31" a="1"/>
  <c r="E81" i="31" a="1"/>
  <c r="E128" i="30" a="1"/>
  <c r="D131" i="36" a="1"/>
  <c r="A73" i="35" a="1"/>
  <c r="A7" i="31" a="1"/>
  <c r="D56" i="31" a="1"/>
  <c r="C140" i="31" a="1"/>
  <c r="B101" i="31" a="1"/>
  <c r="D129" i="36" a="1"/>
  <c r="A92" i="33" a="1"/>
  <c r="D39" i="34" a="1"/>
  <c r="D27" i="34" a="1"/>
  <c r="B68" i="33" a="1"/>
  <c r="E78" i="32" a="1"/>
  <c r="D129" i="33" a="1"/>
  <c r="A111" i="34" a="1"/>
  <c r="A67" i="34" a="1"/>
  <c r="B39" i="31" a="1"/>
  <c r="D106" i="31" a="1"/>
  <c r="A107" i="35" a="1"/>
  <c r="D86" i="32" a="1"/>
  <c r="B128" i="31" a="1"/>
  <c r="A79" i="33" a="1"/>
  <c r="D51" i="32" a="1"/>
  <c r="A25" i="34" a="1"/>
  <c r="C128" i="34" a="1"/>
  <c r="B45" i="31" a="1"/>
  <c r="A101" i="36" a="1"/>
  <c r="B91" i="32" a="1"/>
  <c r="C35" i="36" a="1"/>
  <c r="C100" i="36" a="1"/>
  <c r="E100" i="32" a="1"/>
  <c r="A122" i="37" a="1"/>
  <c r="C77" i="32" a="1"/>
  <c r="C149" i="32" a="1"/>
  <c r="D134" i="35" a="1"/>
  <c r="A74" i="32" a="1"/>
  <c r="B49" i="35" a="1"/>
  <c r="C60" i="36" a="1"/>
  <c r="C64" i="32" a="1"/>
  <c r="B76" i="32" a="1"/>
  <c r="E105" i="33" a="1"/>
  <c r="E97" i="35" a="1"/>
  <c r="A42" i="35" a="1"/>
  <c r="B18" i="33" a="1"/>
  <c r="D126" i="31" a="1"/>
  <c r="B78" i="33" a="1"/>
  <c r="E5" i="34" a="1"/>
  <c r="B152" i="33" a="1"/>
  <c r="B27" i="35" a="1"/>
  <c r="D30" i="33" a="1"/>
  <c r="A122" i="34" a="1"/>
  <c r="B55" i="36" a="1"/>
  <c r="A101" i="32" a="1"/>
  <c r="A107" i="37" a="1"/>
  <c r="C56" i="34" a="1"/>
  <c r="A106" i="32" a="1"/>
  <c r="E124" i="37" a="1"/>
  <c r="B122" i="34" a="1"/>
  <c r="E41" i="30" a="1"/>
  <c r="C75" i="32" a="1"/>
  <c r="A94" i="35" a="1"/>
  <c r="C142" i="34" a="1"/>
  <c r="B142" i="31" a="1"/>
  <c r="A89" i="31" a="1"/>
  <c r="D9" i="31" a="1"/>
  <c r="D126" i="33" a="1"/>
  <c r="C14" i="33" a="1"/>
  <c r="D49" i="36" a="1"/>
  <c r="D89" i="37" a="1"/>
  <c r="E22" i="30" a="1"/>
  <c r="D145" i="32" a="1"/>
  <c r="E11" i="31" a="1"/>
  <c r="D26" i="33" a="1"/>
  <c r="E89" i="34" a="1"/>
  <c r="B100" i="36" a="1"/>
  <c r="A82" i="33" a="1"/>
  <c r="C98" i="34" a="1"/>
  <c r="D136" i="31" a="1"/>
  <c r="D138" i="35" a="1"/>
  <c r="C19" i="35" a="1"/>
  <c r="E114" i="34" a="1"/>
  <c r="B94" i="37" a="1"/>
  <c r="B74" i="34" a="1"/>
  <c r="C126" i="36" a="1"/>
  <c r="A116" i="33" a="1"/>
  <c r="B38" i="37" a="1"/>
  <c r="C99" i="33" a="1"/>
  <c r="D12" i="31" a="1"/>
  <c r="C19" i="31" a="1"/>
  <c r="C155" i="33" a="1"/>
  <c r="E131" i="36" a="1"/>
  <c r="D101" i="37" a="1"/>
  <c r="D58" i="31" a="1"/>
  <c r="E105" i="31" a="1"/>
  <c r="D112" i="32" a="1"/>
  <c r="B138" i="32" a="1"/>
  <c r="E106" i="30" a="1"/>
  <c r="B95" i="32" a="1"/>
  <c r="D33" i="31" a="1"/>
  <c r="D90" i="32" a="1"/>
  <c r="E18" i="34" a="1"/>
  <c r="C31" i="36" a="1"/>
  <c r="C35" i="31" a="1"/>
  <c r="C42" i="33" a="1"/>
  <c r="C67" i="31" a="1"/>
  <c r="C57" i="37" a="1"/>
  <c r="B20" i="35" a="1"/>
  <c r="B108" i="31" a="1"/>
  <c r="D115" i="32" a="1"/>
  <c r="A146" i="32" a="1"/>
  <c r="B155" i="34" a="1"/>
  <c r="B126" i="36" a="1"/>
  <c r="B82" i="31" a="1"/>
  <c r="C156" i="35" a="1"/>
  <c r="B17" i="33" a="1"/>
  <c r="A143" i="33" a="1"/>
  <c r="D89" i="33" a="1"/>
  <c r="B125" i="33" a="1"/>
  <c r="D38" i="31" a="1"/>
  <c r="D35" i="31" a="1"/>
  <c r="A56" i="35" a="1"/>
  <c r="A34" i="35" a="1"/>
  <c r="B85" i="35" a="1"/>
  <c r="A148" i="32" a="1"/>
  <c r="B3" i="31" a="1"/>
  <c r="B75" i="31" a="1"/>
  <c r="D71" i="36" a="1"/>
  <c r="C50" i="35" a="1"/>
  <c r="E122" i="32" a="1"/>
  <c r="C110" i="33" a="1"/>
  <c r="A34" i="37" a="1"/>
  <c r="B48" i="33" a="1"/>
  <c r="C91" i="31" a="1"/>
  <c r="C132" i="35" a="1"/>
  <c r="E28" i="31" a="1"/>
  <c r="E18" i="36" a="1"/>
  <c r="D130" i="33" a="1"/>
  <c r="A19" i="34" a="1"/>
  <c r="F2" i="39" a="1"/>
  <c r="A27" i="32" a="1"/>
  <c r="D27" i="33" a="1"/>
  <c r="E109" i="33" a="1"/>
  <c r="A65" i="32" a="1"/>
  <c r="B139" i="37" a="1"/>
  <c r="C24" i="37" a="1"/>
  <c r="E62" i="33" a="1"/>
  <c r="A127" i="36" a="1"/>
  <c r="D128" i="34" a="1"/>
  <c r="D104" i="33" a="1"/>
  <c r="D35" i="37" a="1"/>
  <c r="C120" i="37" a="1"/>
  <c r="B28" i="35" a="1"/>
  <c r="C115" i="37" a="1"/>
  <c r="B49" i="36" a="1"/>
  <c r="B151" i="31" a="1"/>
  <c r="A126" i="34" a="1"/>
  <c r="C16" i="34" a="1"/>
  <c r="D115" i="33" a="1"/>
  <c r="B149" i="31" a="1"/>
  <c r="A117" i="31" a="1"/>
  <c r="C15" i="37" a="1"/>
  <c r="B43" i="31" a="1"/>
  <c r="B69" i="35" a="1"/>
  <c r="A124" i="33" a="1"/>
  <c r="E128" i="35" a="1"/>
  <c r="B100" i="33" a="1"/>
  <c r="B122" i="32" a="1"/>
  <c r="D41" i="32" a="1"/>
  <c r="D102" i="35" a="1"/>
  <c r="B13" i="34" a="1"/>
  <c r="D98" i="35" a="1"/>
  <c r="A61" i="33" a="1"/>
  <c r="A61" i="35" a="1"/>
  <c r="D96" i="36" a="1"/>
  <c r="C39" i="35" a="1"/>
  <c r="C73" i="33" a="1"/>
  <c r="A127" i="31" a="1"/>
  <c r="B25" i="34" a="1"/>
  <c r="E28" i="35" a="1"/>
  <c r="C23" i="35" a="1"/>
  <c r="B64" i="34" a="1"/>
  <c r="D51" i="31" a="1"/>
  <c r="E55" i="30" a="1"/>
  <c r="B29" i="31" a="1"/>
  <c r="B73" i="36" a="1"/>
  <c r="E76" i="34" a="1"/>
  <c r="A110" i="31" a="1"/>
  <c r="A23" i="33" a="1"/>
  <c r="A42" i="37" a="1"/>
  <c r="A16" i="34" a="1"/>
  <c r="A110" i="37" a="1"/>
  <c r="C41" i="34" a="1"/>
  <c r="D117" i="33" a="1"/>
  <c r="C14" i="32" a="1"/>
  <c r="B155" i="37" a="1"/>
  <c r="B150" i="36" a="1"/>
  <c r="D7" i="37" a="1"/>
  <c r="B41" i="33" a="1"/>
  <c r="B87" i="37" a="1"/>
  <c r="C66" i="31" a="1"/>
  <c r="A125" i="33" a="1"/>
  <c r="C134" i="31" a="1"/>
  <c r="A140" i="35" a="1"/>
  <c r="B123" i="33" a="1"/>
  <c r="A128" i="34" a="1"/>
  <c r="A38" i="31" a="1"/>
  <c r="D91" i="31" a="1"/>
  <c r="A23" i="37" a="1"/>
  <c r="D130" i="31" a="1"/>
  <c r="D135" i="33" a="1"/>
  <c r="B23" i="33" a="1"/>
  <c r="B104" i="33" a="1"/>
  <c r="C90" i="37" a="1"/>
  <c r="B136" i="33" a="1"/>
  <c r="B132" i="35" a="1"/>
  <c r="B109" i="37" a="1"/>
  <c r="A151" i="35" a="1"/>
  <c r="D19" i="31" a="1"/>
  <c r="D105" i="31" a="1"/>
  <c r="C67" i="36" a="1"/>
  <c r="D22" i="31" a="1"/>
  <c r="A37" i="33" a="1"/>
  <c r="E33" i="30" a="1"/>
  <c r="A90" i="35" a="1"/>
  <c r="C10" i="35" a="1"/>
  <c r="A72" i="32" a="1"/>
  <c r="E154" i="35" a="1"/>
  <c r="E119" i="30" a="1"/>
  <c r="C120" i="32" a="1"/>
  <c r="A129" i="37" a="1"/>
  <c r="H2" i="39" a="1"/>
  <c r="B154" i="34" a="1"/>
  <c r="C70" i="33" a="1"/>
  <c r="D40" i="31" a="1"/>
  <c r="E35" i="30" a="1"/>
  <c r="D63" i="32" a="1"/>
  <c r="B22" i="31" a="1"/>
  <c r="A47" i="36" a="1"/>
  <c r="D75" i="31" a="1"/>
  <c r="C29" i="34" a="1"/>
  <c r="B106" i="32" a="1"/>
  <c r="A50" i="32" a="1"/>
  <c r="E74" i="34" a="1"/>
  <c r="A157" i="31" a="1"/>
  <c r="A53" i="34" a="1"/>
  <c r="A68" i="34" a="1"/>
  <c r="B104" i="31" a="1"/>
  <c r="A86" i="31" a="1"/>
  <c r="D138" i="36" a="1"/>
  <c r="E70" i="35" a="1"/>
  <c r="C132" i="34" a="1"/>
  <c r="B19" i="31" a="1"/>
  <c r="A132" i="34" a="1"/>
  <c r="C155" i="34" a="1"/>
  <c r="A6" i="32" a="1"/>
  <c r="A51" i="37" a="1"/>
  <c r="C101" i="35" a="1"/>
  <c r="D121" i="34" a="1"/>
  <c r="C150" i="33" a="1"/>
  <c r="A35" i="36" a="1"/>
  <c r="C79" i="33" a="1"/>
  <c r="D120" i="34" a="1"/>
  <c r="A135" i="34" a="1"/>
  <c r="B134" i="32" a="1"/>
  <c r="A57" i="33" a="1"/>
  <c r="D139" i="34" a="1"/>
  <c r="D48" i="33" a="1"/>
  <c r="C121" i="35" a="1"/>
  <c r="B154" i="35" a="1"/>
  <c r="D32" i="31" a="1"/>
  <c r="A108" i="32" a="1"/>
  <c r="C151" i="37" a="1"/>
  <c r="B46" i="37" a="1"/>
  <c r="C87" i="32" a="1"/>
  <c r="B135" i="32" a="1"/>
  <c r="B104" i="34" a="1"/>
  <c r="D102" i="36" a="1"/>
  <c r="B136" i="34" a="1"/>
  <c r="A23" i="31" a="1"/>
  <c r="B7" i="32" a="1"/>
  <c r="E44" i="30" a="1"/>
  <c r="A71" i="34" a="1"/>
  <c r="D39" i="35" a="1"/>
  <c r="C85" i="34" a="1"/>
  <c r="A147" i="37" a="1"/>
  <c r="B14" i="36" a="1"/>
  <c r="C20" i="36" a="1"/>
  <c r="D40" i="37" a="1"/>
  <c r="A80" i="33" a="1"/>
  <c r="C142" i="31" a="1"/>
  <c r="E106" i="34" a="1"/>
  <c r="E151" i="32" a="1"/>
  <c r="A131" i="32" a="1"/>
  <c r="C19" i="34" a="1"/>
  <c r="D54" i="37" a="1"/>
  <c r="E143" i="33" a="1"/>
  <c r="B3" i="36" a="1"/>
  <c r="D148" i="35" a="1"/>
  <c r="E73" i="31" a="1"/>
  <c r="D14" i="33" a="1"/>
  <c r="E85" i="31" a="1"/>
  <c r="C143" i="37" a="1"/>
  <c r="E134" i="33" a="1"/>
  <c r="C88" i="36" a="1"/>
  <c r="B27" i="34" a="1"/>
  <c r="A86" i="33" a="1"/>
  <c r="D157" i="31" a="1"/>
  <c r="D101" i="31" a="1"/>
  <c r="A89" i="34" a="1"/>
  <c r="A124" i="34" a="1"/>
  <c r="B152" i="31" a="1"/>
  <c r="A151" i="34" a="1"/>
  <c r="B117" i="36" a="1"/>
  <c r="D11" i="33" a="1"/>
  <c r="D4" i="33" a="1"/>
  <c r="B36" i="33" a="1"/>
  <c r="B147" i="31" a="1"/>
  <c r="E75" i="37" a="1"/>
  <c r="E40" i="32" a="1"/>
  <c r="C145" i="36" a="1"/>
  <c r="C90" i="33" a="1"/>
  <c r="B35" i="32" a="1"/>
  <c r="D107" i="36" a="1"/>
  <c r="D143" i="31" a="1"/>
  <c r="D15" i="32" a="1"/>
  <c r="A43" i="33" a="1"/>
  <c r="D135" i="35" a="1"/>
  <c r="D33" i="34" a="1"/>
  <c r="A42" i="31" a="1"/>
  <c r="C40" i="32" a="1"/>
  <c r="D46" i="31" a="1"/>
  <c r="C111" i="35" a="1"/>
  <c r="A20" i="34" a="1"/>
  <c r="C69" i="33" a="1"/>
  <c r="C126" i="32" a="1"/>
  <c r="B134" i="33" a="1"/>
  <c r="C111" i="37" a="1"/>
  <c r="A105" i="32" a="1"/>
  <c r="A32" i="35" a="1"/>
  <c r="A63" i="34" a="1"/>
  <c r="D139" i="31" a="1"/>
  <c r="C30" i="37" a="1"/>
  <c r="D127" i="33" a="1"/>
  <c r="D74" i="32" a="1"/>
  <c r="A73" i="31" a="1"/>
  <c r="B77" i="31" a="1"/>
  <c r="A83" i="35" a="1"/>
  <c r="D61" i="33" a="1"/>
  <c r="E40" i="30" a="1"/>
  <c r="D23" i="31" a="1"/>
  <c r="D67" i="31" a="1"/>
  <c r="D48" i="31" a="1"/>
  <c r="B89" i="34" a="1"/>
  <c r="A90" i="31" a="1"/>
  <c r="B84" i="34" a="1"/>
  <c r="D34" i="33" a="1"/>
  <c r="B110" i="34" a="1"/>
  <c r="B77" i="36" a="1"/>
  <c r="B81" i="33" a="1"/>
  <c r="B117" i="34" a="1"/>
  <c r="E96" i="36" a="1"/>
  <c r="D124" i="33" a="1"/>
  <c r="D20" i="34" a="1"/>
  <c r="B4" i="31" a="1"/>
  <c r="B33" i="36" a="1"/>
  <c r="C58" i="31" a="1"/>
  <c r="B10" i="34" a="1"/>
  <c r="A3" i="36" a="1"/>
  <c r="C83" i="35" a="1"/>
  <c r="B71" i="32" a="1"/>
  <c r="A14" i="36" a="1"/>
  <c r="C104" i="36" a="1"/>
  <c r="D64" i="37" a="1"/>
  <c r="D99" i="37" a="1"/>
  <c r="C90" i="36" a="1"/>
  <c r="B59" i="36" a="1"/>
  <c r="A46" i="34" a="1"/>
  <c r="B136" i="31" a="1"/>
  <c r="A149" i="35" a="1"/>
  <c r="D97" i="33" a="1"/>
  <c r="C143" i="32" a="1"/>
  <c r="D82" i="32" a="1"/>
  <c r="B28" i="31" a="1"/>
  <c r="D116" i="32" a="1"/>
  <c r="D47" i="35" a="1"/>
  <c r="E11" i="35" a="1"/>
  <c r="E132" i="34" a="1"/>
  <c r="C158" i="34" a="1"/>
  <c r="E8" i="32" a="1"/>
  <c r="C26" i="31" a="1"/>
  <c r="B3" i="33" a="1"/>
  <c r="B121" i="36" a="1"/>
  <c r="B158" i="33" a="1"/>
  <c r="A156" i="31" a="1"/>
  <c r="B48" i="37" a="1"/>
  <c r="B18" i="37" a="1"/>
  <c r="A106" i="31" a="1"/>
  <c r="E20" i="37" a="1"/>
  <c r="C41" i="32" a="1"/>
  <c r="B91" i="34" a="1"/>
  <c r="E110" i="35" a="1"/>
  <c r="B137" i="36" a="1"/>
  <c r="C33" i="32" a="1"/>
  <c r="C76" i="33" a="1"/>
  <c r="C2" i="31" a="1"/>
  <c r="A129" i="36" a="1"/>
  <c r="D108" i="34" a="1"/>
  <c r="D71" i="32" a="1"/>
  <c r="E53" i="30" a="1"/>
  <c r="B119" i="31" a="1"/>
  <c r="C35" i="32" a="1"/>
  <c r="D60" i="31" a="1"/>
  <c r="D120" i="36" a="1"/>
  <c r="C78" i="33" a="1"/>
  <c r="B128" i="33" a="1"/>
  <c r="B36" i="32" a="1"/>
  <c r="A18" i="33" a="1"/>
  <c r="D91" i="33" a="1"/>
  <c r="E89" i="30" a="1"/>
  <c r="A89" i="36" a="1"/>
  <c r="D5" i="31" a="1"/>
  <c r="E30" i="30" a="1"/>
  <c r="E98" i="32" a="1"/>
  <c r="D124" i="34" a="1"/>
  <c r="C6" i="33" a="1"/>
  <c r="E115" i="37" a="1"/>
  <c r="C11" i="33" a="1"/>
  <c r="B42" i="31" a="1"/>
  <c r="C135" i="35" a="1"/>
  <c r="A79" i="37" a="1"/>
  <c r="B44" i="34" a="1"/>
  <c r="D144" i="36" a="1"/>
  <c r="E48" i="30" a="1"/>
  <c r="D110" i="31" a="1"/>
  <c r="C89" i="33" a="1"/>
  <c r="B103" i="33" a="1"/>
  <c r="D158" i="35" a="1"/>
  <c r="D125" i="31" a="1"/>
  <c r="D105" i="33" a="1"/>
  <c r="C60" i="32" a="1"/>
  <c r="A67" i="32" a="1"/>
  <c r="C128" i="32" a="1"/>
  <c r="A158" i="33" a="1"/>
  <c r="C38" i="31" a="1"/>
  <c r="E49" i="30" a="1"/>
  <c r="A11" i="32" a="1"/>
  <c r="E44" i="31" a="1"/>
  <c r="E29" i="35" a="1"/>
  <c r="B155" i="33" a="1"/>
  <c r="B54" i="31" a="1"/>
  <c r="E27" i="30" a="1"/>
  <c r="C131" i="35" a="1"/>
  <c r="B48" i="34" a="1"/>
  <c r="E109" i="32" a="1"/>
  <c r="B59" i="33" a="1"/>
  <c r="D81" i="31" a="1"/>
  <c r="D147" i="34" a="1"/>
  <c r="C99" i="36" a="1"/>
  <c r="B5" i="35" a="1"/>
  <c r="A121" i="31" a="1"/>
  <c r="C134" i="32" a="1"/>
  <c r="C130" i="32" a="1"/>
  <c r="C99" i="32" a="1"/>
  <c r="A47" i="32" a="1"/>
  <c r="B93" i="31" a="1"/>
  <c r="C52" i="37" a="1"/>
  <c r="D35" i="34" a="1"/>
  <c r="B69" i="31" a="1"/>
  <c r="E132" i="32" a="1"/>
  <c r="D60" i="36" a="1"/>
  <c r="B70" i="36" a="1"/>
  <c r="D33" i="36" a="1"/>
  <c r="E44" i="33" a="1"/>
  <c r="D97" i="35" a="1"/>
  <c r="D57" i="37" a="1"/>
  <c r="D103" i="31" a="1"/>
  <c r="C67" i="32" a="1"/>
  <c r="E30" i="36" a="1"/>
  <c r="C137" i="37" a="1"/>
  <c r="A123" i="35" a="1"/>
  <c r="C106" i="33" a="1"/>
  <c r="A57" i="37" a="1"/>
  <c r="E79" i="37" a="1"/>
  <c r="E90" i="34" a="1"/>
  <c r="B151" i="36" a="1"/>
  <c r="D90" i="34" a="1"/>
  <c r="B2" i="33" a="1"/>
  <c r="D93" i="36" a="1"/>
  <c r="D141" i="37" a="1"/>
  <c r="E15" i="32" a="1"/>
  <c r="A61" i="36" a="1"/>
  <c r="C33" i="33" a="1"/>
  <c r="A2" i="37" a="1"/>
  <c r="D28" i="37" a="1"/>
  <c r="D16" i="33" a="1"/>
  <c r="C79" i="32" a="1"/>
  <c r="A136" i="35" a="1"/>
  <c r="A7" i="35" a="1"/>
  <c r="A120" i="36" a="1"/>
  <c r="A50" i="35" a="1"/>
  <c r="E67" i="31" a="1"/>
  <c r="B8" i="31" a="1"/>
  <c r="A37" i="35" a="1"/>
  <c r="A115" i="33" a="1"/>
  <c r="A9" i="37" a="1"/>
  <c r="B55" i="34" a="1"/>
  <c r="A28" i="36" a="1"/>
  <c r="D66" i="33" a="1"/>
  <c r="E14" i="31" a="1"/>
  <c r="E49" i="37" a="1"/>
  <c r="A47" i="35" a="1"/>
  <c r="E107" i="34" a="1"/>
  <c r="D126" i="35" a="1"/>
  <c r="C100" i="32" a="1"/>
  <c r="A67" i="37" a="1"/>
  <c r="D111" i="37" a="1"/>
  <c r="E76" i="33" a="1"/>
  <c r="D75" i="36" a="1"/>
  <c r="A32" i="33" a="1"/>
  <c r="A52" i="37" a="1"/>
  <c r="C102" i="36" a="1"/>
  <c r="C32" i="32" a="1"/>
  <c r="A119" i="34" a="1"/>
  <c r="B73" i="37" a="1"/>
  <c r="C11" i="31" a="1"/>
  <c r="A125" i="32" a="1"/>
  <c r="C98" i="33" a="1"/>
  <c r="C133" i="37" a="1"/>
  <c r="B83" i="36" a="1"/>
  <c r="D88" i="32" a="1"/>
  <c r="E60" i="30" a="1"/>
  <c r="B47" i="34" a="1"/>
  <c r="A6" i="36" a="1"/>
  <c r="E130" i="30" a="1"/>
  <c r="A86" i="35" a="1"/>
  <c r="D143" i="35" a="1"/>
  <c r="C87" i="31" a="1"/>
  <c r="D134" i="31" a="1"/>
  <c r="B3" i="34" a="1"/>
  <c r="A64" i="31" a="1"/>
  <c r="B80" i="32" a="1"/>
  <c r="E84" i="37" a="1"/>
  <c r="D74" i="36" a="1"/>
  <c r="D11" i="32" a="1"/>
  <c r="C141" i="34" a="1"/>
  <c r="B153" i="34" a="1"/>
  <c r="C58" i="33" a="1"/>
  <c r="D78" i="33" a="1"/>
  <c r="B77" i="34" a="1"/>
  <c r="E75" i="33" a="1"/>
  <c r="A127" i="35" a="1"/>
  <c r="C71" i="32" a="1"/>
  <c r="E18" i="31" a="1"/>
  <c r="D136" i="32" a="1"/>
  <c r="A138" i="33" a="1"/>
  <c r="A66" i="35" a="1"/>
  <c r="A32" i="32" a="1"/>
  <c r="E136" i="32" a="1"/>
  <c r="A73" i="33" a="1"/>
  <c r="D146" i="35" a="1"/>
  <c r="B89" i="31" a="1"/>
  <c r="C146" i="31" a="1"/>
  <c r="A102" i="34" a="1"/>
  <c r="B96" i="32" a="1"/>
  <c r="B26" i="33" a="1"/>
  <c r="B7" i="33" a="1"/>
  <c r="B86" i="32" a="1"/>
  <c r="D67" i="35" a="1"/>
  <c r="B7" i="34" a="1"/>
  <c r="E112" i="37" a="1"/>
  <c r="E6" i="32" a="1"/>
  <c r="B105" i="31" a="1"/>
  <c r="B135" i="33" a="1"/>
  <c r="E126" i="35" a="1"/>
  <c r="D20" i="35" a="1"/>
  <c r="D40" i="34" a="1"/>
  <c r="E49" i="36" a="1"/>
  <c r="E66" i="33" a="1"/>
  <c r="A108" i="35" a="1"/>
  <c r="C32" i="31" a="1"/>
  <c r="A4" i="33" a="1"/>
  <c r="B89" i="32" a="1"/>
  <c r="D146" i="31" a="1"/>
  <c r="C148" i="34" a="1"/>
  <c r="D142" i="35" a="1"/>
  <c r="B25" i="31" a="1"/>
  <c r="B9" i="32" a="1"/>
  <c r="A121" i="32" a="1"/>
  <c r="B123" i="37" a="1"/>
  <c r="A59" i="31" a="1"/>
  <c r="A46" i="35" a="1"/>
  <c r="C143" i="36" a="1"/>
  <c r="A67" i="31" a="1"/>
  <c r="C121" i="31" a="1"/>
  <c r="D36" i="33" a="1"/>
  <c r="B114" i="32" a="1"/>
  <c r="C49" i="32" a="1"/>
  <c r="B100" i="32" a="1"/>
  <c r="A104" i="33" a="1"/>
  <c r="B48" i="35" a="1"/>
  <c r="D142" i="32" a="1"/>
  <c r="D92" i="32" a="1"/>
  <c r="B94" i="35" a="1"/>
  <c r="C17" i="36" a="1"/>
  <c r="A48" i="37" a="1"/>
  <c r="A142" i="33" a="1"/>
  <c r="A58" i="34" a="1"/>
  <c r="B154" i="31" a="1"/>
  <c r="A124" i="32" a="1"/>
  <c r="A105" i="36" a="1"/>
  <c r="C76" i="31" a="1"/>
  <c r="B2" i="32" a="1"/>
  <c r="B47" i="31" a="1"/>
  <c r="D105" i="32" a="1"/>
  <c r="A143" i="32" a="1"/>
  <c r="C31" i="34" a="1"/>
  <c r="C129" i="33" a="1"/>
  <c r="D52" i="32" a="1"/>
  <c r="A105" i="33" a="1"/>
  <c r="D151" i="31" a="1"/>
  <c r="E142" i="31" a="1"/>
  <c r="A120" i="31" a="1"/>
  <c r="C15" i="32" a="1"/>
  <c r="C70" i="37" a="1"/>
  <c r="B60" i="33" a="1"/>
  <c r="E28" i="33" a="1"/>
  <c r="A93" i="33" a="1"/>
  <c r="C101" i="36" a="1"/>
  <c r="A155" i="34" a="1"/>
  <c r="D112" i="37" a="1"/>
  <c r="C91" i="36" a="1"/>
  <c r="A48" i="34" a="1"/>
  <c r="E132" i="36" a="1"/>
  <c r="B62" i="36" a="1"/>
  <c r="C73" i="35" a="1"/>
  <c r="B141" i="34" a="1"/>
  <c r="C65" i="37" a="1"/>
  <c r="B34" i="33" a="1"/>
  <c r="B40" i="34" a="1"/>
  <c r="E81" i="35" a="1"/>
  <c r="D50" i="32" a="1"/>
  <c r="A123" i="33" a="1"/>
  <c r="B34" i="35" a="1"/>
  <c r="C79" i="35" a="1"/>
  <c r="A57" i="34" a="1"/>
  <c r="C144" i="32" a="1"/>
  <c r="B112" i="37" a="1"/>
  <c r="A152" i="37" a="1"/>
  <c r="A48" i="31" a="1"/>
  <c r="B137" i="33" a="1"/>
  <c r="E19" i="34" a="1"/>
  <c r="B128" i="32" a="1"/>
  <c r="C140" i="34" a="1"/>
  <c r="A30" i="36" a="1"/>
  <c r="B33" i="31" a="1"/>
  <c r="B42" i="34" a="1"/>
  <c r="D7" i="32" a="1"/>
  <c r="C13" i="34" a="1"/>
  <c r="E79" i="36" a="1"/>
  <c r="B102" i="34" a="1"/>
  <c r="D75" i="34" a="1"/>
  <c r="B39" i="34" a="1"/>
  <c r="E149" i="35" a="1"/>
  <c r="D105" i="36" a="1"/>
  <c r="C132" i="33" a="1"/>
  <c r="B151" i="32" a="1"/>
  <c r="A18" i="32" a="1"/>
  <c r="D47" i="31" a="1"/>
  <c r="C21" i="36" a="1"/>
  <c r="D53" i="31" a="1"/>
  <c r="D11" i="35" a="1"/>
  <c r="C56" i="33" a="1"/>
  <c r="B24" i="32" a="1"/>
  <c r="D156" i="33" a="1"/>
  <c r="B93" i="36" a="1"/>
  <c r="A21" i="34" a="1"/>
  <c r="A156" i="34" a="1"/>
  <c r="C63" i="33" a="1"/>
  <c r="B76" i="31" a="1"/>
  <c r="D30" i="36" a="1"/>
  <c r="A148" i="35" a="1"/>
  <c r="C158" i="31" a="1"/>
  <c r="A52" i="35" a="1"/>
  <c r="C69" i="31" a="1"/>
  <c r="B67" i="36" a="1"/>
  <c r="E50" i="34" a="1"/>
  <c r="A114" i="35" a="1"/>
  <c r="B22" i="34" a="1"/>
  <c r="A133" i="36" a="1"/>
  <c r="B26" i="31" a="1"/>
  <c r="A153" i="31" a="1"/>
  <c r="D17" i="31" a="1"/>
  <c r="E6" i="30" a="1"/>
  <c r="D119" i="36" a="1"/>
  <c r="E81" i="30" a="1"/>
  <c r="B40" i="32" a="1"/>
  <c r="E96" i="32" a="1"/>
  <c r="E137" i="36" a="1"/>
  <c r="B22" i="32" a="1"/>
  <c r="D4" i="34" a="1"/>
  <c r="A99" i="36" a="1"/>
  <c r="D82" i="36" a="1"/>
  <c r="D120" i="35" a="1"/>
  <c r="C87" i="33" a="1"/>
  <c r="C143" i="35" a="1"/>
  <c r="D76" i="34" a="1"/>
  <c r="A4" i="35" a="1"/>
  <c r="B88" i="33" a="1"/>
  <c r="D106" i="37" a="1"/>
  <c r="B71" i="34" a="1"/>
  <c r="A46" i="37" a="1"/>
  <c r="E101" i="33" a="1"/>
  <c r="A121" i="34" a="1"/>
  <c r="A81" i="36" a="1"/>
  <c r="B130" i="35" a="1"/>
  <c r="E66" i="32" a="1"/>
  <c r="A50" i="33" a="1"/>
  <c r="C92" i="33" a="1"/>
  <c r="C157" i="32" a="1"/>
  <c r="B30" i="31" a="1"/>
  <c r="C7" i="35" a="1"/>
  <c r="B138" i="35" a="1"/>
  <c r="A20" i="31" a="1"/>
  <c r="D62" i="36" a="1"/>
  <c r="E123" i="34" a="1"/>
  <c r="A99" i="35" a="1"/>
  <c r="C83" i="36" a="1"/>
  <c r="A58" i="37" a="1"/>
  <c r="E83" i="32" a="1"/>
  <c r="C34" i="36" a="1"/>
  <c r="D124" i="35" a="1"/>
  <c r="A142" i="34" a="1"/>
  <c r="A45" i="37" a="1"/>
  <c r="A55" i="31" a="1"/>
  <c r="C113" i="33" a="1"/>
  <c r="E72" i="37" a="1"/>
  <c r="A60" i="32" a="1"/>
  <c r="E97" i="31" a="1"/>
  <c r="A82" i="32" a="1"/>
  <c r="D26" i="36" a="1"/>
  <c r="A22" i="33" a="1"/>
  <c r="A83" i="34" a="1"/>
  <c r="B56" i="33" a="1"/>
  <c r="B65" i="36" a="1"/>
  <c r="B153" i="31" a="1"/>
  <c r="D19" i="36" a="1"/>
  <c r="B65" i="32" a="1"/>
  <c r="B144" i="33" a="1"/>
  <c r="C2" i="39" a="1"/>
  <c r="C46" i="31" a="1"/>
  <c r="A113" i="35" a="1"/>
  <c r="B19" i="36" a="1"/>
  <c r="A109" i="33" a="1"/>
  <c r="D120" i="31" a="1"/>
  <c r="B70" i="32" a="1"/>
  <c r="D151" i="35" a="1"/>
  <c r="E84" i="33" a="1"/>
  <c r="D5" i="36" a="1"/>
  <c r="A84" i="35" a="1"/>
  <c r="C7" i="34" a="1"/>
  <c r="E36" i="30" a="1"/>
  <c r="A5" i="32" a="1"/>
  <c r="B92" i="32" a="1"/>
  <c r="D27" i="32" a="1"/>
  <c r="B72" i="37" a="1"/>
  <c r="C144" i="35" a="1"/>
  <c r="A156" i="35" a="1"/>
  <c r="E140" i="32" a="1"/>
  <c r="A6" i="34" a="1"/>
  <c r="A37" i="34" a="1"/>
  <c r="B94" i="31" a="1"/>
  <c r="B54" i="32" a="1"/>
  <c r="B32" i="32" a="1"/>
  <c r="C80" i="31" a="1"/>
  <c r="E11" i="36" a="1"/>
  <c r="C112" i="33" a="1"/>
  <c r="E131" i="30" a="1"/>
  <c r="B69" i="34" a="1"/>
  <c r="C56" i="32" a="1"/>
  <c r="C72" i="34" a="1"/>
  <c r="C135" i="33" a="1"/>
  <c r="D128" i="32" a="1"/>
  <c r="D7" i="31" a="1"/>
  <c r="A21" i="31" a="1"/>
  <c r="E110" i="33" a="1"/>
  <c r="C64" i="37" a="1"/>
  <c r="A40" i="35" a="1"/>
  <c r="E101" i="30" a="1"/>
  <c r="A28" i="34" a="1"/>
  <c r="D139" i="32" a="1"/>
  <c r="A28" i="31" a="1"/>
  <c r="A22" i="36" a="1"/>
  <c r="B52" i="34" a="1"/>
  <c r="A80" i="32" a="1"/>
  <c r="A134" i="32" a="1"/>
  <c r="B157" i="33" a="1"/>
  <c r="C131" i="34" a="1"/>
  <c r="C123" i="34" a="1"/>
  <c r="B44" i="35" a="1"/>
  <c r="D20" i="31" a="1"/>
  <c r="A145" i="33" a="1"/>
  <c r="E69" i="30" a="1"/>
  <c r="A2" i="31" a="1"/>
  <c r="D129" i="31" a="1"/>
  <c r="D70" i="35" a="1"/>
  <c r="E104" i="37" a="1"/>
  <c r="C83" i="32" a="1"/>
  <c r="C75" i="31" a="1"/>
  <c r="C27" i="32" a="1"/>
  <c r="C67" i="35" a="1"/>
  <c r="D92" i="34" a="1"/>
  <c r="C95" i="35" a="1"/>
  <c r="B91" i="37" a="1"/>
  <c r="E144" i="37" a="1"/>
  <c r="C147" i="36" a="1"/>
  <c r="A87" i="33" a="1"/>
  <c r="E82" i="33" a="1"/>
  <c r="C18" i="31" a="1"/>
  <c r="D89" i="32" a="1"/>
  <c r="D61" i="35" a="1"/>
  <c r="D37" i="37" a="1"/>
  <c r="C8" i="32" a="1"/>
  <c r="B25" i="33" a="1"/>
  <c r="A54" i="34" a="1"/>
  <c r="A39" i="32" a="1"/>
  <c r="C89" i="31" a="1"/>
  <c r="B78" i="36" a="1"/>
  <c r="D158" i="32" a="1"/>
  <c r="C29" i="36" a="1"/>
  <c r="B118" i="33" a="1"/>
  <c r="B146" i="33" a="1"/>
  <c r="C105" i="33" a="1"/>
  <c r="D94" i="33" a="1"/>
  <c r="E29" i="31" a="1"/>
  <c r="E46" i="36" a="1"/>
  <c r="A36" i="33" a="1"/>
  <c r="A49" i="37" a="1"/>
  <c r="E48" i="32" a="1"/>
  <c r="E8" i="30" a="1"/>
  <c r="C39" i="34" a="1"/>
  <c r="C53" i="32" a="1"/>
  <c r="E82" i="30" a="1"/>
  <c r="D154" i="31" a="1"/>
  <c r="B24" i="34" a="1"/>
  <c r="C30" i="35" a="1"/>
  <c r="D36" i="32" a="1"/>
  <c r="B126" i="31" a="1"/>
  <c r="B93" i="35" a="1"/>
  <c r="C137" i="31" a="1"/>
  <c r="C37" i="31" a="1"/>
  <c r="E131" i="32" a="1"/>
  <c r="A85" i="36" a="1"/>
  <c r="B92" i="31" a="1"/>
  <c r="B132" i="31" a="1"/>
  <c r="E57" i="35" a="1"/>
  <c r="B12" i="33" a="1"/>
  <c r="D79" i="33" a="1"/>
  <c r="E17" i="33" a="1"/>
  <c r="C107" i="35" a="1"/>
  <c r="C108" i="35" a="1"/>
  <c r="C47" i="31" a="1"/>
  <c r="C95" i="31" a="1"/>
  <c r="D51" i="33" a="1"/>
  <c r="D146" i="34" a="1"/>
  <c r="E84" i="30" a="1"/>
  <c r="B120" i="35" a="1"/>
  <c r="D21" i="31" a="1"/>
  <c r="B41" i="35" a="1"/>
  <c r="B146" i="32" a="1"/>
  <c r="A9" i="33" a="1"/>
  <c r="D31" i="35" a="1"/>
  <c r="D72" i="35" a="1"/>
  <c r="C55" i="33" a="1"/>
  <c r="C52" i="32" a="1"/>
  <c r="A42" i="34" a="1"/>
  <c r="C84" i="31" a="1"/>
  <c r="C152" i="33" a="1"/>
  <c r="D24" i="31" a="1"/>
  <c r="D131" i="33" a="1"/>
  <c r="C128" i="35" a="1"/>
  <c r="A88" i="32" a="1"/>
  <c r="C15" i="31" a="1"/>
  <c r="E135" i="30" a="1"/>
  <c r="A58" i="32" a="1"/>
  <c r="C98" i="35" a="1"/>
  <c r="D117" i="31" a="1"/>
  <c r="D153" i="31" a="1"/>
  <c r="B2" i="31" a="1"/>
  <c r="C19" i="33" a="1"/>
  <c r="A73" i="34" a="1"/>
  <c r="B57" i="31" a="1"/>
  <c r="D9" i="35" a="1"/>
  <c r="D132" i="31" a="1"/>
  <c r="B15" i="35" a="1"/>
  <c r="C85" i="31" a="1"/>
  <c r="C11" i="34" a="1"/>
  <c r="E75" i="30" a="1"/>
  <c r="A74" i="31" a="1"/>
  <c r="D127" i="31" a="1"/>
  <c r="D22" i="35" a="1"/>
  <c r="A149" i="32" a="1"/>
  <c r="D149" i="31" a="1"/>
  <c r="E139" i="30" a="1"/>
  <c r="E50" i="32" a="1"/>
  <c r="A62" i="34" a="1"/>
  <c r="B101" i="32" a="1"/>
  <c r="C108" i="32" a="1"/>
  <c r="D36" i="34" a="1"/>
  <c r="A54" i="33" a="1"/>
  <c r="B35" i="33" a="1"/>
  <c r="C150" i="32" a="1"/>
  <c r="E151" i="30" a="1"/>
  <c r="C13" i="32" a="1"/>
  <c r="E83" i="30" a="1"/>
  <c r="A106" i="33" a="1"/>
  <c r="D20" i="32" a="1"/>
  <c r="E148" i="30" a="1"/>
  <c r="D110" i="33" a="1"/>
  <c r="E69" i="34" a="1"/>
  <c r="D154" i="32" a="1"/>
  <c r="D119" i="34" a="1"/>
  <c r="A100" i="31" a="1"/>
  <c r="B153" i="32" a="1"/>
  <c r="D54" i="32" a="1"/>
  <c r="A133" i="31" a="1"/>
  <c r="E145" i="36" a="1"/>
  <c r="C124" i="35" a="1"/>
  <c r="B2" i="35" a="1"/>
  <c r="D67" i="32" a="1"/>
  <c r="E32" i="35" a="1"/>
  <c r="E39" i="31" a="1"/>
  <c r="A112" i="35" a="1"/>
  <c r="B17" i="32" a="1"/>
  <c r="A8" i="32" a="1"/>
  <c r="B96" i="34" a="1"/>
  <c r="C10" i="33" a="1"/>
  <c r="A86" i="32" a="1"/>
  <c r="D26" i="32" a="1"/>
  <c r="D94" i="32" a="1"/>
  <c r="C69" i="37" a="1"/>
  <c r="D59" i="37" a="1"/>
  <c r="C53" i="31" a="1"/>
  <c r="B83" i="32" a="1"/>
  <c r="D70" i="37" a="1"/>
  <c r="B158" i="34" a="1"/>
  <c r="C4" i="34" a="1"/>
  <c r="D141" i="34" a="1"/>
  <c r="B12" i="35" a="1"/>
  <c r="C109" i="31" a="1"/>
  <c r="C151" i="33" a="1"/>
  <c r="B150" i="33" a="1"/>
  <c r="B90" i="34" a="1"/>
  <c r="B69" i="32" a="1"/>
  <c r="C20" i="31" a="1"/>
  <c r="A74" i="33" a="1"/>
  <c r="B156" i="37" a="1"/>
  <c r="C153" i="31" a="1"/>
  <c r="D151" i="37" a="1"/>
  <c r="B63" i="31" a="1"/>
  <c r="C116" i="35" a="1"/>
  <c r="D59" i="35" a="1"/>
  <c r="A109" i="31" a="1"/>
  <c r="B114" i="31" a="1"/>
  <c r="B14" i="33" a="1"/>
  <c r="E154" i="30" a="1"/>
  <c r="A10" i="36" a="1"/>
  <c r="B148" i="31" a="1"/>
  <c r="B19" i="33" a="1"/>
  <c r="E14" i="30" a="1"/>
  <c r="B111" i="33" a="1"/>
  <c r="D86" i="35" a="1"/>
  <c r="B108" i="34" a="1"/>
  <c r="A39" i="34" a="1"/>
  <c r="D155" i="36" a="1"/>
  <c r="D152" i="35" a="1"/>
  <c r="E74" i="30" a="1"/>
  <c r="D143" i="34" a="1"/>
  <c r="D21" i="36" a="1"/>
  <c r="A76" i="35" a="1"/>
  <c r="D32" i="33" a="1"/>
  <c r="D70" i="32" a="1"/>
  <c r="A120" i="32" a="1"/>
  <c r="C20" i="34" a="1"/>
  <c r="B114" i="34" a="1"/>
  <c r="C4" i="33" a="1"/>
  <c r="C97" i="33" a="1"/>
  <c r="A112" i="31" a="1"/>
  <c r="E9" i="31" a="1"/>
  <c r="C65" i="36" a="1"/>
  <c r="C59" i="36" a="1"/>
  <c r="D72" i="34" a="1"/>
  <c r="A125" i="36" a="1"/>
  <c r="A148" i="37" a="1"/>
  <c r="E12" i="30" a="1"/>
  <c r="B76" i="34" a="1"/>
  <c r="A105" i="34" a="1"/>
  <c r="D61" i="31" a="1"/>
  <c r="C99" i="31" a="1"/>
  <c r="D74" i="33" a="1"/>
  <c r="D117" i="34" a="1"/>
  <c r="A70" i="33" a="1"/>
  <c r="C42" i="32" a="1"/>
  <c r="A137" i="33" a="1"/>
  <c r="A75" i="31" a="1"/>
  <c r="C30" i="31" a="1"/>
  <c r="D83" i="33" a="1"/>
  <c r="E16" i="34" a="1"/>
  <c r="D95" i="32" a="1"/>
  <c r="B6" i="31" a="1"/>
  <c r="A91" i="34" a="1"/>
  <c r="C152" i="32" a="1"/>
  <c r="D137" i="31" a="1"/>
  <c r="C2" i="32" a="1"/>
  <c r="D131" i="34" a="1"/>
  <c r="C149" i="33" a="1"/>
  <c r="A13" i="32" a="1"/>
  <c r="B129" i="32" a="1"/>
  <c r="B139" i="32" a="1"/>
  <c r="A76" i="31" a="1"/>
  <c r="A103" i="35" a="1"/>
  <c r="D157" i="32" a="1"/>
  <c r="A145" i="32" a="1"/>
  <c r="C122" i="32" a="1"/>
  <c r="C74" i="35" a="1"/>
  <c r="E95" i="30" a="1"/>
  <c r="B36" i="31" a="1"/>
  <c r="E157" i="30" a="1"/>
  <c r="A17" i="35" a="1"/>
  <c r="A152" i="35" a="1"/>
  <c r="C120" i="36" a="1"/>
  <c r="E63" i="30" a="1"/>
  <c r="D60" i="35" a="1"/>
  <c r="E38" i="37" a="1"/>
  <c r="A155" i="36" a="1"/>
  <c r="B13" i="35" a="1"/>
  <c r="B122" i="35" a="1"/>
  <c r="D98" i="36" a="1"/>
  <c r="A99" i="33" a="1"/>
  <c r="D134" i="37" a="1"/>
  <c r="B62" i="33" a="1"/>
  <c r="D109" i="36" a="1"/>
  <c r="B10" i="35" a="1"/>
  <c r="D114" i="33" a="1"/>
  <c r="D3" i="34" a="1"/>
  <c r="A71" i="37" a="1"/>
  <c r="E102" i="30" a="1"/>
  <c r="E120" i="30" a="1"/>
  <c r="A142" i="36" a="1"/>
  <c r="C127" i="34" a="1"/>
  <c r="E113" i="30" a="1"/>
  <c r="C154" i="33" a="1"/>
  <c r="A153" i="32" a="1"/>
  <c r="B109" i="32" a="1"/>
  <c r="D38" i="34" a="1"/>
  <c r="B78" i="31" a="1"/>
  <c r="E103" i="34" a="1"/>
  <c r="D122" i="31" a="1"/>
  <c r="D64" i="36" a="1"/>
  <c r="C7" i="36" a="1"/>
  <c r="A97" i="31" a="1"/>
  <c r="A33" i="31" a="1"/>
  <c r="C150" i="35" a="1"/>
  <c r="A32" i="31" a="1"/>
  <c r="B101" i="36" a="1"/>
  <c r="D116" i="31" a="1"/>
  <c r="D25" i="31" a="1"/>
  <c r="C43" i="36" a="1"/>
  <c r="C77" i="31" a="1"/>
  <c r="E29" i="33" a="1"/>
  <c r="C97" i="31" a="1"/>
  <c r="B46" i="35" a="1"/>
  <c r="C10" i="31" a="1"/>
  <c r="A63" i="32" a="1"/>
  <c r="D90" i="35" a="1"/>
  <c r="C110" i="35" a="1"/>
  <c r="C118" i="33" a="1"/>
  <c r="E7" i="30" a="1"/>
  <c r="E52" i="32" a="1"/>
  <c r="C109" i="36" a="1"/>
  <c r="D60" i="32" a="1"/>
  <c r="D21" i="32" a="1"/>
  <c r="E67" i="30" a="1"/>
  <c r="E56" i="31" a="1"/>
  <c r="A16" i="36" a="1"/>
  <c r="B9" i="31" a="1"/>
  <c r="A89" i="32" a="1"/>
  <c r="A112" i="37" a="1"/>
  <c r="B73" i="31" a="1"/>
  <c r="A133" i="34" a="1"/>
  <c r="A16" i="31" a="1"/>
  <c r="B18" i="34" a="1"/>
  <c r="A86" i="34" a="1"/>
  <c r="E10" i="30" a="1"/>
  <c r="A110" i="33" a="1"/>
  <c r="C152" i="35" a="1"/>
  <c r="B140" i="32" a="1"/>
  <c r="A102" i="35" a="1"/>
  <c r="D43" i="33" a="1"/>
  <c r="D87" i="32" a="1"/>
  <c r="B156" i="32" a="1"/>
  <c r="B69" i="33" a="1"/>
  <c r="B146" i="34" a="1"/>
  <c r="D130" i="32" a="1"/>
  <c r="A91" i="32" a="1"/>
  <c r="A78" i="36" a="1"/>
  <c r="C46" i="32" a="1"/>
  <c r="A25" i="31" a="1"/>
  <c r="D51" i="37" a="1"/>
  <c r="B123" i="31" a="1"/>
  <c r="B59" i="32" a="1"/>
  <c r="B150" i="32" a="1"/>
  <c r="D138" i="34" a="1"/>
  <c r="B51" i="34" a="1"/>
  <c r="E94" i="30" a="1"/>
  <c r="B17" i="31" a="1"/>
  <c r="D70" i="33" a="1"/>
  <c r="E147" i="30" a="1"/>
  <c r="E137" i="30" a="1"/>
  <c r="E70" i="33" a="1"/>
  <c r="B9" i="36" a="1"/>
  <c r="E34" i="30" a="1"/>
  <c r="C5" i="31" a="1"/>
  <c r="B72" i="32" a="1"/>
  <c r="B49" i="31" a="1"/>
  <c r="C12" i="35" a="1"/>
  <c r="B90" i="37" a="1"/>
  <c r="C103" i="32" a="1"/>
  <c r="E99" i="30" a="1"/>
  <c r="D125" i="33" a="1"/>
  <c r="B33" i="32" a="1"/>
  <c r="A155" i="32" a="1"/>
  <c r="A72" i="31" a="1"/>
  <c r="C7" i="31" a="1"/>
  <c r="C98" i="32" a="1"/>
  <c r="D148" i="33" a="1"/>
  <c r="B61" i="33" a="1"/>
  <c r="C33" i="37" a="1"/>
  <c r="B29" i="33" a="1"/>
  <c r="C127" i="32" a="1"/>
  <c r="B94" i="33" a="1"/>
  <c r="A59" i="34" a="1"/>
  <c r="D149" i="32" a="1"/>
  <c r="A107" i="31" a="1"/>
  <c r="B26" i="32" a="1"/>
  <c r="D156" i="31" a="1"/>
  <c r="E124" i="30" a="1"/>
  <c r="A129" i="32" a="1"/>
  <c r="D2" i="32" a="1"/>
  <c r="A99" i="32" a="1"/>
  <c r="A70" i="37" a="1"/>
  <c r="C144" i="33" a="1"/>
  <c r="C53" i="35" a="1"/>
  <c r="D21" i="33" a="1"/>
  <c r="D75" i="32" a="1"/>
  <c r="B12" i="37" a="1"/>
  <c r="A111" i="31" a="1"/>
  <c r="A97" i="34" a="1"/>
  <c r="E35" i="36" a="1"/>
  <c r="C81" i="36" a="1"/>
  <c r="B140" i="34" a="1"/>
  <c r="E29" i="34" a="1"/>
  <c r="C87" i="34" a="1"/>
  <c r="E22" i="34" a="1"/>
  <c r="B85" i="33" a="1"/>
  <c r="B156" i="36" a="1"/>
  <c r="C61" i="31" a="1"/>
  <c r="A85" i="31" a="1"/>
  <c r="C92" i="36" a="1"/>
  <c r="D67" i="33" a="1"/>
  <c r="E13" i="30" a="1"/>
  <c r="A140" i="32" a="1"/>
  <c r="D83" i="31" a="1"/>
  <c r="B149" i="35" a="1"/>
  <c r="B34" i="37" a="1"/>
  <c r="D55" i="34" a="1"/>
  <c r="B14" i="35" a="1"/>
  <c r="A52" i="33" a="1"/>
  <c r="A12" i="31" a="1"/>
  <c r="C122" i="33" a="1"/>
  <c r="A44" i="33" a="1"/>
  <c r="D138" i="31" a="1"/>
  <c r="C126" i="37" a="1"/>
  <c r="C45" i="35" a="1"/>
  <c r="D99" i="31" a="1"/>
  <c r="C24" i="32" a="1"/>
  <c r="E109" i="30" a="1"/>
  <c r="D55" i="35" a="1"/>
  <c r="D49" i="31" a="1"/>
  <c r="A45" i="35" a="1"/>
  <c r="C135" i="31" a="1"/>
  <c r="E92" i="30" a="1"/>
  <c r="A14" i="37" a="1"/>
  <c r="A4" i="32" a="1"/>
  <c r="D114" i="34" a="1"/>
  <c r="C46" i="36" a="1"/>
  <c r="E141" i="30" a="1"/>
  <c r="C138" i="34" a="1"/>
  <c r="A61" i="32" a="1"/>
  <c r="A37" i="31" a="1"/>
  <c r="C34" i="31" a="1"/>
  <c r="C55" i="36" a="1"/>
  <c r="B28" i="33" a="1"/>
  <c r="C32" i="33" a="1"/>
  <c r="C8" i="34" a="1"/>
  <c r="B105" i="34" a="1"/>
  <c r="E115" i="30" a="1"/>
  <c r="C92" i="31" a="1"/>
  <c r="D13" i="31" a="1"/>
  <c r="C116" i="31" a="1"/>
  <c r="D113" i="31" a="1"/>
  <c r="D65" i="35" a="1"/>
  <c r="E51" i="30" a="1"/>
  <c r="A65" i="37" a="1"/>
  <c r="C62" i="32" a="1"/>
  <c r="D64" i="33" a="1"/>
  <c r="C122" i="37" a="1"/>
  <c r="A29" i="35" a="1"/>
  <c r="A24" i="32" a="1"/>
  <c r="D63" i="36" a="1"/>
  <c r="B64" i="33" a="1"/>
  <c r="C86" i="33" a="1"/>
  <c r="B11" i="31" a="1"/>
  <c r="B11" i="34" a="1"/>
  <c r="A34" i="32" a="1"/>
  <c r="D141" i="35" a="1"/>
  <c r="D142" i="31" a="1"/>
  <c r="D63" i="31" a="1"/>
  <c r="D154" i="34" a="1"/>
  <c r="A31" i="31" a="1"/>
  <c r="A29" i="32" a="1"/>
  <c r="B97" i="32" a="1"/>
  <c r="E105" i="30" a="1"/>
  <c r="C25" i="34" a="1"/>
  <c r="G2" i="39" a="1"/>
  <c r="C33" i="36" a="1"/>
  <c r="B117" i="31" a="1"/>
  <c r="B99" i="31" a="1"/>
  <c r="D144" i="32" a="1"/>
  <c r="D53" i="32" a="1"/>
  <c r="E79" i="30" a="1"/>
  <c r="E38" i="30" a="1"/>
  <c r="E78" i="30" a="1"/>
  <c r="C89" i="34" a="1"/>
  <c r="D103" i="32" a="1"/>
  <c r="C5" i="36" a="1"/>
  <c r="B7" i="35" a="1"/>
  <c r="B104" i="32" a="1"/>
  <c r="B63" i="35" a="1"/>
  <c r="D14" i="34" a="1"/>
  <c r="A102" i="36" a="1"/>
  <c r="C46" i="35" a="1"/>
  <c r="B50" i="32" a="1"/>
  <c r="B80" i="35" a="1"/>
  <c r="B67" i="32" a="1"/>
  <c r="B124" i="33" a="1"/>
  <c r="A40" i="37" a="1"/>
  <c r="A75" i="37" a="1"/>
  <c r="B21" i="33" a="1"/>
  <c r="C50" i="37" a="1"/>
  <c r="A93" i="34" a="1"/>
  <c r="E138" i="31" a="1"/>
  <c r="C138" i="31" a="1"/>
  <c r="A48" i="33" a="1"/>
  <c r="D4" i="35" a="1"/>
  <c r="C52" i="33" a="1"/>
  <c r="D76" i="33" a="1"/>
  <c r="B44" i="33" a="1"/>
  <c r="C48" i="36" a="1"/>
  <c r="E76" i="37" a="1"/>
  <c r="C134" i="34" a="1"/>
  <c r="D79" i="32" a="1"/>
  <c r="E72" i="31" a="1"/>
  <c r="D55" i="31" a="1"/>
  <c r="E64" i="30" a="1"/>
  <c r="E70" i="36" a="1"/>
  <c r="A29" i="34" a="1"/>
  <c r="C141" i="31" a="1"/>
  <c r="B119" i="33" a="1"/>
  <c r="C68" i="35" a="1"/>
  <c r="E65" i="30" a="1"/>
  <c r="A143" i="35" a="1"/>
  <c r="B23" i="34" a="1"/>
  <c r="A53" i="33" a="1"/>
  <c r="B108" i="33" a="1"/>
  <c r="E151" i="35" a="1"/>
  <c r="B87" i="34" a="1"/>
  <c r="C139" i="35" a="1"/>
  <c r="C53" i="33" a="1"/>
  <c r="C104" i="32" a="1"/>
  <c r="B110" i="31" a="1"/>
  <c r="D16" i="31" a="1"/>
  <c r="B96" i="36" a="1"/>
  <c r="C28" i="33" a="1"/>
  <c r="B124" i="34" a="1"/>
  <c r="D46" i="37" a="1"/>
  <c r="A96" i="33" a="1"/>
  <c r="C32" i="35" a="1"/>
  <c r="D52" i="31" a="1"/>
  <c r="B110" i="33" a="1"/>
  <c r="D43" i="32" a="1"/>
  <c r="A135" i="33" a="1"/>
  <c r="C39" i="32" a="1"/>
  <c r="B79" i="31" a="1"/>
  <c r="D6" i="35" a="1"/>
  <c r="A51" i="32" a="1"/>
  <c r="D8" i="32" a="1"/>
  <c r="B30" i="33" a="1"/>
  <c r="C82" i="32" a="1"/>
  <c r="A95" i="32" a="1"/>
  <c r="C88" i="31" a="1"/>
  <c r="A20" i="33" a="1"/>
  <c r="A104" i="31" a="1"/>
  <c r="C47" i="34" a="1"/>
  <c r="B34" i="31" a="1"/>
  <c r="C71" i="35" a="1"/>
  <c r="E109" i="36" a="1"/>
  <c r="D91" i="36" a="1"/>
  <c r="B46" i="34" a="1"/>
  <c r="D147" i="33" a="1"/>
  <c r="A151" i="32" a="1"/>
  <c r="A49" i="36" a="1"/>
  <c r="D40" i="35" a="1"/>
  <c r="D141" i="32" a="1"/>
  <c r="C17" i="32" a="1"/>
  <c r="E133" i="30" a="1"/>
  <c r="D31" i="31" a="1"/>
  <c r="C66" i="35" a="1"/>
  <c r="C81" i="34" a="1"/>
  <c r="E122" i="30" a="1"/>
  <c r="C59" i="31" a="1"/>
  <c r="A81" i="32" a="1"/>
  <c r="A24" i="36" a="1"/>
  <c r="A130" i="35" a="1"/>
  <c r="C90" i="32" a="1"/>
  <c r="B141" i="31" a="1"/>
  <c r="E131" i="37" a="1"/>
  <c r="A88" i="34" a="1"/>
  <c r="A146" i="36" a="1"/>
  <c r="B13" i="32" a="1"/>
  <c r="A90" i="37" a="1"/>
  <c r="C137" i="32" a="1"/>
  <c r="C157" i="36" a="1"/>
  <c r="C115" i="31" a="1"/>
  <c r="C42" i="31" a="1"/>
  <c r="B148" i="35" a="1"/>
  <c r="C139" i="33" a="1"/>
  <c r="B108" i="32" a="1"/>
  <c r="C86" i="34" a="1"/>
  <c r="E50" i="37" a="1"/>
  <c r="C20" i="32" a="1"/>
  <c r="D152" i="31" a="1"/>
  <c r="D27" i="31" a="1"/>
  <c r="A141" i="31" a="1"/>
  <c r="A26" i="31" a="1"/>
  <c r="E83" i="35" a="1"/>
  <c r="B85" i="37" a="1"/>
  <c r="E115" i="33" a="1"/>
  <c r="C79" i="37" a="1"/>
  <c r="A74" i="35" a="1"/>
  <c r="E102" i="35" a="1"/>
  <c r="A146" i="33" a="1"/>
  <c r="C147" i="37" a="1"/>
  <c r="B122" i="37" a="1"/>
  <c r="C63" i="37" a="1"/>
  <c r="B130" i="32" a="1"/>
  <c r="B113" i="32" a="1"/>
  <c r="B59" i="35" a="1"/>
  <c r="B145" i="36" a="1"/>
  <c r="C59" i="35" a="1"/>
  <c r="B72" i="35" a="1"/>
  <c r="D125" i="35" a="1"/>
  <c r="C10" i="34" a="1"/>
  <c r="A40" i="34" a="1"/>
  <c r="E147" i="35" a="1"/>
  <c r="C14" i="34" a="1"/>
  <c r="B99" i="37" a="1"/>
  <c r="A16" i="33" a="1"/>
  <c r="B89" i="33" a="1"/>
  <c r="E41" i="37" a="1"/>
  <c r="C83" i="33" a="1"/>
  <c r="A130" i="32" a="1"/>
  <c r="C27" i="37" a="1"/>
  <c r="A125" i="35" a="1"/>
  <c r="A18" i="31" a="1"/>
  <c r="D64" i="31" a="1"/>
  <c r="C44" i="31" a="1"/>
  <c r="A17" i="34" a="1"/>
  <c r="E25" i="35" a="1"/>
  <c r="A136" i="31" a="1"/>
  <c r="D114" i="31" a="1"/>
  <c r="B60" i="31" a="1"/>
  <c r="C50" i="31" a="1"/>
  <c r="B106" i="31" a="1"/>
  <c r="D58" i="33" a="1"/>
  <c r="B110" i="37" a="1"/>
  <c r="B137" i="32" a="1"/>
  <c r="E26" i="30" a="1"/>
  <c r="C41" i="37" a="1"/>
  <c r="A47" i="33" a="1"/>
  <c r="A12" i="34" a="1"/>
  <c r="E40" i="33" a="1"/>
  <c r="C100" i="33" a="1"/>
  <c r="C27" i="31" a="1"/>
  <c r="A44" i="32" a="1"/>
  <c r="E44" i="34" a="1"/>
  <c r="A102" i="31" a="1"/>
  <c r="C55" i="31" a="1"/>
  <c r="A58" i="31" a="1"/>
  <c r="B133" i="33" a="1"/>
  <c r="D12" i="32" a="1"/>
  <c r="B27" i="31" a="1"/>
  <c r="D12" i="36" a="1"/>
  <c r="E62" i="30" a="1"/>
  <c r="C129" i="35" a="1"/>
  <c r="C86" i="31" a="1"/>
  <c r="A27" i="33" a="1"/>
  <c r="A132" i="31" a="1"/>
  <c r="D144" i="31" a="1"/>
  <c r="D2" i="39" a="1"/>
  <c r="D85" i="31" a="1"/>
  <c r="C36" i="31" a="1"/>
  <c r="A7" i="32" a="1"/>
  <c r="D82" i="31" a="1"/>
  <c r="B95" i="31" a="1"/>
  <c r="A93" i="31" a="1"/>
  <c r="D56" i="33" a="1"/>
  <c r="A100" i="33" a="1"/>
  <c r="C146" i="32" a="1"/>
  <c r="C49" i="31" a="1"/>
  <c r="E146" i="30" a="1"/>
  <c r="A14" i="34" a="1"/>
  <c r="A56" i="31" a="1"/>
  <c r="B93" i="33" a="1"/>
  <c r="D15" i="33" a="1"/>
  <c r="A125" i="31" a="1"/>
  <c r="C119" i="35" a="1"/>
  <c r="C48" i="32" a="1"/>
  <c r="D71" i="34" a="1"/>
  <c r="E59" i="30" a="1"/>
  <c r="C10" i="36" a="1"/>
  <c r="D56" i="36" a="1"/>
  <c r="D76" i="32" a="1"/>
  <c r="B61" i="32" a="1"/>
  <c r="B94" i="32" a="1"/>
  <c r="B30" i="32" a="1"/>
  <c r="B73" i="34" a="1"/>
  <c r="E52" i="30" a="1"/>
  <c r="D118" i="31" a="1"/>
  <c r="D34" i="32" a="1"/>
  <c r="D71" i="37" a="1"/>
  <c r="D128" i="33" a="1"/>
  <c r="B5" i="33" a="1"/>
  <c r="D33" i="32" a="1"/>
  <c r="A22" i="34" a="1"/>
  <c r="A30" i="31" a="1"/>
  <c r="E103" i="30" a="1"/>
  <c r="C92" i="32" a="1"/>
  <c r="A131" i="36" a="1"/>
  <c r="E25" i="33" a="1"/>
  <c r="E45" i="35" a="1"/>
  <c r="D14" i="37" a="1"/>
  <c r="D127" i="35" a="1"/>
  <c r="D23" i="36" a="1"/>
  <c r="B105" i="37" a="1"/>
  <c r="C4" i="35" a="1"/>
  <c r="A54" i="37" a="1"/>
  <c r="C35" i="33" a="1"/>
  <c r="E147" i="31" a="1"/>
  <c r="C44" i="34" a="1"/>
  <c r="A85" i="32" a="1"/>
  <c r="B33" i="34" a="1"/>
  <c r="B64" i="35" a="1"/>
  <c r="A24" i="33" a="1"/>
  <c r="B14" i="34" a="1"/>
  <c r="D87" i="31" a="1"/>
  <c r="C6" i="32" a="1"/>
  <c r="B104" i="36" a="1"/>
  <c r="A94" i="34" a="1"/>
  <c r="D39" i="37" a="1"/>
  <c r="D18" i="31" a="1"/>
  <c r="A135" i="35" a="1"/>
  <c r="C40" i="35" a="1"/>
  <c r="C65" i="34" a="1"/>
  <c r="B110" i="32" a="1"/>
  <c r="E142" i="30" a="1"/>
  <c r="A32" i="36" a="1"/>
  <c r="C124" i="31" a="1"/>
  <c r="A59" i="36" a="1"/>
  <c r="C101" i="31" a="1"/>
  <c r="E108" i="35" a="1"/>
  <c r="A139" i="34" a="1"/>
  <c r="D155" i="31" a="1"/>
  <c r="A84" i="31" a="1"/>
  <c r="E111" i="32" a="1"/>
  <c r="A120" i="33" a="1"/>
  <c r="B88" i="32" a="1"/>
  <c r="A79" i="31" a="1"/>
  <c r="A106" i="35" a="1"/>
  <c r="D30" i="31" a="1"/>
  <c r="C122" i="34" a="1"/>
  <c r="A80" i="34" a="1"/>
  <c r="B61" i="35" a="1"/>
  <c r="D68" i="31" a="1"/>
  <c r="C50" i="33" a="1"/>
  <c r="D58" i="32" a="1"/>
  <c r="C46" i="37" a="1"/>
  <c r="D28" i="35" a="1"/>
  <c r="B98" i="37" a="1"/>
  <c r="D107" i="33" a="1"/>
  <c r="C110" i="36" a="1"/>
  <c r="D45" i="36" a="1"/>
  <c r="B49" i="34" a="1"/>
  <c r="C141" i="33" a="1"/>
  <c r="B98" i="31" a="1"/>
  <c r="B65" i="31" a="1"/>
  <c r="D106" i="32" a="1"/>
  <c r="B126" i="33" a="1"/>
  <c r="A118" i="34" a="1"/>
  <c r="B35" i="34" a="1"/>
  <c r="A35" i="31" a="1"/>
  <c r="C7" i="33" a="1"/>
  <c r="C57" i="34" a="1"/>
  <c r="A140" i="31" a="1"/>
  <c r="A54" i="31" a="1"/>
  <c r="E2" i="39" a="1"/>
  <c r="C118" i="31" a="1"/>
  <c r="C156" i="34" a="1"/>
  <c r="B111" i="31" a="1"/>
  <c r="D45" i="34" a="1"/>
  <c r="E20" i="36" a="1"/>
  <c r="B15" i="31" a="1"/>
  <c r="D42" i="31" a="1"/>
  <c r="C98" i="31" a="1"/>
  <c r="A145" i="31" a="1"/>
  <c r="C43" i="31" a="1"/>
  <c r="D46" i="32" a="1"/>
  <c r="A2" i="33" a="1"/>
  <c r="A14" i="31" a="1"/>
  <c r="A68" i="31" a="1"/>
  <c r="D111" i="32" a="1"/>
  <c r="D100" i="36" a="1"/>
  <c r="D64" i="34" a="1"/>
  <c r="A63" i="33" a="1"/>
  <c r="A24" i="31" a="1"/>
  <c r="D57" i="34" a="1"/>
  <c r="A38" i="35" a="1"/>
  <c r="B97" i="31" a="1"/>
  <c r="B75" i="32" a="1"/>
  <c r="B66" i="34" a="1"/>
  <c r="A131" i="31" a="1"/>
  <c r="D53" i="36" a="1"/>
  <c r="D73" i="32" a="1"/>
  <c r="A6" i="31" a="1"/>
  <c r="C60" i="34" a="1"/>
  <c r="B44" i="32" a="1"/>
  <c r="B134" i="35" a="1"/>
  <c r="E9" i="30" a="1"/>
  <c r="A35" i="34" a="1"/>
  <c r="D16" i="35" a="1"/>
  <c r="D51" i="35" a="1"/>
  <c r="B116" i="31" a="1"/>
  <c r="B11" i="37" a="1"/>
  <c r="A66" i="32" a="1"/>
  <c r="E71" i="37" a="1"/>
  <c r="C17" i="35" a="1"/>
  <c r="C153" i="32" a="1"/>
  <c r="E95" i="36" a="1"/>
  <c r="D95" i="37" a="1"/>
  <c r="C55" i="34" a="1"/>
  <c r="A71" i="35" a="1"/>
  <c r="D33" i="35" a="1"/>
  <c r="C84" i="32" a="1"/>
  <c r="A51" i="34" a="1"/>
  <c r="B97" i="33" a="1"/>
  <c r="C15" i="35" a="1"/>
  <c r="D25" i="33" a="1"/>
  <c r="C117" i="33" a="1"/>
  <c r="C70" i="35" a="1"/>
  <c r="C110" i="32" a="1"/>
  <c r="D61" i="36" a="1"/>
  <c r="A82" i="34" a="1"/>
  <c r="D3" i="31" a="1"/>
  <c r="E59" i="32" a="1"/>
  <c r="C132" i="31" a="1"/>
  <c r="A73" i="32" a="1"/>
  <c r="A103" i="31" a="1"/>
  <c r="C56" i="31" a="1"/>
  <c r="D89" i="31" a="1"/>
  <c r="C36" i="34" a="1"/>
  <c r="A53" i="37" a="1"/>
  <c r="B64" i="32" a="1"/>
  <c r="B132" i="32" a="1"/>
  <c r="A9" i="32" a="1"/>
  <c r="C107" i="34" a="1"/>
  <c r="D30" i="37" a="1"/>
  <c r="A28" i="33" a="1"/>
  <c r="B125" i="32" a="1"/>
  <c r="B129" i="31" a="1"/>
  <c r="A119" i="37" a="1"/>
  <c r="A119" i="31" a="1"/>
  <c r="C12" i="33" a="1"/>
  <c r="B102" i="33" a="1"/>
  <c r="B110" i="35" a="1"/>
  <c r="D40" i="33" a="1"/>
  <c r="C143" i="31" a="1"/>
  <c r="C18" i="32" a="1"/>
  <c r="E62" i="32" a="1"/>
  <c r="E23" i="34" a="1"/>
  <c r="C100" i="31" a="1"/>
  <c r="C123" i="35" a="1"/>
  <c r="D135" i="32" a="1"/>
  <c r="A11" i="31" a="1"/>
  <c r="B135" i="36" a="1"/>
  <c r="D34" i="35" a="1"/>
  <c r="D115" i="34" a="1"/>
  <c r="E120" i="34" a="1"/>
  <c r="D76" i="37" a="1"/>
  <c r="A131" i="35" a="1"/>
  <c r="D149" i="34" a="1"/>
  <c r="D93" i="33" a="1"/>
  <c r="D144" i="34" a="1"/>
  <c r="D115" i="31" a="1"/>
  <c r="C127" i="33" a="1"/>
  <c r="E36" i="34" a="1"/>
  <c r="B115" i="32" a="1"/>
  <c r="C111" i="31" a="1"/>
  <c r="C117" i="31" a="1"/>
  <c r="C85" i="37" a="1"/>
  <c r="C147" i="31" a="1"/>
  <c r="D128" i="31" a="1"/>
  <c r="D3" i="32" a="1"/>
  <c r="A36" i="34" a="1"/>
  <c r="C135" i="34" a="1"/>
  <c r="B27" i="32" a="1"/>
  <c r="D68" i="32" a="1"/>
  <c r="B57" i="36" a="1"/>
  <c r="B24" i="31" a="1"/>
  <c r="A42" i="32" a="1"/>
  <c r="A74" i="36" a="1"/>
  <c r="D87" i="33" a="1"/>
  <c r="C96" i="33" a="1"/>
  <c r="C81" i="31" a="1"/>
  <c r="B51" i="31" a="1"/>
  <c r="D117" i="32" a="1"/>
  <c r="A152" i="31" a="1"/>
  <c r="B77" i="32" a="1"/>
  <c r="A24" i="34" a="1"/>
  <c r="D155" i="35" a="1"/>
  <c r="C96" i="32" a="1"/>
  <c r="C91" i="32" a="1"/>
  <c r="A139" i="33" a="1"/>
  <c r="A62" i="33" a="1"/>
  <c r="D57" i="33" a="1"/>
  <c r="E32" i="32" a="1"/>
  <c r="C79" i="34" a="1"/>
  <c r="D124" i="32" a="1"/>
  <c r="C133" i="34" a="1"/>
  <c r="A31" i="32" a="1"/>
  <c r="C80" i="35" a="1"/>
  <c r="B6" i="33" a="1"/>
  <c r="A3" i="31" a="1"/>
  <c r="D31" i="32" a="1"/>
  <c r="A72" i="37" a="1"/>
  <c r="C85" i="32" a="1"/>
  <c r="D140" i="37" a="1"/>
  <c r="E78" i="31" a="1"/>
  <c r="B10" i="31" a="1"/>
  <c r="E135" i="37" a="1"/>
  <c r="A10" i="34" a="1"/>
  <c r="E12" i="37" a="1"/>
  <c r="B147" i="36" a="1"/>
  <c r="E64" i="36" a="1"/>
  <c r="A113" i="36" a="1"/>
  <c r="B76" i="36" a="1"/>
  <c r="D19" i="34" a="1"/>
  <c r="E157" i="32" a="1"/>
  <c r="A133" i="33" a="1"/>
  <c r="C149" i="36" a="1"/>
  <c r="B138" i="36" a="1"/>
  <c r="B51" i="36" a="1"/>
  <c r="E127" i="30" a="1"/>
  <c r="A8" i="35" a="1"/>
  <c r="C80" i="32" a="1"/>
  <c r="D112" i="31" a="1"/>
  <c r="A123" i="32" a="1"/>
  <c r="C136" i="31" a="1"/>
  <c r="D96" i="34" a="1"/>
  <c r="E31" i="36" a="1"/>
  <c r="A134" i="31" a="1"/>
  <c r="A117" i="33" a="1"/>
  <c r="B64" i="36" a="1"/>
  <c r="B45" i="32" a="1"/>
  <c r="B14" i="32" a="1"/>
  <c r="B58" i="33" a="1"/>
  <c r="D15" i="35" a="1"/>
  <c r="B134" i="31" a="1"/>
  <c r="E4" i="32" a="1"/>
  <c r="B43" i="33" a="1"/>
  <c r="C12" i="31" a="1"/>
  <c r="C47" i="37" a="1"/>
  <c r="A43" i="35" a="1"/>
  <c r="B26" i="35" a="1"/>
  <c r="D139" i="35" a="1"/>
  <c r="B121" i="34" a="1"/>
  <c r="A15" i="32" a="1"/>
  <c r="A98" i="32" a="1"/>
  <c r="B121" i="31" a="1"/>
  <c r="E36" i="36" a="1"/>
  <c r="E42" i="30" a="1"/>
  <c r="B124" i="31" a="1"/>
  <c r="C140" i="33" a="1"/>
  <c r="D78" i="31" a="1"/>
  <c r="B15" i="36" a="1"/>
  <c r="D86" i="31" a="1"/>
  <c r="A139" i="31" a="1"/>
  <c r="A5" i="31" a="1"/>
  <c r="B66" i="32" a="1"/>
  <c r="A8" i="31" a="1"/>
  <c r="A126" i="32" a="1"/>
  <c r="C32" i="36" a="1"/>
  <c r="A68" i="32" a="1"/>
  <c r="C42" i="34" a="1"/>
  <c r="B45" i="34" a="1"/>
  <c r="D86" i="37" a="1"/>
  <c r="C64" i="31" a="1"/>
  <c r="E86" i="30" a="1"/>
  <c r="E101" i="35" a="1"/>
  <c r="C104" i="33" a="1"/>
  <c r="B126" i="32" a="1"/>
  <c r="E94" i="33" a="1"/>
  <c r="D97" i="34" a="1"/>
  <c r="A17" i="36" a="1"/>
  <c r="E62" i="31" a="1"/>
  <c r="B151" i="33" a="1"/>
  <c r="D81" i="32" a="1"/>
  <c r="D39" i="31" a="1"/>
  <c r="A106" i="37" a="1"/>
  <c r="C103" i="34" a="1"/>
  <c r="A6" i="33" a="1"/>
  <c r="C21" i="35" a="1"/>
  <c r="A93" i="32" a="1"/>
  <c r="A71" i="32" a="1"/>
  <c r="D152" i="32" a="1"/>
  <c r="C74" i="31" a="1"/>
  <c r="A148" i="31" a="1"/>
  <c r="A113" i="34" a="1"/>
  <c r="B99" i="32" a="1"/>
  <c r="B100" i="31" a="1"/>
  <c r="A108" i="31" a="1"/>
  <c r="A5" i="37" a="1"/>
  <c r="C114" i="34" a="1"/>
  <c r="B39" i="32" a="1"/>
  <c r="A138" i="31" a="1"/>
  <c r="E87" i="33" a="1"/>
  <c r="A2" i="35" a="1"/>
  <c r="C37" i="34" a="1"/>
  <c r="A96" i="34" a="1"/>
  <c r="A57" i="35" a="1"/>
  <c r="C17" i="33" a="1"/>
  <c r="A4" i="37" a="1"/>
  <c r="E76" i="32" a="1"/>
  <c r="C147" i="35" a="1"/>
  <c r="E2" i="36" a="1"/>
  <c r="B9" i="34" a="1"/>
  <c r="D90" i="36" a="1"/>
  <c r="E148" i="37" a="1"/>
  <c r="E45" i="32" a="1"/>
  <c r="B113" i="33" a="1"/>
  <c r="E118" i="30" a="1"/>
  <c r="B50" i="35" a="1"/>
  <c r="A39" i="35" a="1"/>
  <c r="D54" i="35" a="1"/>
  <c r="C74" i="33" a="1"/>
  <c r="E111" i="36" a="1"/>
  <c r="D92" i="31" a="1"/>
  <c r="C72" i="33" a="1"/>
  <c r="B102" i="35" a="1"/>
  <c r="A66" i="31" a="1"/>
  <c r="C112" i="31" a="1"/>
  <c r="B70" i="33" a="1"/>
  <c r="E42" i="34" a="1"/>
  <c r="B107" i="35" a="1"/>
  <c r="C23" i="31" a="1"/>
  <c r="C157" i="34" a="1"/>
  <c r="D13" i="33" a="1"/>
  <c r="A40" i="32" a="1"/>
  <c r="D29" i="33" a="1"/>
  <c r="C96" i="31" a="1"/>
  <c r="B96" i="35" a="1"/>
  <c r="D91" i="34" a="1"/>
  <c r="E112" i="30" a="1"/>
  <c r="E125" i="31" a="1"/>
  <c r="C105" i="31" a="1"/>
  <c r="C91" i="33" a="1"/>
  <c r="D91" i="32" a="1"/>
  <c r="E128" i="34" a="1"/>
  <c r="D26" i="35" a="1"/>
  <c r="C126" i="33" a="1"/>
  <c r="A67" i="35" a="1"/>
  <c r="B130" i="37" a="1"/>
  <c r="C57" i="31" a="1"/>
  <c r="E51" i="32" a="1"/>
  <c r="D2" i="31" a="1"/>
  <c r="C39" i="33" a="1"/>
  <c r="D52" i="36" a="1"/>
  <c r="D100" i="31" a="1"/>
  <c r="A31" i="36" a="1"/>
  <c r="B87" i="33" a="1"/>
  <c r="D87" i="34" a="1"/>
  <c r="D47" i="34" a="1"/>
  <c r="D97" i="32" a="1"/>
  <c r="B143" i="34" a="1"/>
  <c r="A18" i="34" a="1"/>
  <c r="C33" i="31" a="1"/>
  <c r="B92" i="33" a="1"/>
  <c r="D132" i="32" a="1"/>
  <c r="A92" i="34" a="1"/>
  <c r="B14" i="31" a="1"/>
  <c r="C17" i="34" a="1"/>
  <c r="D62" i="32" a="1"/>
  <c r="E50" i="30" a="1"/>
  <c r="A90" i="32" a="1"/>
  <c r="B42" i="32" a="1"/>
  <c r="A142" i="31" a="1"/>
  <c r="A35" i="33" a="1"/>
  <c r="C134" i="35" a="1"/>
  <c r="A12" i="33" a="1"/>
  <c r="D22" i="34" a="1"/>
  <c r="C45" i="32" a="1"/>
  <c r="C101" i="32" a="1"/>
  <c r="D9" i="34" a="1"/>
  <c r="D48" i="32" a="1"/>
  <c r="E96" i="30" a="1"/>
  <c r="A86" i="36" a="1"/>
  <c r="A131" i="37" a="1"/>
  <c r="C133" i="32" a="1"/>
  <c r="C28" i="31" a="1"/>
  <c r="D34" i="31" a="1"/>
  <c r="C114" i="31" a="1"/>
  <c r="A5" i="33" a="1"/>
  <c r="B42" i="33" a="1"/>
  <c r="D123" i="33" a="1"/>
  <c r="A62" i="36" a="1"/>
  <c r="D9" i="37" a="1"/>
  <c r="A124" i="31" a="1"/>
  <c r="A145" i="34" a="1"/>
  <c r="E157" i="31" a="1"/>
  <c r="C74" i="32" a="1"/>
  <c r="D78" i="34" a="1"/>
  <c r="D10" i="31" a="1"/>
  <c r="D75" i="33" a="1"/>
  <c r="E58" i="30" a="1"/>
  <c r="B140" i="31" a="1"/>
  <c r="B117" i="37" a="1"/>
  <c r="B107" i="32" a="1"/>
  <c r="D137" i="32" a="1"/>
  <c r="B35" i="31" a="1"/>
  <c r="E5" i="37" a="1"/>
  <c r="B16" i="37" a="1"/>
  <c r="A54" i="36" a="1"/>
  <c r="A154" i="32" a="1"/>
  <c r="B31" i="32" a="1"/>
  <c r="A29" i="31" a="1"/>
  <c r="E100" i="30" a="1"/>
  <c r="C70" i="34" a="1"/>
  <c r="C70" i="31" a="1"/>
  <c r="C116" i="33" a="1"/>
  <c r="C115" i="32" a="1"/>
  <c r="A102" i="33" a="1"/>
  <c r="D28" i="31" a="1"/>
  <c r="D9" i="32" a="1"/>
  <c r="A157" i="33" a="1"/>
  <c r="C48" i="31" a="1"/>
  <c r="C125" i="32" a="1"/>
  <c r="E155" i="35" a="1"/>
  <c r="A147" i="31" a="1"/>
  <c r="D84" i="31" a="1"/>
  <c r="A97" i="33" a="1"/>
  <c r="A96" i="31" a="1"/>
  <c r="B129" i="33" a="1"/>
  <c r="A65" i="34" a="1"/>
  <c r="C81" i="32" a="1"/>
  <c r="A82" i="31" a="1"/>
  <c r="C65" i="33" a="1"/>
  <c r="C51" i="34" a="1"/>
  <c r="A137" i="35" a="1"/>
  <c r="D31" i="36" a="1"/>
  <c r="D95" i="31" a="1"/>
  <c r="C75" i="36" a="1"/>
  <c r="E140" i="30" a="1"/>
  <c r="E19" i="30" a="1"/>
  <c r="A31" i="37" a="1"/>
  <c r="A41" i="31" a="1"/>
  <c r="B157" i="32" a="1"/>
  <c r="C31" i="33" a="1"/>
  <c r="D64" i="32" a="1"/>
  <c r="E132" i="30" a="1"/>
  <c r="E91" i="30" a="1"/>
  <c r="E77" i="30" a="1"/>
  <c r="B37" i="34" a="1"/>
  <c r="C31" i="31" a="1"/>
  <c r="D37" i="31" a="1"/>
  <c r="C99" i="37" a="1"/>
  <c r="C13" i="33" a="1"/>
  <c r="D135" i="36" a="1"/>
  <c r="C156" i="32" a="1"/>
  <c r="A69" i="32" a="1"/>
  <c r="C16" i="31" a="1"/>
  <c r="C85" i="33" a="1"/>
  <c r="A127" i="32" a="1"/>
  <c r="D18" i="32" a="1"/>
  <c r="E4" i="34" a="1"/>
  <c r="C65" i="31" a="1"/>
  <c r="C13" i="35" a="1"/>
  <c r="D151" i="32" a="1"/>
  <c r="D93" i="35" a="1"/>
  <c r="A61" i="34" a="1"/>
  <c r="D102" i="31" a="1"/>
  <c r="D29" i="34" a="1"/>
  <c r="B115" i="33" a="1"/>
  <c r="B136" i="35" a="1"/>
  <c r="D76" i="31" a="1"/>
  <c r="D42" i="33" a="1"/>
  <c r="A137" i="37" a="1"/>
  <c r="B53" i="32" a="1"/>
  <c r="C8" i="31" a="1"/>
  <c r="C31" i="32" a="1"/>
  <c r="C150" i="36" a="1"/>
  <c r="C29" i="33" a="1"/>
  <c r="C124" i="32" a="1"/>
  <c r="B68" i="32" a="1"/>
  <c r="D90" i="33" a="1"/>
  <c r="E138" i="30" a="1"/>
  <c r="A38" i="34" a="1"/>
  <c r="A157" i="32" a="1"/>
  <c r="C71" i="34" a="1"/>
  <c r="D120" i="33" a="1"/>
  <c r="A118" i="31" a="1"/>
  <c r="D150" i="32" a="1"/>
  <c r="E68" i="30" a="1"/>
  <c r="A141" i="33" a="1"/>
  <c r="B43" i="32" a="1"/>
  <c r="C154" i="31" a="1"/>
  <c r="D106" i="34" a="1"/>
  <c r="D119" i="31" a="1"/>
  <c r="B29" i="32" a="1"/>
  <c r="A92" i="36" a="1"/>
  <c r="B139" i="35" a="1"/>
  <c r="E61" i="30" a="1"/>
  <c r="C75" i="34" a="1"/>
  <c r="C79" i="31" a="1"/>
  <c r="A88" i="31" a="1"/>
  <c r="C30" i="32" a="1"/>
  <c r="B62" i="31" a="1"/>
  <c r="D74" i="37" a="1"/>
  <c r="B60" i="36" a="1"/>
  <c r="A102" i="32" a="1"/>
  <c r="B103" i="35" a="1"/>
  <c r="E56" i="33" a="1"/>
  <c r="B45" i="35" a="1"/>
  <c r="B156" i="35" a="1"/>
  <c r="B96" i="37" a="1"/>
  <c r="B152" i="32" a="1"/>
  <c r="C69" i="35" a="1"/>
  <c r="B55" i="31" a="1"/>
  <c r="D44" i="32" a="1"/>
  <c r="E148" i="35" a="1"/>
  <c r="A144" i="36" a="1"/>
  <c r="D93" i="34" a="1"/>
  <c r="C4" i="32" a="1"/>
  <c r="D107" i="32" a="1"/>
  <c r="C65" i="32" a="1"/>
  <c r="C70" i="36" a="1"/>
  <c r="C50" i="32" a="1"/>
  <c r="C5" i="33" a="1"/>
  <c r="D110" i="37" a="1"/>
  <c r="A22" i="37" a="1"/>
  <c r="A63" i="31" a="1"/>
  <c r="C51" i="32" a="1"/>
  <c r="C89" i="37" a="1"/>
  <c r="D14" i="32" a="1"/>
  <c r="C32" i="37" a="1"/>
  <c r="D111" i="31" a="1"/>
  <c r="A39" i="31" a="1"/>
  <c r="D62" i="35" a="1"/>
  <c r="A158" i="32" a="1"/>
  <c r="B11" i="32" a="1"/>
  <c r="C126" i="34" a="1"/>
  <c r="E72" i="30" a="1"/>
  <c r="C144" i="31" a="1"/>
  <c r="C114" i="35" a="1"/>
  <c r="B37" i="31" a="1"/>
  <c r="E27" i="37" a="1"/>
  <c r="B28" i="34" a="1"/>
  <c r="D125" i="37" a="1"/>
  <c r="A148" i="33" a="1"/>
  <c r="C153" i="36" a="1"/>
  <c r="D42" i="36" a="1"/>
  <c r="B102" i="31" a="1"/>
  <c r="C78" i="36" a="1"/>
  <c r="A127" i="34" a="1"/>
  <c r="C25" i="31" a="1"/>
  <c r="A148" i="34" a="1"/>
  <c r="B105" i="32" a="1"/>
  <c r="A22" i="31" a="1"/>
  <c r="D109" i="34" a="1"/>
  <c r="C97" i="37" a="1"/>
  <c r="D82" i="33" a="1"/>
  <c r="C40" i="33" a="1"/>
  <c r="C13" i="31" a="1"/>
  <c r="C121" i="33" a="1"/>
  <c r="C3" i="34" a="1"/>
  <c r="B9" i="37" a="1"/>
  <c r="B80" i="33" a="1"/>
  <c r="E92" i="32" a="1"/>
  <c r="D44" i="31" a="1"/>
  <c r="D147" i="31" a="1"/>
  <c r="D80" i="33" a="1"/>
  <c r="C112" i="36" a="1"/>
  <c r="E7" i="32" a="1"/>
  <c r="B120" i="33" a="1"/>
  <c r="C3" i="32" a="1"/>
  <c r="B66" i="31" a="1"/>
  <c r="D69" i="33" a="1"/>
  <c r="C150" i="34" a="1"/>
  <c r="A29" i="37" a="1"/>
  <c r="D2" i="34" a="1"/>
  <c r="B146" i="35" a="1"/>
  <c r="A49" i="33" a="1"/>
  <c r="E42" i="37" a="1"/>
  <c r="C151" i="32" a="1"/>
  <c r="B2" i="34" a="1"/>
  <c r="B79" i="33" a="1"/>
  <c r="D38" i="36" a="1"/>
  <c r="C9" i="32" a="1"/>
  <c r="B45" i="33" a="1"/>
  <c r="C77" i="35" a="1"/>
  <c r="E106" i="31" a="1"/>
  <c r="C55" i="32" a="1"/>
  <c r="C88" i="33" a="1"/>
  <c r="E97" i="30" a="1"/>
  <c r="D72" i="32" a="1"/>
  <c r="A25" i="35" a="1"/>
  <c r="C90" i="31" a="1"/>
  <c r="D89" i="34" a="1"/>
  <c r="D104" i="35" a="1"/>
  <c r="C127" i="31" a="1"/>
  <c r="E130" i="36" a="1"/>
  <c r="A83" i="31" a="1"/>
  <c r="C6" i="31" a="1"/>
  <c r="E134" i="30" a="1"/>
  <c r="D20" i="33" a="1"/>
  <c r="A87" i="31" a="1"/>
  <c r="D116" i="34" a="1"/>
  <c r="A21" i="36" a="1"/>
  <c r="D139" i="33" a="1"/>
  <c r="D62" i="33" a="1"/>
  <c r="C3" i="31" a="1"/>
  <c r="B66" i="33" a="1"/>
  <c r="D53" i="35" a="1"/>
  <c r="A128" i="33" a="1"/>
  <c r="E136" i="31" a="1"/>
  <c r="C109" i="37" a="1"/>
  <c r="B91" i="33" a="1"/>
  <c r="A82" i="37" a="1"/>
  <c r="C33" i="34" a="1"/>
  <c r="C122" i="35" a="1"/>
  <c r="C40" i="31" a="1"/>
  <c r="D91" i="35" a="1"/>
  <c r="E25" i="37" a="1"/>
  <c r="A45" i="32" a="1"/>
  <c r="D90" i="31" a="1"/>
  <c r="B2" i="39" a="1"/>
  <c r="B98" i="34" a="1"/>
  <c r="C59" i="33" a="1"/>
  <c r="C48" i="34" a="1"/>
  <c r="B18" i="32" a="1"/>
  <c r="A62" i="31" a="1"/>
  <c r="A17" i="33" a="1"/>
  <c r="B107" i="31" a="1"/>
  <c r="A103" i="32" a="1"/>
  <c r="B21" i="36" a="1"/>
  <c r="C74" i="34" a="1"/>
  <c r="C6" i="34" a="1"/>
  <c r="D108" i="32" a="1"/>
  <c r="B84" i="32" a="1"/>
  <c r="B15" i="34" a="1"/>
  <c r="A155" i="37" a="1"/>
  <c r="C82" i="31" a="1"/>
  <c r="C73" i="32" a="1"/>
  <c r="B67" i="31" a="1"/>
  <c r="D92" i="37" a="1"/>
  <c r="D57" i="31" a="1"/>
  <c r="A143" i="31" a="1"/>
  <c r="E55" i="33" a="1"/>
  <c r="D110" i="32" a="1"/>
  <c r="C107" i="33" a="1"/>
  <c r="C99" i="35" a="1"/>
  <c r="D109" i="32" a="1"/>
  <c r="A60" i="31" a="1"/>
  <c r="B129" i="34" a="1"/>
  <c r="A51" i="31" a="1"/>
  <c r="A69" i="34" a="1"/>
  <c r="D99" i="32" a="1"/>
  <c r="D84" i="34" a="1"/>
  <c r="C77" i="33" a="1"/>
  <c r="A80" i="31" a="1"/>
  <c r="B149" i="37" a="1"/>
  <c r="D103" i="33" a="1"/>
  <c r="C76" i="32" a="1"/>
  <c r="D3" i="36" a="1"/>
  <c r="B33" i="33" a="1"/>
  <c r="D142" i="36" a="1"/>
  <c r="C126" i="31" a="1"/>
  <c r="E156" i="31" a="1"/>
  <c r="D15" i="31" a="1"/>
  <c r="C106" i="36" a="1"/>
  <c r="C29" i="31" a="1"/>
  <c r="E27" i="34" a="1"/>
  <c r="B127" i="33" a="1"/>
  <c r="B83" i="31" a="1"/>
  <c r="B122" i="31" a="1"/>
  <c r="A119" i="35" a="1"/>
  <c r="E86" i="36" a="1"/>
  <c r="A78" i="35" a="1"/>
  <c r="B20" i="33" a="1"/>
  <c r="D24" i="33" a="1"/>
  <c r="A101" i="31" a="1"/>
  <c r="C47" i="33" a="1"/>
  <c r="D74" i="35" a="1"/>
  <c r="B104" i="37" a="1"/>
  <c r="D15" i="34" a="1"/>
  <c r="C112" i="34" a="1"/>
  <c r="A60" i="34" a="1"/>
  <c r="E121" i="30" a="1"/>
  <c r="C71" i="31" a="1"/>
  <c r="B83" i="33" a="1"/>
  <c r="E107" i="30" a="1"/>
  <c r="D133" i="32" a="1"/>
  <c r="C129" i="31" a="1"/>
  <c r="E55" i="36" a="1"/>
  <c r="A154" i="31" a="1"/>
  <c r="B23" i="31" a="1"/>
  <c r="E80" i="30" a="1"/>
  <c r="E57" i="30" a="1"/>
  <c r="B53" i="31" a="1"/>
  <c r="C16" i="33" a="1"/>
  <c r="E59" i="33" a="1"/>
  <c r="A149" i="34" a="1"/>
  <c r="B95" i="35" a="1"/>
  <c r="B97" i="35" a="1"/>
  <c r="E117" i="30" a="1"/>
  <c r="C89" i="36" a="1"/>
  <c r="B25" i="36" a="1"/>
  <c r="A113" i="31" a="1"/>
  <c r="A149" i="31" a="1"/>
  <c r="B30" i="34" a="1"/>
  <c r="B50" i="34" a="1"/>
  <c r="D83" i="35" a="1"/>
  <c r="D54" i="31" a="1"/>
  <c r="C54" i="35" a="1"/>
  <c r="C30" i="34" a="1"/>
  <c r="C26" i="33" a="1"/>
  <c r="A108" i="36" a="1"/>
  <c r="B74" i="31" a="1"/>
  <c r="B102" i="37" a="1"/>
  <c r="D107" i="34" a="1"/>
  <c r="A65" i="31" a="1"/>
  <c r="D44" i="35" a="1"/>
  <c r="C18" i="35" a="1"/>
  <c r="B139" i="33" a="1"/>
  <c r="B146" i="31" a="1"/>
  <c r="E56" i="36" a="1"/>
  <c r="D122" i="33" a="1"/>
  <c r="D35" i="35" a="1"/>
  <c r="C94" i="32" a="1"/>
  <c r="D43" i="31" a="1"/>
  <c r="B30" i="35" a="1"/>
  <c r="B34" i="36" a="1"/>
  <c r="D138" i="32" a="1"/>
  <c r="D77" i="31" a="1"/>
  <c r="A45" i="31" a="1"/>
  <c r="C21" i="32" a="1"/>
  <c r="A75" i="35" a="1"/>
  <c r="B2" i="37" a="1"/>
  <c r="D38" i="32" a="1"/>
  <c r="C136" i="32" a="1"/>
  <c r="C54" i="31" a="1"/>
  <c r="A56" i="33" a="1"/>
  <c r="A40" i="31" a="1"/>
  <c r="E144" i="36" a="1"/>
  <c r="D124" i="37" a="1"/>
  <c r="E16" i="30" a="1"/>
  <c r="A150" i="33" a="1"/>
  <c r="E63" i="35" a="1"/>
  <c r="A20" i="32" a="1"/>
  <c r="D147" i="37" a="1"/>
  <c r="E132" i="37" a="1"/>
  <c r="B119" i="32" a="1"/>
  <c r="D129" i="35" a="1"/>
  <c r="D47" i="36" a="1"/>
  <c r="B112" i="33" a="1"/>
  <c r="B23" i="35" a="1"/>
  <c r="D45" i="32" a="1"/>
  <c r="D126" i="32" a="1"/>
  <c r="C94" i="31" a="1"/>
  <c r="A98" i="33" a="1"/>
  <c r="B147" i="33" a="1"/>
  <c r="D141" i="36" a="1"/>
  <c r="E60" i="31" a="1"/>
  <c r="A9" i="35" a="1"/>
  <c r="C87" i="35" a="1"/>
  <c r="D21" i="35" a="1"/>
  <c r="B30" i="36" a="1"/>
  <c r="B12" i="34" a="1"/>
  <c r="C51" i="33" a="1"/>
  <c r="B34" i="32" a="1"/>
  <c r="C54" i="34" a="1"/>
  <c r="D86" i="33" a="1"/>
  <c r="D19" i="33" a="1"/>
  <c r="A109" i="32" a="1"/>
  <c r="E91" i="35" a="1"/>
  <c r="A62" i="32" a="1"/>
  <c r="C124" i="33" a="1"/>
  <c r="C156" i="33" a="1"/>
  <c r="C18" i="33" a="1"/>
  <c r="D126" i="34" a="1"/>
  <c r="E17" i="30" a="1"/>
  <c r="B133" i="32" a="1"/>
  <c r="D141" i="33" a="1"/>
  <c r="A126" i="31" a="1"/>
  <c r="A142" i="35" a="1"/>
  <c r="B103" i="31" a="1"/>
  <c r="A154" i="33" a="1"/>
  <c r="E114" i="30" a="1"/>
  <c r="B29" i="37" a="1"/>
  <c r="B99" i="34" a="1"/>
  <c r="C88" i="34" a="1"/>
  <c r="D37" i="34" a="1"/>
  <c r="D4" i="32" a="1"/>
  <c r="B80" i="31" a="1"/>
  <c r="C93" i="37" a="1"/>
  <c r="D50" i="31" a="1"/>
  <c r="C109" i="32" a="1"/>
  <c r="A10" i="31" a="1"/>
  <c r="E73" i="35" a="1"/>
  <c r="D62" i="37" a="1"/>
  <c r="D76" i="36" a="1"/>
  <c r="E102" i="37" a="1"/>
  <c r="A135" i="36" a="1"/>
  <c r="A136" i="33" a="1"/>
  <c r="A27" i="35" a="1"/>
  <c r="B149" i="32" a="1"/>
  <c r="E12" i="36" a="1"/>
  <c r="A112" i="33" a="1"/>
  <c r="C145" i="33" a="1"/>
  <c r="B84" i="31" a="1"/>
  <c r="D42" i="32" a="1"/>
  <c r="E71" i="30" a="1"/>
  <c r="A94" i="32" a="1"/>
  <c r="A99" i="31" a="1"/>
  <c r="D81" i="35" a="1"/>
  <c r="C158" i="32" a="1"/>
  <c r="D155" i="34" a="1"/>
  <c r="B86" i="31" a="1"/>
  <c r="D66" i="35" a="1"/>
  <c r="B107" i="37" a="1"/>
  <c r="A53" i="35" a="1"/>
  <c r="B150" i="34" a="1"/>
  <c r="B145" i="31" a="1"/>
  <c r="B92" i="35" a="1"/>
  <c r="C64" i="33" a="1"/>
  <c r="B18" i="31" a="1"/>
  <c r="E153" i="30" a="1"/>
  <c r="C30" i="36" a="1"/>
  <c r="B126" i="37" a="1"/>
  <c r="C47" i="35" a="1"/>
  <c r="A28" i="32" a="1"/>
  <c r="B40" i="31" a="1"/>
  <c r="B50" i="36" a="1"/>
  <c r="C95" i="32" a="1"/>
  <c r="B36" i="35" a="1"/>
  <c r="B125" i="31" a="1"/>
  <c r="E108" i="30" a="1"/>
  <c r="C112" i="35" a="1"/>
  <c r="D146" i="37" a="1"/>
  <c r="A53" i="31" a="1"/>
  <c r="D158" i="33" a="1"/>
  <c r="A64" i="32" a="1"/>
  <c r="B111" i="32" a="1"/>
  <c r="C62" i="31" a="1"/>
  <c r="A61" i="31" a="1"/>
  <c r="C108" i="31" a="1"/>
  <c r="C151" i="31" a="1"/>
  <c r="C83" i="31" a="1"/>
  <c r="C125" i="35" a="1"/>
  <c r="B129" i="35" a="1"/>
  <c r="B55" i="35" a="1"/>
  <c r="D10" i="32" a="1"/>
  <c r="B52" i="31" a="1"/>
  <c r="A79" i="35" a="1"/>
  <c r="C104" i="34" a="1"/>
  <c r="E154" i="32" a="1"/>
  <c r="B96" i="33" a="1"/>
  <c r="D114" i="32" a="1"/>
  <c r="E15" i="30" a="1"/>
  <c r="A100" i="32" a="1"/>
  <c r="B31" i="34" a="1"/>
  <c r="A36" i="31" a="1"/>
  <c r="D118" i="34" a="1"/>
  <c r="D50" i="36" a="1"/>
  <c r="E63" i="37" a="1"/>
  <c r="B107" i="33" a="1"/>
  <c r="C49" i="33" a="1"/>
  <c r="A88" i="33" a="1"/>
  <c r="B106" i="33" a="1"/>
  <c r="A146" i="31" a="1"/>
  <c r="B56" i="31" a="1"/>
  <c r="B58" i="36" a="1"/>
  <c r="A17" i="31" a="1"/>
  <c r="C148" i="36" a="1"/>
  <c r="A93" i="37" a="1"/>
  <c r="D13" i="34" a="1"/>
  <c r="D95" i="34" a="1"/>
  <c r="C26" i="35" a="1"/>
  <c r="E143" i="30" a="1"/>
  <c r="B68" i="31" a="1"/>
  <c r="E45" i="30" a="1"/>
  <c r="D41" i="31" a="1"/>
  <c r="D153" i="33" a="1"/>
  <c r="D65" i="32" a="1"/>
  <c r="C136" i="35" a="1"/>
  <c r="B13" i="36" a="1"/>
  <c r="C157" i="33" a="1"/>
  <c r="B99" i="35" a="1"/>
  <c r="A53" i="32" a="1"/>
  <c r="C11" i="32" a="1"/>
  <c r="A136" i="32" a="1"/>
  <c r="A43" i="31" a="1"/>
  <c r="E51" i="36" a="1"/>
  <c r="D31" i="33" a="1"/>
  <c r="B20" i="31" a="1"/>
  <c r="B79" i="37" a="1"/>
  <c r="B13" i="33" a="1"/>
  <c r="B157" i="35" a="1"/>
  <c r="A27" i="31" a="1"/>
  <c r="C14" i="36" a="1"/>
  <c r="A5" i="34" a="1"/>
  <c r="C121" i="34" a="1"/>
  <c r="D46" i="34" a="1"/>
  <c r="E88" i="33" a="1"/>
  <c r="B66" i="35" a="1"/>
  <c r="A100" i="35" a="1"/>
  <c r="C134" i="37" a="1"/>
  <c r="D57" i="32" a="1"/>
  <c r="C101" i="33" a="1"/>
  <c r="A106" i="36" a="1"/>
  <c r="A50" i="31" a="1"/>
  <c r="A2" i="39" a="1"/>
  <c r="D43" i="34" a="1"/>
  <c r="D52" i="35" a="1"/>
  <c r="B88" i="35" a="1"/>
  <c r="B41" i="34" a="1"/>
  <c r="B21" i="32" a="1"/>
  <c r="E7" i="35" a="1"/>
  <c r="A33" i="32" a="1"/>
  <c r="D76" i="30" l="1"/>
  <c r="D84" i="30"/>
  <c r="C100" i="30"/>
  <c r="A113" i="30"/>
  <c r="D125" i="30"/>
  <c r="B2" i="30"/>
  <c r="A17" i="30"/>
  <c r="B27" i="30"/>
  <c r="C34" i="30"/>
  <c r="A45" i="30"/>
  <c r="B52" i="30"/>
  <c r="D62" i="30"/>
  <c r="A70" i="30"/>
  <c r="A77" i="30"/>
  <c r="A85" i="30"/>
  <c r="A95" i="30"/>
  <c r="C113" i="30"/>
  <c r="D132" i="30"/>
  <c r="A5" i="30"/>
  <c r="D7" i="30"/>
  <c r="D10" i="30"/>
  <c r="A14" i="30"/>
  <c r="B17" i="30"/>
  <c r="C20" i="30"/>
  <c r="A24" i="30"/>
  <c r="C27" i="30"/>
  <c r="A31" i="30"/>
  <c r="B38" i="30"/>
  <c r="D41" i="30"/>
  <c r="B45" i="30"/>
  <c r="D48" i="30"/>
  <c r="C52" i="30"/>
  <c r="A56" i="30"/>
  <c r="C59" i="30"/>
  <c r="A63" i="30"/>
  <c r="B70" i="30"/>
  <c r="D73" i="30"/>
  <c r="B77" i="30"/>
  <c r="B81" i="30"/>
  <c r="C85" i="30"/>
  <c r="C90" i="30"/>
  <c r="C95" i="30"/>
  <c r="A101" i="30"/>
  <c r="C107" i="30"/>
  <c r="D113" i="30"/>
  <c r="C120" i="30"/>
  <c r="D126" i="30"/>
  <c r="A133" i="30"/>
  <c r="C62" i="30"/>
  <c r="D37" i="30"/>
  <c r="C48" i="30"/>
  <c r="C55" i="30"/>
  <c r="B66" i="30"/>
  <c r="D69" i="30"/>
  <c r="D80" i="30"/>
  <c r="D94" i="30"/>
  <c r="D106" i="30"/>
  <c r="C132" i="30"/>
  <c r="C7" i="30"/>
  <c r="D13" i="30"/>
  <c r="D23" i="30"/>
  <c r="D30" i="30"/>
  <c r="C41" i="30"/>
  <c r="D55" i="30"/>
  <c r="C66" i="30"/>
  <c r="C73" i="30"/>
  <c r="A81" i="30"/>
  <c r="A90" i="30"/>
  <c r="D100" i="30"/>
  <c r="A107" i="30"/>
  <c r="C126" i="30"/>
  <c r="C2" i="30"/>
  <c r="B5" i="30"/>
  <c r="A11" i="30"/>
  <c r="B14" i="30"/>
  <c r="B24" i="30"/>
  <c r="D27" i="30"/>
  <c r="B31" i="30"/>
  <c r="D34" i="30"/>
  <c r="C38" i="30"/>
  <c r="A42" i="30"/>
  <c r="C45" i="30"/>
  <c r="A49" i="30"/>
  <c r="B56" i="30"/>
  <c r="D59" i="30"/>
  <c r="B63" i="30"/>
  <c r="D66" i="30"/>
  <c r="C70" i="30"/>
  <c r="A74" i="30"/>
  <c r="C77" i="30"/>
  <c r="C81" i="30"/>
  <c r="D85" i="30"/>
  <c r="D95" i="30"/>
  <c r="C101" i="30"/>
  <c r="D107" i="30"/>
  <c r="C114" i="30"/>
  <c r="D120" i="30"/>
  <c r="A127" i="30"/>
  <c r="C133" i="30"/>
  <c r="A34" i="30"/>
  <c r="C10" i="30"/>
  <c r="B41" i="30"/>
  <c r="A52" i="30"/>
  <c r="A59" i="30"/>
  <c r="B73" i="30"/>
  <c r="D89" i="30"/>
  <c r="C119" i="30"/>
  <c r="B20" i="30"/>
  <c r="A38" i="30"/>
  <c r="B59" i="30"/>
  <c r="D119" i="30"/>
  <c r="D2" i="30"/>
  <c r="A8" i="30"/>
  <c r="B11" i="30"/>
  <c r="C14" i="30"/>
  <c r="C17" i="30"/>
  <c r="D20" i="30"/>
  <c r="C24" i="30"/>
  <c r="A28" i="30"/>
  <c r="C31" i="30"/>
  <c r="A35" i="30"/>
  <c r="B42" i="30"/>
  <c r="D45" i="30"/>
  <c r="B49" i="30"/>
  <c r="D52" i="30"/>
  <c r="C56" i="30"/>
  <c r="A60" i="30"/>
  <c r="C63" i="30"/>
  <c r="A67" i="30"/>
  <c r="B74" i="30"/>
  <c r="D77" i="30"/>
  <c r="D81" i="30"/>
  <c r="A86" i="30"/>
  <c r="D90" i="30"/>
  <c r="C96" i="30"/>
  <c r="D101" i="30"/>
  <c r="C108" i="30"/>
  <c r="D114" i="30"/>
  <c r="A121" i="30"/>
  <c r="C127" i="30"/>
  <c r="D133" i="30"/>
  <c r="B10" i="30"/>
  <c r="A21" i="30"/>
  <c r="B48" i="30"/>
  <c r="C69" i="30"/>
  <c r="D4" i="30"/>
  <c r="A27" i="30"/>
  <c r="B28" i="30"/>
  <c r="A53" i="30"/>
  <c r="C74" i="30"/>
  <c r="C121" i="30"/>
  <c r="A3" i="30"/>
  <c r="C8" i="30"/>
  <c r="D14" i="30"/>
  <c r="B21" i="30"/>
  <c r="C28" i="30"/>
  <c r="A39" i="30"/>
  <c r="B46" i="30"/>
  <c r="B53" i="30"/>
  <c r="C60" i="30"/>
  <c r="C67" i="30"/>
  <c r="C78" i="30"/>
  <c r="C91" i="30"/>
  <c r="D96" i="30"/>
  <c r="D102" i="30"/>
  <c r="A109" i="30"/>
  <c r="C115" i="30"/>
  <c r="D121" i="30"/>
  <c r="D134" i="30"/>
  <c r="C30" i="30"/>
  <c r="A119" i="30"/>
  <c r="A20" i="30"/>
  <c r="D38" i="30"/>
  <c r="C86" i="30"/>
  <c r="C134" i="30"/>
  <c r="D5" i="30"/>
  <c r="C11" i="30"/>
  <c r="A18" i="30"/>
  <c r="D24" i="30"/>
  <c r="A32" i="30"/>
  <c r="C35" i="30"/>
  <c r="D49" i="30"/>
  <c r="D56" i="30"/>
  <c r="A64" i="30"/>
  <c r="A71" i="30"/>
  <c r="B82" i="30"/>
  <c r="C128" i="30"/>
  <c r="B3" i="30"/>
  <c r="D11" i="30"/>
  <c r="A15" i="30"/>
  <c r="B18" i="30"/>
  <c r="C21" i="30"/>
  <c r="A25" i="30"/>
  <c r="B32" i="30"/>
  <c r="D35" i="30"/>
  <c r="B39" i="30"/>
  <c r="D42" i="30"/>
  <c r="C46" i="30"/>
  <c r="A50" i="30"/>
  <c r="C53" i="30"/>
  <c r="A57" i="30"/>
  <c r="B64" i="30"/>
  <c r="D67" i="30"/>
  <c r="B71" i="30"/>
  <c r="D74" i="30"/>
  <c r="C82" i="30"/>
  <c r="D86" i="30"/>
  <c r="D91" i="30"/>
  <c r="A97" i="30"/>
  <c r="A103" i="30"/>
  <c r="C109" i="30"/>
  <c r="D115" i="30"/>
  <c r="C122" i="30"/>
  <c r="D128" i="30"/>
  <c r="A135" i="30"/>
  <c r="A41" i="30"/>
  <c r="A66" i="30"/>
  <c r="C89" i="30"/>
  <c r="C13" i="30"/>
  <c r="C5" i="30"/>
  <c r="D31" i="30"/>
  <c r="C49" i="30"/>
  <c r="A78" i="30"/>
  <c r="D127" i="30"/>
  <c r="A6" i="30"/>
  <c r="D8" i="30"/>
  <c r="A12" i="30"/>
  <c r="B15" i="30"/>
  <c r="C18" i="30"/>
  <c r="D21" i="30"/>
  <c r="B25" i="30"/>
  <c r="D28" i="30"/>
  <c r="C32" i="30"/>
  <c r="A36" i="30"/>
  <c r="C39" i="30"/>
  <c r="A43" i="30"/>
  <c r="B50" i="30"/>
  <c r="D53" i="30"/>
  <c r="B57" i="30"/>
  <c r="D60" i="30"/>
  <c r="C64" i="30"/>
  <c r="A68" i="30"/>
  <c r="C71" i="30"/>
  <c r="A75" i="30"/>
  <c r="D78" i="30"/>
  <c r="A87" i="30"/>
  <c r="C92" i="30"/>
  <c r="C97" i="30"/>
  <c r="C103" i="30"/>
  <c r="D109" i="30"/>
  <c r="C116" i="30"/>
  <c r="D122" i="30"/>
  <c r="A129" i="30"/>
  <c r="C135" i="30"/>
  <c r="B7" i="30"/>
  <c r="D58" i="30"/>
  <c r="D99" i="30"/>
  <c r="D16" i="30"/>
  <c r="D44" i="30"/>
  <c r="B35" i="30"/>
  <c r="C42" i="30"/>
  <c r="B60" i="30"/>
  <c r="D70" i="30"/>
  <c r="C102" i="30"/>
  <c r="A9" i="30"/>
  <c r="A22" i="30"/>
  <c r="C25" i="30"/>
  <c r="B36" i="30"/>
  <c r="D39" i="30"/>
  <c r="D46" i="30"/>
  <c r="C50" i="30"/>
  <c r="A54" i="30"/>
  <c r="C57" i="30"/>
  <c r="A61" i="30"/>
  <c r="B68" i="30"/>
  <c r="D71" i="30"/>
  <c r="B75" i="30"/>
  <c r="A79" i="30"/>
  <c r="D82" i="30"/>
  <c r="C87" i="30"/>
  <c r="D97" i="30"/>
  <c r="D103" i="30"/>
  <c r="C110" i="30"/>
  <c r="D116" i="30"/>
  <c r="A123" i="30"/>
  <c r="C129" i="30"/>
  <c r="D135" i="30"/>
  <c r="D19" i="30"/>
  <c r="D112" i="30"/>
  <c r="A2" i="30"/>
  <c r="D17" i="30"/>
  <c r="D63" i="30"/>
  <c r="A115" i="30"/>
  <c r="B6" i="30"/>
  <c r="A29" i="30"/>
  <c r="B43" i="30"/>
  <c r="D3" i="30"/>
  <c r="C6" i="30"/>
  <c r="B9" i="30"/>
  <c r="C12" i="30"/>
  <c r="C15" i="30"/>
  <c r="D18" i="30"/>
  <c r="B22" i="30"/>
  <c r="D25" i="30"/>
  <c r="B29" i="30"/>
  <c r="D32" i="30"/>
  <c r="C36" i="30"/>
  <c r="A40" i="30"/>
  <c r="C43" i="30"/>
  <c r="A47" i="30"/>
  <c r="B54" i="30"/>
  <c r="D57" i="30"/>
  <c r="B61" i="30"/>
  <c r="D64" i="30"/>
  <c r="C68" i="30"/>
  <c r="A72" i="30"/>
  <c r="C75" i="30"/>
  <c r="B79" i="30"/>
  <c r="A83" i="30"/>
  <c r="D87" i="30"/>
  <c r="D92" i="30"/>
  <c r="C98" i="30"/>
  <c r="C104" i="30"/>
  <c r="D110" i="30"/>
  <c r="A117" i="30"/>
  <c r="C123" i="30"/>
  <c r="D129" i="30"/>
  <c r="C136" i="30"/>
  <c r="D26" i="30"/>
  <c r="B55" i="30"/>
  <c r="A73" i="30"/>
  <c r="B34" i="30"/>
  <c r="B8" i="30"/>
  <c r="A46" i="30"/>
  <c r="B67" i="30"/>
  <c r="A82" i="30"/>
  <c r="D108" i="30"/>
  <c r="C3" i="30"/>
  <c r="B12" i="30"/>
  <c r="D15" i="30"/>
  <c r="A19" i="30"/>
  <c r="C22" i="30"/>
  <c r="A26" i="30"/>
  <c r="C29" i="30"/>
  <c r="A33" i="30"/>
  <c r="B40" i="30"/>
  <c r="D43" i="30"/>
  <c r="B47" i="30"/>
  <c r="D50" i="30"/>
  <c r="C54" i="30"/>
  <c r="A58" i="30"/>
  <c r="C61" i="30"/>
  <c r="A65" i="30"/>
  <c r="B72" i="30"/>
  <c r="D75" i="30"/>
  <c r="C79" i="30"/>
  <c r="C83" i="30"/>
  <c r="C88" i="30"/>
  <c r="A93" i="30"/>
  <c r="D104" i="30"/>
  <c r="A111" i="30"/>
  <c r="C117" i="30"/>
  <c r="D123" i="30"/>
  <c r="C130" i="30"/>
  <c r="D136" i="30"/>
  <c r="D51" i="30"/>
  <c r="C106" i="30"/>
  <c r="C23" i="30"/>
  <c r="A91" i="30"/>
  <c r="A4" i="30"/>
  <c r="D6" i="30"/>
  <c r="C9" i="30"/>
  <c r="D12" i="30"/>
  <c r="A16" i="30"/>
  <c r="B19" i="30"/>
  <c r="B26" i="30"/>
  <c r="D29" i="30"/>
  <c r="B33" i="30"/>
  <c r="D36" i="30"/>
  <c r="C40" i="30"/>
  <c r="A44" i="30"/>
  <c r="C47" i="30"/>
  <c r="A51" i="30"/>
  <c r="B58" i="30"/>
  <c r="D61" i="30"/>
  <c r="B65" i="30"/>
  <c r="D68" i="30"/>
  <c r="C72" i="30"/>
  <c r="A76" i="30"/>
  <c r="D79" i="30"/>
  <c r="D83" i="30"/>
  <c r="C93" i="30"/>
  <c r="D98" i="30"/>
  <c r="A105" i="30"/>
  <c r="C111" i="30"/>
  <c r="D117" i="30"/>
  <c r="C124" i="30"/>
  <c r="D130" i="30"/>
  <c r="A137" i="30"/>
  <c r="C37" i="30"/>
  <c r="C125" i="30"/>
  <c r="A13" i="30"/>
  <c r="D22" i="30"/>
  <c r="C26" i="30"/>
  <c r="A30" i="30"/>
  <c r="C33" i="30"/>
  <c r="A37" i="30"/>
  <c r="B44" i="30"/>
  <c r="D47" i="30"/>
  <c r="B51" i="30"/>
  <c r="D54" i="30"/>
  <c r="C58" i="30"/>
  <c r="A62" i="30"/>
  <c r="C65" i="30"/>
  <c r="A69" i="30"/>
  <c r="B76" i="30"/>
  <c r="A80" i="30"/>
  <c r="A84" i="30"/>
  <c r="D88" i="30"/>
  <c r="D93" i="30"/>
  <c r="A99" i="30"/>
  <c r="C105" i="30"/>
  <c r="D111" i="30"/>
  <c r="C118" i="30"/>
  <c r="D124" i="30"/>
  <c r="A131" i="30"/>
  <c r="D137" i="30"/>
  <c r="B23" i="30"/>
  <c r="D131" i="30"/>
  <c r="B4" i="30"/>
  <c r="D9" i="30"/>
  <c r="B16" i="30"/>
  <c r="C4" i="30"/>
  <c r="A7" i="30"/>
  <c r="A10" i="30"/>
  <c r="B13" i="30"/>
  <c r="C16" i="30"/>
  <c r="C19" i="30"/>
  <c r="A23" i="30"/>
  <c r="B30" i="30"/>
  <c r="D33" i="30"/>
  <c r="B37" i="30"/>
  <c r="D40" i="30"/>
  <c r="C44" i="30"/>
  <c r="A48" i="30"/>
  <c r="C51" i="30"/>
  <c r="A55" i="30"/>
  <c r="B62" i="30"/>
  <c r="D65" i="30"/>
  <c r="B69" i="30"/>
  <c r="D72" i="30"/>
  <c r="C76" i="30"/>
  <c r="C80" i="30"/>
  <c r="C84" i="30"/>
  <c r="A89" i="30"/>
  <c r="C94" i="30"/>
  <c r="C99" i="30"/>
  <c r="D105" i="30"/>
  <c r="C112" i="30"/>
  <c r="D118" i="30"/>
  <c r="A125" i="30"/>
  <c r="C131" i="30"/>
  <c r="D138" i="30"/>
  <c r="A139" i="30"/>
  <c r="A141" i="30"/>
  <c r="A143" i="30"/>
  <c r="A145" i="30"/>
  <c r="A147" i="30"/>
  <c r="A149" i="30"/>
  <c r="A151" i="30"/>
  <c r="A153" i="30"/>
  <c r="A155" i="30"/>
  <c r="A157" i="30"/>
  <c r="B83" i="30"/>
  <c r="B85" i="30"/>
  <c r="B87" i="30"/>
  <c r="B89" i="30"/>
  <c r="B91" i="30"/>
  <c r="B93" i="30"/>
  <c r="B95" i="30"/>
  <c r="B97" i="30"/>
  <c r="B99" i="30"/>
  <c r="B101" i="30"/>
  <c r="B103" i="30"/>
  <c r="B105" i="30"/>
  <c r="B107" i="30"/>
  <c r="B109" i="30"/>
  <c r="B111" i="30"/>
  <c r="B113" i="30"/>
  <c r="B115" i="30"/>
  <c r="B117" i="30"/>
  <c r="B119" i="30"/>
  <c r="B121" i="30"/>
  <c r="B123" i="30"/>
  <c r="B125" i="30"/>
  <c r="B127" i="30"/>
  <c r="B129" i="30"/>
  <c r="B131" i="30"/>
  <c r="B133" i="30"/>
  <c r="B135" i="30"/>
  <c r="B137" i="30"/>
  <c r="B139" i="30"/>
  <c r="B141" i="30"/>
  <c r="B143" i="30"/>
  <c r="B145" i="30"/>
  <c r="B147" i="30"/>
  <c r="B149" i="30"/>
  <c r="B151" i="30"/>
  <c r="B153" i="30"/>
  <c r="B155" i="30"/>
  <c r="B157" i="30"/>
  <c r="C151" i="30"/>
  <c r="C137" i="30"/>
  <c r="C139" i="30"/>
  <c r="C141" i="30"/>
  <c r="C143" i="30"/>
  <c r="C145" i="30"/>
  <c r="C147" i="30"/>
  <c r="C149" i="30"/>
  <c r="C153" i="30"/>
  <c r="C155" i="30"/>
  <c r="C157" i="30"/>
  <c r="D139" i="30"/>
  <c r="D141" i="30"/>
  <c r="D143" i="30"/>
  <c r="D145" i="30"/>
  <c r="D147" i="30"/>
  <c r="D149" i="30"/>
  <c r="D151" i="30"/>
  <c r="D153" i="30"/>
  <c r="D155" i="30"/>
  <c r="D157" i="30"/>
  <c r="A88" i="30"/>
  <c r="A92" i="30"/>
  <c r="A94" i="30"/>
  <c r="A96" i="30"/>
  <c r="A98" i="30"/>
  <c r="A100" i="30"/>
  <c r="A102" i="30"/>
  <c r="A104" i="30"/>
  <c r="A106" i="30"/>
  <c r="A108" i="30"/>
  <c r="A110" i="30"/>
  <c r="A112" i="30"/>
  <c r="A114" i="30"/>
  <c r="A116" i="30"/>
  <c r="A118" i="30"/>
  <c r="A120" i="30"/>
  <c r="A122" i="30"/>
  <c r="A124" i="30"/>
  <c r="A126" i="30"/>
  <c r="A128" i="30"/>
  <c r="A130" i="30"/>
  <c r="A132" i="30"/>
  <c r="A134" i="30"/>
  <c r="A136" i="30"/>
  <c r="A138" i="30"/>
  <c r="A140" i="30"/>
  <c r="A142" i="30"/>
  <c r="A144" i="30"/>
  <c r="A146" i="30"/>
  <c r="A148" i="30"/>
  <c r="A150" i="30"/>
  <c r="A152" i="30"/>
  <c r="A154" i="30"/>
  <c r="A156" i="30"/>
  <c r="A158" i="30"/>
  <c r="B78" i="30"/>
  <c r="B80" i="30"/>
  <c r="B84" i="30"/>
  <c r="B86" i="30"/>
  <c r="B88" i="30"/>
  <c r="B90" i="30"/>
  <c r="B92" i="30"/>
  <c r="B94" i="30"/>
  <c r="B96" i="30"/>
  <c r="B98" i="30"/>
  <c r="B100" i="30"/>
  <c r="B102" i="30"/>
  <c r="B104" i="30"/>
  <c r="B106" i="30"/>
  <c r="B108" i="30"/>
  <c r="B110" i="30"/>
  <c r="B112" i="30"/>
  <c r="B114" i="30"/>
  <c r="B116" i="30"/>
  <c r="B118" i="30"/>
  <c r="B120" i="30"/>
  <c r="B122" i="30"/>
  <c r="B124" i="30"/>
  <c r="B126" i="30"/>
  <c r="B128" i="30"/>
  <c r="B130" i="30"/>
  <c r="B132" i="30"/>
  <c r="B134" i="30"/>
  <c r="B136" i="30"/>
  <c r="B138" i="30"/>
  <c r="B140" i="30"/>
  <c r="B142" i="30"/>
  <c r="B144" i="30"/>
  <c r="B146" i="30"/>
  <c r="B148" i="30"/>
  <c r="B150" i="30"/>
  <c r="B152" i="30"/>
  <c r="B154" i="30"/>
  <c r="B156" i="30"/>
  <c r="B158" i="30"/>
  <c r="C138" i="30"/>
  <c r="C140" i="30"/>
  <c r="C142" i="30"/>
  <c r="C144" i="30"/>
  <c r="C146" i="30"/>
  <c r="C148" i="30"/>
  <c r="C150" i="30"/>
  <c r="C152" i="30"/>
  <c r="C154" i="30"/>
  <c r="C156" i="30"/>
  <c r="C158" i="30"/>
  <c r="D140" i="30"/>
  <c r="D142" i="30"/>
  <c r="D144" i="30"/>
  <c r="D146" i="30"/>
  <c r="D148" i="30"/>
  <c r="D150" i="30"/>
  <c r="D152" i="30"/>
  <c r="D154" i="30"/>
  <c r="D156" i="30"/>
  <c r="D158" i="30"/>
  <c r="A33" i="32"/>
  <c r="E7" i="35"/>
  <c r="B21" i="32"/>
  <c r="B41" i="34"/>
  <c r="B88" i="35"/>
  <c r="D52" i="35"/>
  <c r="D43" i="34"/>
  <c r="A2" i="39"/>
  <c r="A50" i="31"/>
  <c r="A106" i="36"/>
  <c r="C101" i="33"/>
  <c r="D57" i="32"/>
  <c r="C134" i="37"/>
  <c r="A100" i="35"/>
  <c r="B66" i="35"/>
  <c r="E88" i="33"/>
  <c r="D46" i="34"/>
  <c r="C121" i="34"/>
  <c r="A5" i="34"/>
  <c r="C14" i="36"/>
  <c r="A27" i="31"/>
  <c r="B157" i="35"/>
  <c r="B13" i="33"/>
  <c r="B79" i="37"/>
  <c r="B20" i="31"/>
  <c r="D31" i="33"/>
  <c r="E51" i="36"/>
  <c r="A43" i="31"/>
  <c r="A136" i="32"/>
  <c r="C11" i="32"/>
  <c r="A53" i="32"/>
  <c r="B99" i="35"/>
  <c r="C157" i="33"/>
  <c r="B13" i="36"/>
  <c r="C136" i="35"/>
  <c r="D65" i="32"/>
  <c r="D153" i="33"/>
  <c r="D41" i="31"/>
  <c r="E45" i="30"/>
  <c r="B68" i="31"/>
  <c r="E143" i="30"/>
  <c r="C26" i="35"/>
  <c r="D95" i="34"/>
  <c r="D13" i="34"/>
  <c r="A93" i="37"/>
  <c r="C148" i="36"/>
  <c r="A17" i="31"/>
  <c r="B58" i="36"/>
  <c r="B56" i="31"/>
  <c r="A146" i="31"/>
  <c r="B106" i="33"/>
  <c r="A88" i="33"/>
  <c r="C49" i="33"/>
  <c r="B107" i="33"/>
  <c r="E63" i="37"/>
  <c r="D50" i="36"/>
  <c r="D118" i="34"/>
  <c r="A36" i="31"/>
  <c r="B31" i="34"/>
  <c r="A100" i="32"/>
  <c r="E15" i="30"/>
  <c r="D114" i="32"/>
  <c r="B96" i="33"/>
  <c r="E154" i="32"/>
  <c r="C104" i="34"/>
  <c r="A79" i="35"/>
  <c r="B52" i="31"/>
  <c r="D10" i="32"/>
  <c r="B55" i="35"/>
  <c r="B129" i="35"/>
  <c r="C125" i="35"/>
  <c r="C83" i="31"/>
  <c r="C151" i="31"/>
  <c r="C108" i="31"/>
  <c r="A61" i="31"/>
  <c r="C62" i="31"/>
  <c r="B111" i="32"/>
  <c r="A64" i="32"/>
  <c r="D158" i="33"/>
  <c r="A53" i="31"/>
  <c r="D146" i="37"/>
  <c r="C112" i="35"/>
  <c r="E108" i="30"/>
  <c r="B125" i="31"/>
  <c r="B36" i="35"/>
  <c r="C95" i="32"/>
  <c r="B50" i="36"/>
  <c r="B40" i="31"/>
  <c r="A28" i="32"/>
  <c r="C47" i="35"/>
  <c r="B126" i="37"/>
  <c r="C30" i="36"/>
  <c r="E153" i="30"/>
  <c r="B18" i="31"/>
  <c r="C64" i="33"/>
  <c r="B92" i="35"/>
  <c r="B145" i="31"/>
  <c r="B150" i="34"/>
  <c r="A53" i="35"/>
  <c r="B107" i="37"/>
  <c r="D66" i="35"/>
  <c r="B86" i="31"/>
  <c r="D155" i="34"/>
  <c r="C158" i="32"/>
  <c r="D81" i="35"/>
  <c r="A99" i="31"/>
  <c r="A94" i="32"/>
  <c r="E71" i="30"/>
  <c r="D42" i="32"/>
  <c r="B84" i="31"/>
  <c r="C145" i="33"/>
  <c r="A112" i="33"/>
  <c r="E12" i="36"/>
  <c r="B149" i="32"/>
  <c r="A27" i="35"/>
  <c r="A136" i="33"/>
  <c r="A135" i="36"/>
  <c r="E102" i="37"/>
  <c r="D76" i="36"/>
  <c r="D62" i="37"/>
  <c r="E73" i="35"/>
  <c r="A10" i="31"/>
  <c r="C109" i="32"/>
  <c r="D50" i="31"/>
  <c r="C93" i="37"/>
  <c r="B80" i="31"/>
  <c r="D4" i="32"/>
  <c r="D37" i="34"/>
  <c r="C88" i="34"/>
  <c r="B99" i="34"/>
  <c r="B29" i="37"/>
  <c r="E114" i="30"/>
  <c r="A154" i="33"/>
  <c r="B103" i="31"/>
  <c r="A142" i="35"/>
  <c r="A126" i="31"/>
  <c r="D141" i="33"/>
  <c r="B133" i="32"/>
  <c r="E17" i="30"/>
  <c r="D126" i="34"/>
  <c r="C18" i="33"/>
  <c r="C156" i="33"/>
  <c r="C124" i="33"/>
  <c r="A62" i="32"/>
  <c r="E91" i="35"/>
  <c r="A109" i="32"/>
  <c r="D19" i="33"/>
  <c r="D86" i="33"/>
  <c r="C54" i="34"/>
  <c r="B34" i="32"/>
  <c r="C51" i="33"/>
  <c r="B12" i="34"/>
  <c r="B30" i="36"/>
  <c r="D21" i="35"/>
  <c r="C87" i="35"/>
  <c r="A9" i="35"/>
  <c r="E60" i="31"/>
  <c r="D141" i="36"/>
  <c r="B147" i="33"/>
  <c r="A98" i="33"/>
  <c r="C94" i="31"/>
  <c r="D126" i="32"/>
  <c r="D45" i="32"/>
  <c r="B23" i="35"/>
  <c r="B112" i="33"/>
  <c r="D47" i="36"/>
  <c r="D129" i="35"/>
  <c r="B119" i="32"/>
  <c r="E132" i="37"/>
  <c r="D147" i="37"/>
  <c r="A20" i="32"/>
  <c r="E63" i="35"/>
  <c r="A150" i="33"/>
  <c r="E16" i="30"/>
  <c r="D124" i="37"/>
  <c r="E144" i="36"/>
  <c r="A40" i="31"/>
  <c r="A56" i="33"/>
  <c r="C54" i="31"/>
  <c r="C136" i="32"/>
  <c r="D38" i="32"/>
  <c r="B2" i="37"/>
  <c r="A75" i="35"/>
  <c r="C21" i="32"/>
  <c r="A45" i="31"/>
  <c r="D77" i="31"/>
  <c r="D138" i="32"/>
  <c r="B34" i="36"/>
  <c r="B30" i="35"/>
  <c r="D43" i="31"/>
  <c r="C94" i="32"/>
  <c r="D35" i="35"/>
  <c r="D122" i="33"/>
  <c r="E56" i="36"/>
  <c r="B146" i="31"/>
  <c r="B139" i="33"/>
  <c r="C18" i="35"/>
  <c r="D44" i="35"/>
  <c r="A65" i="31"/>
  <c r="D107" i="34"/>
  <c r="B102" i="37"/>
  <c r="B74" i="31"/>
  <c r="A108" i="36"/>
  <c r="C26" i="33"/>
  <c r="C30" i="34"/>
  <c r="C54" i="35"/>
  <c r="D54" i="31"/>
  <c r="D83" i="35"/>
  <c r="B50" i="34"/>
  <c r="B30" i="34"/>
  <c r="A149" i="31"/>
  <c r="A113" i="31"/>
  <c r="B25" i="36"/>
  <c r="C89" i="36"/>
  <c r="E117" i="30"/>
  <c r="B97" i="35"/>
  <c r="B95" i="35"/>
  <c r="A149" i="34"/>
  <c r="E59" i="33"/>
  <c r="C16" i="33"/>
  <c r="B53" i="31"/>
  <c r="E57" i="30"/>
  <c r="E80" i="30"/>
  <c r="B23" i="31"/>
  <c r="A154" i="31"/>
  <c r="E55" i="36"/>
  <c r="C129" i="31"/>
  <c r="D133" i="32"/>
  <c r="E107" i="30"/>
  <c r="B83" i="33"/>
  <c r="C71" i="31"/>
  <c r="E121" i="30"/>
  <c r="A60" i="34"/>
  <c r="C112" i="34"/>
  <c r="D15" i="34"/>
  <c r="B104" i="37"/>
  <c r="D74" i="35"/>
  <c r="C47" i="33"/>
  <c r="A101" i="31"/>
  <c r="D24" i="33"/>
  <c r="B20" i="33"/>
  <c r="A78" i="35"/>
  <c r="E86" i="36"/>
  <c r="A119" i="35"/>
  <c r="B122" i="31"/>
  <c r="B83" i="31"/>
  <c r="B127" i="33"/>
  <c r="E27" i="34"/>
  <c r="C29" i="31"/>
  <c r="C106" i="36"/>
  <c r="D15" i="31"/>
  <c r="E156" i="31"/>
  <c r="C126" i="31"/>
  <c r="D142" i="36"/>
  <c r="B33" i="33"/>
  <c r="D3" i="36"/>
  <c r="C76" i="32"/>
  <c r="D103" i="33"/>
  <c r="B149" i="37"/>
  <c r="A80" i="31"/>
  <c r="C77" i="33"/>
  <c r="D84" i="34"/>
  <c r="D99" i="32"/>
  <c r="A69" i="34"/>
  <c r="A51" i="31"/>
  <c r="B129" i="34"/>
  <c r="A60" i="31"/>
  <c r="D109" i="32"/>
  <c r="C99" i="35"/>
  <c r="C107" i="33"/>
  <c r="D110" i="32"/>
  <c r="E55" i="33"/>
  <c r="A143" i="31"/>
  <c r="D57" i="31"/>
  <c r="D92" i="37"/>
  <c r="B67" i="31"/>
  <c r="C73" i="32"/>
  <c r="C82" i="31"/>
  <c r="A155" i="37"/>
  <c r="B15" i="34"/>
  <c r="B84" i="32"/>
  <c r="D108" i="32"/>
  <c r="C6" i="34"/>
  <c r="C74" i="34"/>
  <c r="B21" i="36"/>
  <c r="A103" i="32"/>
  <c r="B107" i="31"/>
  <c r="A17" i="33"/>
  <c r="A62" i="31"/>
  <c r="B18" i="32"/>
  <c r="C48" i="34"/>
  <c r="C59" i="33"/>
  <c r="B98" i="34"/>
  <c r="B2" i="39"/>
  <c r="D90" i="31"/>
  <c r="A45" i="32"/>
  <c r="E25" i="37"/>
  <c r="D91" i="35"/>
  <c r="C40" i="31"/>
  <c r="C122" i="35"/>
  <c r="C33" i="34"/>
  <c r="A82" i="37"/>
  <c r="B91" i="33"/>
  <c r="C109" i="37"/>
  <c r="E136" i="31"/>
  <c r="A128" i="33"/>
  <c r="D53" i="35"/>
  <c r="B66" i="33"/>
  <c r="C3" i="31"/>
  <c r="D62" i="33"/>
  <c r="D139" i="33"/>
  <c r="A21" i="36"/>
  <c r="D116" i="34"/>
  <c r="A87" i="31"/>
  <c r="D20" i="33"/>
  <c r="E134" i="30"/>
  <c r="C6" i="31"/>
  <c r="A83" i="31"/>
  <c r="E130" i="36"/>
  <c r="C127" i="31"/>
  <c r="D104" i="35"/>
  <c r="D89" i="34"/>
  <c r="C90" i="31"/>
  <c r="A25" i="35"/>
  <c r="D72" i="32"/>
  <c r="E97" i="30"/>
  <c r="C88" i="33"/>
  <c r="C55" i="32"/>
  <c r="E106" i="31"/>
  <c r="C77" i="35"/>
  <c r="B45" i="33"/>
  <c r="C9" i="32"/>
  <c r="D38" i="36"/>
  <c r="B79" i="33"/>
  <c r="B2" i="34"/>
  <c r="C151" i="32"/>
  <c r="E42" i="37"/>
  <c r="A49" i="33"/>
  <c r="B146" i="35"/>
  <c r="D2" i="34"/>
  <c r="A29" i="37"/>
  <c r="C150" i="34"/>
  <c r="D69" i="33"/>
  <c r="B66" i="31"/>
  <c r="C3" i="32"/>
  <c r="B120" i="33"/>
  <c r="E7" i="32"/>
  <c r="C112" i="36"/>
  <c r="D80" i="33"/>
  <c r="D147" i="31"/>
  <c r="D44" i="31"/>
  <c r="E92" i="32"/>
  <c r="B80" i="33"/>
  <c r="B9" i="37"/>
  <c r="C3" i="34"/>
  <c r="C121" i="33"/>
  <c r="C13" i="31"/>
  <c r="C40" i="33"/>
  <c r="D82" i="33"/>
  <c r="C97" i="37"/>
  <c r="D109" i="34"/>
  <c r="A22" i="31"/>
  <c r="B105" i="32"/>
  <c r="A148" i="34"/>
  <c r="C25" i="31"/>
  <c r="A127" i="34"/>
  <c r="C78" i="36"/>
  <c r="B102" i="31"/>
  <c r="D42" i="36"/>
  <c r="C153" i="36"/>
  <c r="A148" i="33"/>
  <c r="D125" i="37"/>
  <c r="B28" i="34"/>
  <c r="E27" i="37"/>
  <c r="B37" i="31"/>
  <c r="C114" i="35"/>
  <c r="C144" i="31"/>
  <c r="E72" i="30"/>
  <c r="C126" i="34"/>
  <c r="B11" i="32"/>
  <c r="A158" i="32"/>
  <c r="D62" i="35"/>
  <c r="A39" i="31"/>
  <c r="D111" i="31"/>
  <c r="C32" i="37"/>
  <c r="D14" i="32"/>
  <c r="C89" i="37"/>
  <c r="C51" i="32"/>
  <c r="A63" i="31"/>
  <c r="A22" i="37"/>
  <c r="D110" i="37"/>
  <c r="C5" i="33"/>
  <c r="C50" i="32"/>
  <c r="C70" i="36"/>
  <c r="C65" i="32"/>
  <c r="D107" i="32"/>
  <c r="C4" i="32"/>
  <c r="D93" i="34"/>
  <c r="A144" i="36"/>
  <c r="E148" i="35"/>
  <c r="D44" i="32"/>
  <c r="B55" i="31"/>
  <c r="C69" i="35"/>
  <c r="B152" i="32"/>
  <c r="B96" i="37"/>
  <c r="B156" i="35"/>
  <c r="B45" i="35"/>
  <c r="E56" i="33"/>
  <c r="B103" i="35"/>
  <c r="A102" i="32"/>
  <c r="B60" i="36"/>
  <c r="D74" i="37"/>
  <c r="B62" i="31"/>
  <c r="C30" i="32"/>
  <c r="A88" i="31"/>
  <c r="C79" i="31"/>
  <c r="C75" i="34"/>
  <c r="E61" i="30"/>
  <c r="B139" i="35"/>
  <c r="A92" i="36"/>
  <c r="B29" i="32"/>
  <c r="D119" i="31"/>
  <c r="D106" i="34"/>
  <c r="C154" i="31"/>
  <c r="B43" i="32"/>
  <c r="A141" i="33"/>
  <c r="E68" i="30"/>
  <c r="D150" i="32"/>
  <c r="A118" i="31"/>
  <c r="D120" i="33"/>
  <c r="C71" i="34"/>
  <c r="A157" i="32"/>
  <c r="A38" i="34"/>
  <c r="E138" i="30"/>
  <c r="D90" i="33"/>
  <c r="B68" i="32"/>
  <c r="C124" i="32"/>
  <c r="C29" i="33"/>
  <c r="C150" i="36"/>
  <c r="C31" i="32"/>
  <c r="C8" i="31"/>
  <c r="B53" i="32"/>
  <c r="A137" i="37"/>
  <c r="D42" i="33"/>
  <c r="D76" i="31"/>
  <c r="B136" i="35"/>
  <c r="B115" i="33"/>
  <c r="D29" i="34"/>
  <c r="D102" i="31"/>
  <c r="A61" i="34"/>
  <c r="D93" i="35"/>
  <c r="D151" i="32"/>
  <c r="C13" i="35"/>
  <c r="C65" i="31"/>
  <c r="E4" i="34"/>
  <c r="D18" i="32"/>
  <c r="A127" i="32"/>
  <c r="C85" i="33"/>
  <c r="C16" i="31"/>
  <c r="A69" i="32"/>
  <c r="C156" i="32"/>
  <c r="D135" i="36"/>
  <c r="C13" i="33"/>
  <c r="C99" i="37"/>
  <c r="D37" i="31"/>
  <c r="C31" i="31"/>
  <c r="B37" i="34"/>
  <c r="E77" i="30"/>
  <c r="E91" i="30"/>
  <c r="E132" i="30"/>
  <c r="D64" i="32"/>
  <c r="C31" i="33"/>
  <c r="B157" i="32"/>
  <c r="A41" i="31"/>
  <c r="A31" i="37"/>
  <c r="E19" i="30"/>
  <c r="E140" i="30"/>
  <c r="C75" i="36"/>
  <c r="D95" i="31"/>
  <c r="D31" i="36"/>
  <c r="A137" i="35"/>
  <c r="C51" i="34"/>
  <c r="C65" i="33"/>
  <c r="A82" i="31"/>
  <c r="C81" i="32"/>
  <c r="A65" i="34"/>
  <c r="B129" i="33"/>
  <c r="A96" i="31"/>
  <c r="A97" i="33"/>
  <c r="D84" i="31"/>
  <c r="A147" i="31"/>
  <c r="E155" i="35"/>
  <c r="C125" i="32"/>
  <c r="C48" i="31"/>
  <c r="A157" i="33"/>
  <c r="D9" i="32"/>
  <c r="D28" i="31"/>
  <c r="A102" i="33"/>
  <c r="C115" i="32"/>
  <c r="C116" i="33"/>
  <c r="C70" i="31"/>
  <c r="C70" i="34"/>
  <c r="E100" i="30"/>
  <c r="A29" i="31"/>
  <c r="B31" i="32"/>
  <c r="A154" i="32"/>
  <c r="A54" i="36"/>
  <c r="B16" i="37"/>
  <c r="E5" i="37"/>
  <c r="B35" i="31"/>
  <c r="D137" i="32"/>
  <c r="B107" i="32"/>
  <c r="B117" i="37"/>
  <c r="B140" i="31"/>
  <c r="E58" i="30"/>
  <c r="D75" i="33"/>
  <c r="D10" i="31"/>
  <c r="D78" i="34"/>
  <c r="C74" i="32"/>
  <c r="E157" i="31"/>
  <c r="A145" i="34"/>
  <c r="A124" i="31"/>
  <c r="D9" i="37"/>
  <c r="A62" i="36"/>
  <c r="D123" i="33"/>
  <c r="B42" i="33"/>
  <c r="A5" i="33"/>
  <c r="C114" i="31"/>
  <c r="D34" i="31"/>
  <c r="C28" i="31"/>
  <c r="C133" i="32"/>
  <c r="A131" i="37"/>
  <c r="A86" i="36"/>
  <c r="E96" i="30"/>
  <c r="D48" i="32"/>
  <c r="D9" i="34"/>
  <c r="C101" i="32"/>
  <c r="C45" i="32"/>
  <c r="D22" i="34"/>
  <c r="A12" i="33"/>
  <c r="C134" i="35"/>
  <c r="A35" i="33"/>
  <c r="A142" i="31"/>
  <c r="B42" i="32"/>
  <c r="A90" i="32"/>
  <c r="E50" i="30"/>
  <c r="D62" i="32"/>
  <c r="C17" i="34"/>
  <c r="B14" i="31"/>
  <c r="A92" i="34"/>
  <c r="D132" i="32"/>
  <c r="B92" i="33"/>
  <c r="C33" i="31"/>
  <c r="A18" i="34"/>
  <c r="B143" i="34"/>
  <c r="D97" i="32"/>
  <c r="D47" i="34"/>
  <c r="D87" i="34"/>
  <c r="B87" i="33"/>
  <c r="A31" i="36"/>
  <c r="D100" i="31"/>
  <c r="D52" i="36"/>
  <c r="C39" i="33"/>
  <c r="D2" i="31"/>
  <c r="E51" i="32"/>
  <c r="C57" i="31"/>
  <c r="B130" i="37"/>
  <c r="A67" i="35"/>
  <c r="C126" i="33"/>
  <c r="D26" i="35"/>
  <c r="E128" i="34"/>
  <c r="D91" i="32"/>
  <c r="C91" i="33"/>
  <c r="C105" i="31"/>
  <c r="E125" i="31"/>
  <c r="E112" i="30"/>
  <c r="D91" i="34"/>
  <c r="B96" i="35"/>
  <c r="C96" i="31"/>
  <c r="D29" i="33"/>
  <c r="A40" i="32"/>
  <c r="D13" i="33"/>
  <c r="C157" i="34"/>
  <c r="C23" i="31"/>
  <c r="B107" i="35"/>
  <c r="E42" i="34"/>
  <c r="B70" i="33"/>
  <c r="C112" i="31"/>
  <c r="A66" i="31"/>
  <c r="B102" i="35"/>
  <c r="C72" i="33"/>
  <c r="D92" i="31"/>
  <c r="E111" i="36"/>
  <c r="C74" i="33"/>
  <c r="D54" i="35"/>
  <c r="A39" i="35"/>
  <c r="B50" i="35"/>
  <c r="E118" i="30"/>
  <c r="B113" i="33"/>
  <c r="E45" i="32"/>
  <c r="E148" i="37"/>
  <c r="D90" i="36"/>
  <c r="B9" i="34"/>
  <c r="E2" i="36"/>
  <c r="C147" i="35"/>
  <c r="E76" i="32"/>
  <c r="A4" i="37"/>
  <c r="C17" i="33"/>
  <c r="A57" i="35"/>
  <c r="A96" i="34"/>
  <c r="C37" i="34"/>
  <c r="A2" i="35"/>
  <c r="E87" i="33"/>
  <c r="A138" i="31"/>
  <c r="B39" i="32"/>
  <c r="C114" i="34"/>
  <c r="A5" i="37"/>
  <c r="A108" i="31"/>
  <c r="B100" i="31"/>
  <c r="B99" i="32"/>
  <c r="A113" i="34"/>
  <c r="A148" i="31"/>
  <c r="C74" i="31"/>
  <c r="D152" i="32"/>
  <c r="A71" i="32"/>
  <c r="A93" i="32"/>
  <c r="C21" i="35"/>
  <c r="A6" i="33"/>
  <c r="C103" i="34"/>
  <c r="A106" i="37"/>
  <c r="D39" i="31"/>
  <c r="D81" i="32"/>
  <c r="B151" i="33"/>
  <c r="E62" i="31"/>
  <c r="A17" i="36"/>
  <c r="D97" i="34"/>
  <c r="E94" i="33"/>
  <c r="B126" i="32"/>
  <c r="C104" i="33"/>
  <c r="E101" i="35"/>
  <c r="E86" i="30"/>
  <c r="C64" i="31"/>
  <c r="D86" i="37"/>
  <c r="B45" i="34"/>
  <c r="C42" i="34"/>
  <c r="A68" i="32"/>
  <c r="C32" i="36"/>
  <c r="A126" i="32"/>
  <c r="A8" i="31"/>
  <c r="B66" i="32"/>
  <c r="A5" i="31"/>
  <c r="A139" i="31"/>
  <c r="D86" i="31"/>
  <c r="B15" i="36"/>
  <c r="D78" i="31"/>
  <c r="C140" i="33"/>
  <c r="B124" i="31"/>
  <c r="E42" i="30"/>
  <c r="E36" i="36"/>
  <c r="B121" i="31"/>
  <c r="A98" i="32"/>
  <c r="A15" i="32"/>
  <c r="B121" i="34"/>
  <c r="D139" i="35"/>
  <c r="B26" i="35"/>
  <c r="A43" i="35"/>
  <c r="C47" i="37"/>
  <c r="C12" i="31"/>
  <c r="B43" i="33"/>
  <c r="E4" i="32"/>
  <c r="B134" i="31"/>
  <c r="D15" i="35"/>
  <c r="B58" i="33"/>
  <c r="B14" i="32"/>
  <c r="B45" i="32"/>
  <c r="B64" i="36"/>
  <c r="A117" i="33"/>
  <c r="A134" i="31"/>
  <c r="E31" i="36"/>
  <c r="D96" i="34"/>
  <c r="C136" i="31"/>
  <c r="A123" i="32"/>
  <c r="D112" i="31"/>
  <c r="C80" i="32"/>
  <c r="A8" i="35"/>
  <c r="E127" i="30"/>
  <c r="B51" i="36"/>
  <c r="B138" i="36"/>
  <c r="C149" i="36"/>
  <c r="A133" i="33"/>
  <c r="E157" i="32"/>
  <c r="D19" i="34"/>
  <c r="B76" i="36"/>
  <c r="A113" i="36"/>
  <c r="E64" i="36"/>
  <c r="B147" i="36"/>
  <c r="E12" i="37"/>
  <c r="A10" i="34"/>
  <c r="E135" i="37"/>
  <c r="B10" i="31"/>
  <c r="E78" i="31"/>
  <c r="D140" i="37"/>
  <c r="C85" i="32"/>
  <c r="A72" i="37"/>
  <c r="D31" i="32"/>
  <c r="A3" i="31"/>
  <c r="B6" i="33"/>
  <c r="C80" i="35"/>
  <c r="A31" i="32"/>
  <c r="C133" i="34"/>
  <c r="D124" i="32"/>
  <c r="C79" i="34"/>
  <c r="E32" i="32"/>
  <c r="D57" i="33"/>
  <c r="A62" i="33"/>
  <c r="A139" i="33"/>
  <c r="C91" i="32"/>
  <c r="C96" i="32"/>
  <c r="D155" i="35"/>
  <c r="A24" i="34"/>
  <c r="B77" i="32"/>
  <c r="A152" i="31"/>
  <c r="D117" i="32"/>
  <c r="B51" i="31"/>
  <c r="C81" i="31"/>
  <c r="C96" i="33"/>
  <c r="D87" i="33"/>
  <c r="A74" i="36"/>
  <c r="A42" i="32"/>
  <c r="B24" i="31"/>
  <c r="B57" i="36"/>
  <c r="D68" i="32"/>
  <c r="B27" i="32"/>
  <c r="C135" i="34"/>
  <c r="A36" i="34"/>
  <c r="D3" i="32"/>
  <c r="D128" i="31"/>
  <c r="C147" i="31"/>
  <c r="C85" i="37"/>
  <c r="C117" i="31"/>
  <c r="C111" i="31"/>
  <c r="B115" i="32"/>
  <c r="E36" i="34"/>
  <c r="C127" i="33"/>
  <c r="D115" i="31"/>
  <c r="D144" i="34"/>
  <c r="D93" i="33"/>
  <c r="D149" i="34"/>
  <c r="A131" i="35"/>
  <c r="D76" i="37"/>
  <c r="E120" i="34"/>
  <c r="D115" i="34"/>
  <c r="D34" i="35"/>
  <c r="B135" i="36"/>
  <c r="A11" i="31"/>
  <c r="D135" i="32"/>
  <c r="C123" i="35"/>
  <c r="C100" i="31"/>
  <c r="E23" i="34"/>
  <c r="E62" i="32"/>
  <c r="C18" i="32"/>
  <c r="C143" i="31"/>
  <c r="D40" i="33"/>
  <c r="B110" i="35"/>
  <c r="B102" i="33"/>
  <c r="C12" i="33"/>
  <c r="A119" i="31"/>
  <c r="A119" i="37"/>
  <c r="B129" i="31"/>
  <c r="B125" i="32"/>
  <c r="A28" i="33"/>
  <c r="D30" i="37"/>
  <c r="C107" i="34"/>
  <c r="A9" i="32"/>
  <c r="B132" i="32"/>
  <c r="B64" i="32"/>
  <c r="A53" i="37"/>
  <c r="C36" i="34"/>
  <c r="D89" i="31"/>
  <c r="C56" i="31"/>
  <c r="A103" i="31"/>
  <c r="A73" i="32"/>
  <c r="C132" i="31"/>
  <c r="E59" i="32"/>
  <c r="D3" i="31"/>
  <c r="A82" i="34"/>
  <c r="D61" i="36"/>
  <c r="C110" i="32"/>
  <c r="C70" i="35"/>
  <c r="C117" i="33"/>
  <c r="D25" i="33"/>
  <c r="C15" i="35"/>
  <c r="B97" i="33"/>
  <c r="A51" i="34"/>
  <c r="C84" i="32"/>
  <c r="D33" i="35"/>
  <c r="A71" i="35"/>
  <c r="C55" i="34"/>
  <c r="D95" i="37"/>
  <c r="E95" i="36"/>
  <c r="C153" i="32"/>
  <c r="C17" i="35"/>
  <c r="E71" i="37"/>
  <c r="A66" i="32"/>
  <c r="B11" i="37"/>
  <c r="B116" i="31"/>
  <c r="D51" i="35"/>
  <c r="D16" i="35"/>
  <c r="A35" i="34"/>
  <c r="E9" i="30"/>
  <c r="B134" i="35"/>
  <c r="B44" i="32"/>
  <c r="C60" i="34"/>
  <c r="A6" i="31"/>
  <c r="D73" i="32"/>
  <c r="D53" i="36"/>
  <c r="A131" i="31"/>
  <c r="B66" i="34"/>
  <c r="B75" i="32"/>
  <c r="B97" i="31"/>
  <c r="A38" i="35"/>
  <c r="D57" i="34"/>
  <c r="A24" i="31"/>
  <c r="A63" i="33"/>
  <c r="D64" i="34"/>
  <c r="D100" i="36"/>
  <c r="D111" i="32"/>
  <c r="A68" i="31"/>
  <c r="A14" i="31"/>
  <c r="A2" i="33"/>
  <c r="D46" i="32"/>
  <c r="C43" i="31"/>
  <c r="A145" i="31"/>
  <c r="C98" i="31"/>
  <c r="D42" i="31"/>
  <c r="B15" i="31"/>
  <c r="E20" i="36"/>
  <c r="D45" i="34"/>
  <c r="B111" i="31"/>
  <c r="C156" i="34"/>
  <c r="C118" i="31"/>
  <c r="E2" i="39"/>
  <c r="A54" i="31"/>
  <c r="A140" i="31"/>
  <c r="C57" i="34"/>
  <c r="C7" i="33"/>
  <c r="A35" i="31"/>
  <c r="B35" i="34"/>
  <c r="A118" i="34"/>
  <c r="B126" i="33"/>
  <c r="D106" i="32"/>
  <c r="B65" i="31"/>
  <c r="B98" i="31"/>
  <c r="C141" i="33"/>
  <c r="B49" i="34"/>
  <c r="D45" i="36"/>
  <c r="C110" i="36"/>
  <c r="D107" i="33"/>
  <c r="B98" i="37"/>
  <c r="D28" i="35"/>
  <c r="C46" i="37"/>
  <c r="D58" i="32"/>
  <c r="C50" i="33"/>
  <c r="D68" i="31"/>
  <c r="B61" i="35"/>
  <c r="A80" i="34"/>
  <c r="C122" i="34"/>
  <c r="D30" i="31"/>
  <c r="A106" i="35"/>
  <c r="A79" i="31"/>
  <c r="B88" i="32"/>
  <c r="A120" i="33"/>
  <c r="E111" i="32"/>
  <c r="A84" i="31"/>
  <c r="D155" i="31"/>
  <c r="A139" i="34"/>
  <c r="E108" i="35"/>
  <c r="C101" i="31"/>
  <c r="A59" i="36"/>
  <c r="C124" i="31"/>
  <c r="A32" i="36"/>
  <c r="E142" i="30"/>
  <c r="B110" i="32"/>
  <c r="C65" i="34"/>
  <c r="C40" i="35"/>
  <c r="A135" i="35"/>
  <c r="D18" i="31"/>
  <c r="D39" i="37"/>
  <c r="A94" i="34"/>
  <c r="B104" i="36"/>
  <c r="C6" i="32"/>
  <c r="D87" i="31"/>
  <c r="B14" i="34"/>
  <c r="A24" i="33"/>
  <c r="B64" i="35"/>
  <c r="B33" i="34"/>
  <c r="A85" i="32"/>
  <c r="C44" i="34"/>
  <c r="E147" i="31"/>
  <c r="C35" i="33"/>
  <c r="A54" i="37"/>
  <c r="C4" i="35"/>
  <c r="B105" i="37"/>
  <c r="D23" i="36"/>
  <c r="D127" i="35"/>
  <c r="D14" i="37"/>
  <c r="E45" i="35"/>
  <c r="E25" i="33"/>
  <c r="A131" i="36"/>
  <c r="C92" i="32"/>
  <c r="E103" i="30"/>
  <c r="A30" i="31"/>
  <c r="A22" i="34"/>
  <c r="D33" i="32"/>
  <c r="B5" i="33"/>
  <c r="D128" i="33"/>
  <c r="D71" i="37"/>
  <c r="D34" i="32"/>
  <c r="D118" i="31"/>
  <c r="E52" i="30"/>
  <c r="B73" i="34"/>
  <c r="B30" i="32"/>
  <c r="B94" i="32"/>
  <c r="B61" i="32"/>
  <c r="D76" i="32"/>
  <c r="D56" i="36"/>
  <c r="C10" i="36"/>
  <c r="E59" i="30"/>
  <c r="D71" i="34"/>
  <c r="C48" i="32"/>
  <c r="C119" i="35"/>
  <c r="A125" i="31"/>
  <c r="D15" i="33"/>
  <c r="B93" i="33"/>
  <c r="A56" i="31"/>
  <c r="A14" i="34"/>
  <c r="E146" i="30"/>
  <c r="C49" i="31"/>
  <c r="C146" i="32"/>
  <c r="A100" i="33"/>
  <c r="D56" i="33"/>
  <c r="A93" i="31"/>
  <c r="B95" i="31"/>
  <c r="D82" i="31"/>
  <c r="A7" i="32"/>
  <c r="C36" i="31"/>
  <c r="D85" i="31"/>
  <c r="D2" i="39"/>
  <c r="D144" i="31"/>
  <c r="A132" i="31"/>
  <c r="A27" i="33"/>
  <c r="C86" i="31"/>
  <c r="C129" i="35"/>
  <c r="E62" i="30"/>
  <c r="D12" i="36"/>
  <c r="B27" i="31"/>
  <c r="D12" i="32"/>
  <c r="B133" i="33"/>
  <c r="A58" i="31"/>
  <c r="C55" i="31"/>
  <c r="A102" i="31"/>
  <c r="E44" i="34"/>
  <c r="A44" i="32"/>
  <c r="C27" i="31"/>
  <c r="C100" i="33"/>
  <c r="E40" i="33"/>
  <c r="A12" i="34"/>
  <c r="A47" i="33"/>
  <c r="C41" i="37"/>
  <c r="E26" i="30"/>
  <c r="B137" i="32"/>
  <c r="B110" i="37"/>
  <c r="D58" i="33"/>
  <c r="B106" i="31"/>
  <c r="C50" i="31"/>
  <c r="B60" i="31"/>
  <c r="D114" i="31"/>
  <c r="A136" i="31"/>
  <c r="E25" i="35"/>
  <c r="A17" i="34"/>
  <c r="C44" i="31"/>
  <c r="D64" i="31"/>
  <c r="A18" i="31"/>
  <c r="A125" i="35"/>
  <c r="C27" i="37"/>
  <c r="A130" i="32"/>
  <c r="C83" i="33"/>
  <c r="E41" i="37"/>
  <c r="B89" i="33"/>
  <c r="A16" i="33"/>
  <c r="B99" i="37"/>
  <c r="C14" i="34"/>
  <c r="E147" i="35"/>
  <c r="A40" i="34"/>
  <c r="C10" i="34"/>
  <c r="D125" i="35"/>
  <c r="B72" i="35"/>
  <c r="C59" i="35"/>
  <c r="B145" i="36"/>
  <c r="B59" i="35"/>
  <c r="B113" i="32"/>
  <c r="B130" i="32"/>
  <c r="C63" i="37"/>
  <c r="B122" i="37"/>
  <c r="C147" i="37"/>
  <c r="A146" i="33"/>
  <c r="E102" i="35"/>
  <c r="A74" i="35"/>
  <c r="C79" i="37"/>
  <c r="E115" i="33"/>
  <c r="B85" i="37"/>
  <c r="E83" i="35"/>
  <c r="A26" i="31"/>
  <c r="A141" i="31"/>
  <c r="D27" i="31"/>
  <c r="D152" i="31"/>
  <c r="C20" i="32"/>
  <c r="E50" i="37"/>
  <c r="C86" i="34"/>
  <c r="B108" i="32"/>
  <c r="C139" i="33"/>
  <c r="B148" i="35"/>
  <c r="C42" i="31"/>
  <c r="C115" i="31"/>
  <c r="C157" i="36"/>
  <c r="C137" i="32"/>
  <c r="A90" i="37"/>
  <c r="B13" i="32"/>
  <c r="A146" i="36"/>
  <c r="A88" i="34"/>
  <c r="E131" i="37"/>
  <c r="B141" i="31"/>
  <c r="C90" i="32"/>
  <c r="A130" i="35"/>
  <c r="A24" i="36"/>
  <c r="A81" i="32"/>
  <c r="C59" i="31"/>
  <c r="E122" i="30"/>
  <c r="C81" i="34"/>
  <c r="C66" i="35"/>
  <c r="D31" i="31"/>
  <c r="E133" i="30"/>
  <c r="C17" i="32"/>
  <c r="D141" i="32"/>
  <c r="D40" i="35"/>
  <c r="A49" i="36"/>
  <c r="A151" i="32"/>
  <c r="D147" i="33"/>
  <c r="B46" i="34"/>
  <c r="D91" i="36"/>
  <c r="E109" i="36"/>
  <c r="C71" i="35"/>
  <c r="B34" i="31"/>
  <c r="C47" i="34"/>
  <c r="A104" i="31"/>
  <c r="A20" i="33"/>
  <c r="C88" i="31"/>
  <c r="A95" i="32"/>
  <c r="C82" i="32"/>
  <c r="B30" i="33"/>
  <c r="D8" i="32"/>
  <c r="A51" i="32"/>
  <c r="D6" i="35"/>
  <c r="B79" i="31"/>
  <c r="C39" i="32"/>
  <c r="A135" i="33"/>
  <c r="D43" i="32"/>
  <c r="B110" i="33"/>
  <c r="D52" i="31"/>
  <c r="C32" i="35"/>
  <c r="A96" i="33"/>
  <c r="D46" i="37"/>
  <c r="B124" i="34"/>
  <c r="C28" i="33"/>
  <c r="B96" i="36"/>
  <c r="D16" i="31"/>
  <c r="B110" i="31"/>
  <c r="C104" i="32"/>
  <c r="C53" i="33"/>
  <c r="C139" i="35"/>
  <c r="B87" i="34"/>
  <c r="E151" i="35"/>
  <c r="B108" i="33"/>
  <c r="A53" i="33"/>
  <c r="B23" i="34"/>
  <c r="A143" i="35"/>
  <c r="E65" i="30"/>
  <c r="C68" i="35"/>
  <c r="B119" i="33"/>
  <c r="C141" i="31"/>
  <c r="A29" i="34"/>
  <c r="E70" i="36"/>
  <c r="E64" i="30"/>
  <c r="D55" i="31"/>
  <c r="E72" i="31"/>
  <c r="D79" i="32"/>
  <c r="C134" i="34"/>
  <c r="E76" i="37"/>
  <c r="C48" i="36"/>
  <c r="B44" i="33"/>
  <c r="D76" i="33"/>
  <c r="C52" i="33"/>
  <c r="D4" i="35"/>
  <c r="A48" i="33"/>
  <c r="C138" i="31"/>
  <c r="E138" i="31"/>
  <c r="A93" i="34"/>
  <c r="C50" i="37"/>
  <c r="B21" i="33"/>
  <c r="A75" i="37"/>
  <c r="A40" i="37"/>
  <c r="B124" i="33"/>
  <c r="B67" i="32"/>
  <c r="B80" i="35"/>
  <c r="B50" i="32"/>
  <c r="C46" i="35"/>
  <c r="A102" i="36"/>
  <c r="D14" i="34"/>
  <c r="B63" i="35"/>
  <c r="B104" i="32"/>
  <c r="B7" i="35"/>
  <c r="C5" i="36"/>
  <c r="D103" i="32"/>
  <c r="C89" i="34"/>
  <c r="E78" i="30"/>
  <c r="E38" i="30"/>
  <c r="E79" i="30"/>
  <c r="D53" i="32"/>
  <c r="D144" i="32"/>
  <c r="B99" i="31"/>
  <c r="B117" i="31"/>
  <c r="C33" i="36"/>
  <c r="G2" i="39"/>
  <c r="C25" i="34"/>
  <c r="E105" i="30"/>
  <c r="B97" i="32"/>
  <c r="A29" i="32"/>
  <c r="A31" i="31"/>
  <c r="D154" i="34"/>
  <c r="D63" i="31"/>
  <c r="D142" i="31"/>
  <c r="D141" i="35"/>
  <c r="A34" i="32"/>
  <c r="B11" i="34"/>
  <c r="B11" i="31"/>
  <c r="C86" i="33"/>
  <c r="B64" i="33"/>
  <c r="D63" i="36"/>
  <c r="A24" i="32"/>
  <c r="A29" i="35"/>
  <c r="C122" i="37"/>
  <c r="D64" i="33"/>
  <c r="C62" i="32"/>
  <c r="A65" i="37"/>
  <c r="E51" i="30"/>
  <c r="D65" i="35"/>
  <c r="D113" i="31"/>
  <c r="C116" i="31"/>
  <c r="D13" i="31"/>
  <c r="C92" i="31"/>
  <c r="E115" i="30"/>
  <c r="B105" i="34"/>
  <c r="C8" i="34"/>
  <c r="C32" i="33"/>
  <c r="B28" i="33"/>
  <c r="C55" i="36"/>
  <c r="C34" i="31"/>
  <c r="A37" i="31"/>
  <c r="A61" i="32"/>
  <c r="C138" i="34"/>
  <c r="E141" i="30"/>
  <c r="C46" i="36"/>
  <c r="D114" i="34"/>
  <c r="A4" i="32"/>
  <c r="A14" i="37"/>
  <c r="E92" i="30"/>
  <c r="C135" i="31"/>
  <c r="A45" i="35"/>
  <c r="D49" i="31"/>
  <c r="D55" i="35"/>
  <c r="E109" i="30"/>
  <c r="C24" i="32"/>
  <c r="D99" i="31"/>
  <c r="C45" i="35"/>
  <c r="C126" i="37"/>
  <c r="D138" i="31"/>
  <c r="A44" i="33"/>
  <c r="C122" i="33"/>
  <c r="A12" i="31"/>
  <c r="A52" i="33"/>
  <c r="B14" i="35"/>
  <c r="D55" i="34"/>
  <c r="B34" i="37"/>
  <c r="B149" i="35"/>
  <c r="D83" i="31"/>
  <c r="A140" i="32"/>
  <c r="E13" i="30"/>
  <c r="D67" i="33"/>
  <c r="C92" i="36"/>
  <c r="A85" i="31"/>
  <c r="C61" i="31"/>
  <c r="B156" i="36"/>
  <c r="B85" i="33"/>
  <c r="E22" i="34"/>
  <c r="C87" i="34"/>
  <c r="E29" i="34"/>
  <c r="B140" i="34"/>
  <c r="C81" i="36"/>
  <c r="E35" i="36"/>
  <c r="A97" i="34"/>
  <c r="A111" i="31"/>
  <c r="B12" i="37"/>
  <c r="D75" i="32"/>
  <c r="D21" i="33"/>
  <c r="C53" i="35"/>
  <c r="C144" i="33"/>
  <c r="A70" i="37"/>
  <c r="A99" i="32"/>
  <c r="D2" i="32"/>
  <c r="A129" i="32"/>
  <c r="E124" i="30"/>
  <c r="D156" i="31"/>
  <c r="B26" i="32"/>
  <c r="A107" i="31"/>
  <c r="D149" i="32"/>
  <c r="A59" i="34"/>
  <c r="B94" i="33"/>
  <c r="C127" i="32"/>
  <c r="B29" i="33"/>
  <c r="C33" i="37"/>
  <c r="B61" i="33"/>
  <c r="D148" i="33"/>
  <c r="C98" i="32"/>
  <c r="C7" i="31"/>
  <c r="A72" i="31"/>
  <c r="A155" i="32"/>
  <c r="B33" i="32"/>
  <c r="D125" i="33"/>
  <c r="E99" i="30"/>
  <c r="C103" i="32"/>
  <c r="B90" i="37"/>
  <c r="C12" i="35"/>
  <c r="B49" i="31"/>
  <c r="B72" i="32"/>
  <c r="C5" i="31"/>
  <c r="E34" i="30"/>
  <c r="B9" i="36"/>
  <c r="E70" i="33"/>
  <c r="E137" i="30"/>
  <c r="E147" i="30"/>
  <c r="D70" i="33"/>
  <c r="B17" i="31"/>
  <c r="E94" i="30"/>
  <c r="B51" i="34"/>
  <c r="D138" i="34"/>
  <c r="B150" i="32"/>
  <c r="B59" i="32"/>
  <c r="B123" i="31"/>
  <c r="D51" i="37"/>
  <c r="A25" i="31"/>
  <c r="C46" i="32"/>
  <c r="A78" i="36"/>
  <c r="A91" i="32"/>
  <c r="D130" i="32"/>
  <c r="B146" i="34"/>
  <c r="B69" i="33"/>
  <c r="B156" i="32"/>
  <c r="D87" i="32"/>
  <c r="D43" i="33"/>
  <c r="A102" i="35"/>
  <c r="B140" i="32"/>
  <c r="C152" i="35"/>
  <c r="A110" i="33"/>
  <c r="E10" i="30"/>
  <c r="A86" i="34"/>
  <c r="B18" i="34"/>
  <c r="A16" i="31"/>
  <c r="A133" i="34"/>
  <c r="B73" i="31"/>
  <c r="A112" i="37"/>
  <c r="A89" i="32"/>
  <c r="B9" i="31"/>
  <c r="A16" i="36"/>
  <c r="E56" i="31"/>
  <c r="E67" i="30"/>
  <c r="D21" i="32"/>
  <c r="D60" i="32"/>
  <c r="C109" i="36"/>
  <c r="E52" i="32"/>
  <c r="E7" i="30"/>
  <c r="C118" i="33"/>
  <c r="C110" i="35"/>
  <c r="D90" i="35"/>
  <c r="A63" i="32"/>
  <c r="C10" i="31"/>
  <c r="B46" i="35"/>
  <c r="C97" i="31"/>
  <c r="E29" i="33"/>
  <c r="C77" i="31"/>
  <c r="C43" i="36"/>
  <c r="D25" i="31"/>
  <c r="D116" i="31"/>
  <c r="B101" i="36"/>
  <c r="A32" i="31"/>
  <c r="C150" i="35"/>
  <c r="A33" i="31"/>
  <c r="A97" i="31"/>
  <c r="C7" i="36"/>
  <c r="D64" i="36"/>
  <c r="D122" i="31"/>
  <c r="E103" i="34"/>
  <c r="B78" i="31"/>
  <c r="D38" i="34"/>
  <c r="B109" i="32"/>
  <c r="A153" i="32"/>
  <c r="C154" i="33"/>
  <c r="E113" i="30"/>
  <c r="C127" i="34"/>
  <c r="A142" i="36"/>
  <c r="E120" i="30"/>
  <c r="E102" i="30"/>
  <c r="A71" i="37"/>
  <c r="D3" i="34"/>
  <c r="D114" i="33"/>
  <c r="B10" i="35"/>
  <c r="D109" i="36"/>
  <c r="B62" i="33"/>
  <c r="D134" i="37"/>
  <c r="A99" i="33"/>
  <c r="D98" i="36"/>
  <c r="B122" i="35"/>
  <c r="B13" i="35"/>
  <c r="A155" i="36"/>
  <c r="E38" i="37"/>
  <c r="D60" i="35"/>
  <c r="E63" i="30"/>
  <c r="C120" i="36"/>
  <c r="A152" i="35"/>
  <c r="A17" i="35"/>
  <c r="E157" i="30"/>
  <c r="B36" i="31"/>
  <c r="E95" i="30"/>
  <c r="C74" i="35"/>
  <c r="C122" i="32"/>
  <c r="A145" i="32"/>
  <c r="D157" i="32"/>
  <c r="A103" i="35"/>
  <c r="A76" i="31"/>
  <c r="B139" i="32"/>
  <c r="B129" i="32"/>
  <c r="A13" i="32"/>
  <c r="C149" i="33"/>
  <c r="D131" i="34"/>
  <c r="C2" i="32"/>
  <c r="D137" i="31"/>
  <c r="C152" i="32"/>
  <c r="A91" i="34"/>
  <c r="B6" i="31"/>
  <c r="D95" i="32"/>
  <c r="E16" i="34"/>
  <c r="D83" i="33"/>
  <c r="C30" i="31"/>
  <c r="A75" i="31"/>
  <c r="A137" i="33"/>
  <c r="C42" i="32"/>
  <c r="A70" i="33"/>
  <c r="D117" i="34"/>
  <c r="D74" i="33"/>
  <c r="C99" i="31"/>
  <c r="D61" i="31"/>
  <c r="A105" i="34"/>
  <c r="B76" i="34"/>
  <c r="E12" i="30"/>
  <c r="A148" i="37"/>
  <c r="A125" i="36"/>
  <c r="D72" i="34"/>
  <c r="C59" i="36"/>
  <c r="C65" i="36"/>
  <c r="E9" i="31"/>
  <c r="A112" i="31"/>
  <c r="C97" i="33"/>
  <c r="C4" i="33"/>
  <c r="B114" i="34"/>
  <c r="C20" i="34"/>
  <c r="A120" i="32"/>
  <c r="D70" i="32"/>
  <c r="D32" i="33"/>
  <c r="A76" i="35"/>
  <c r="D21" i="36"/>
  <c r="D143" i="34"/>
  <c r="E74" i="30"/>
  <c r="D152" i="35"/>
  <c r="D155" i="36"/>
  <c r="A39" i="34"/>
  <c r="B108" i="34"/>
  <c r="D86" i="35"/>
  <c r="B111" i="33"/>
  <c r="E14" i="30"/>
  <c r="B19" i="33"/>
  <c r="B148" i="31"/>
  <c r="A10" i="36"/>
  <c r="E154" i="30"/>
  <c r="B14" i="33"/>
  <c r="B114" i="31"/>
  <c r="A109" i="31"/>
  <c r="D59" i="35"/>
  <c r="C116" i="35"/>
  <c r="B63" i="31"/>
  <c r="D151" i="37"/>
  <c r="C153" i="31"/>
  <c r="B156" i="37"/>
  <c r="A74" i="33"/>
  <c r="C20" i="31"/>
  <c r="B69" i="32"/>
  <c r="B90" i="34"/>
  <c r="B150" i="33"/>
  <c r="C151" i="33"/>
  <c r="C109" i="31"/>
  <c r="B12" i="35"/>
  <c r="D141" i="34"/>
  <c r="C4" i="34"/>
  <c r="B158" i="34"/>
  <c r="D70" i="37"/>
  <c r="B83" i="32"/>
  <c r="C53" i="31"/>
  <c r="D59" i="37"/>
  <c r="C69" i="37"/>
  <c r="D94" i="32"/>
  <c r="D26" i="32"/>
  <c r="A86" i="32"/>
  <c r="C10" i="33"/>
  <c r="B96" i="34"/>
  <c r="A8" i="32"/>
  <c r="B17" i="32"/>
  <c r="A112" i="35"/>
  <c r="E39" i="31"/>
  <c r="E32" i="35"/>
  <c r="D67" i="32"/>
  <c r="B2" i="35"/>
  <c r="C124" i="35"/>
  <c r="E145" i="36"/>
  <c r="A133" i="31"/>
  <c r="D54" i="32"/>
  <c r="B153" i="32"/>
  <c r="A100" i="31"/>
  <c r="D119" i="34"/>
  <c r="D154" i="32"/>
  <c r="E69" i="34"/>
  <c r="D110" i="33"/>
  <c r="E148" i="30"/>
  <c r="D20" i="32"/>
  <c r="A106" i="33"/>
  <c r="E83" i="30"/>
  <c r="C13" i="32"/>
  <c r="E151" i="30"/>
  <c r="C150" i="32"/>
  <c r="B35" i="33"/>
  <c r="A54" i="33"/>
  <c r="D36" i="34"/>
  <c r="C108" i="32"/>
  <c r="B101" i="32"/>
  <c r="A62" i="34"/>
  <c r="E50" i="32"/>
  <c r="E139" i="30"/>
  <c r="D149" i="31"/>
  <c r="A149" i="32"/>
  <c r="D22" i="35"/>
  <c r="D127" i="31"/>
  <c r="A74" i="31"/>
  <c r="E75" i="30"/>
  <c r="C11" i="34"/>
  <c r="C85" i="31"/>
  <c r="B15" i="35"/>
  <c r="D132" i="31"/>
  <c r="D9" i="35"/>
  <c r="B57" i="31"/>
  <c r="A73" i="34"/>
  <c r="C19" i="33"/>
  <c r="B2" i="31"/>
  <c r="D153" i="31"/>
  <c r="D117" i="31"/>
  <c r="C98" i="35"/>
  <c r="A58" i="32"/>
  <c r="E135" i="30"/>
  <c r="C15" i="31"/>
  <c r="A88" i="32"/>
  <c r="C128" i="35"/>
  <c r="D131" i="33"/>
  <c r="D24" i="31"/>
  <c r="C152" i="33"/>
  <c r="C84" i="31"/>
  <c r="A42" i="34"/>
  <c r="C52" i="32"/>
  <c r="C55" i="33"/>
  <c r="D72" i="35"/>
  <c r="D31" i="35"/>
  <c r="A9" i="33"/>
  <c r="B146" i="32"/>
  <c r="B41" i="35"/>
  <c r="D21" i="31"/>
  <c r="B120" i="35"/>
  <c r="E84" i="30"/>
  <c r="D146" i="34"/>
  <c r="D51" i="33"/>
  <c r="C95" i="31"/>
  <c r="C47" i="31"/>
  <c r="C108" i="35"/>
  <c r="C107" i="35"/>
  <c r="E17" i="33"/>
  <c r="D79" i="33"/>
  <c r="B12" i="33"/>
  <c r="E57" i="35"/>
  <c r="B132" i="31"/>
  <c r="B92" i="31"/>
  <c r="A85" i="36"/>
  <c r="E131" i="32"/>
  <c r="C37" i="31"/>
  <c r="C137" i="31"/>
  <c r="B93" i="35"/>
  <c r="B126" i="31"/>
  <c r="D36" i="32"/>
  <c r="C30" i="35"/>
  <c r="B24" i="34"/>
  <c r="D154" i="31"/>
  <c r="E82" i="30"/>
  <c r="C53" i="32"/>
  <c r="C39" i="34"/>
  <c r="E8" i="30"/>
  <c r="E48" i="32"/>
  <c r="A49" i="37"/>
  <c r="A36" i="33"/>
  <c r="E46" i="36"/>
  <c r="E29" i="31"/>
  <c r="D94" i="33"/>
  <c r="C105" i="33"/>
  <c r="B146" i="33"/>
  <c r="B118" i="33"/>
  <c r="C29" i="36"/>
  <c r="D158" i="32"/>
  <c r="B78" i="36"/>
  <c r="C89" i="31"/>
  <c r="A39" i="32"/>
  <c r="A54" i="34"/>
  <c r="B25" i="33"/>
  <c r="C8" i="32"/>
  <c r="D37" i="37"/>
  <c r="D61" i="35"/>
  <c r="D89" i="32"/>
  <c r="C18" i="31"/>
  <c r="E82" i="33"/>
  <c r="A87" i="33"/>
  <c r="C147" i="36"/>
  <c r="E144" i="37"/>
  <c r="B91" i="37"/>
  <c r="C95" i="35"/>
  <c r="D92" i="34"/>
  <c r="C67" i="35"/>
  <c r="C27" i="32"/>
  <c r="C75" i="31"/>
  <c r="C83" i="32"/>
  <c r="E104" i="37"/>
  <c r="D70" i="35"/>
  <c r="D129" i="31"/>
  <c r="A2" i="31"/>
  <c r="E69" i="30"/>
  <c r="A145" i="33"/>
  <c r="D20" i="31"/>
  <c r="B44" i="35"/>
  <c r="C123" i="34"/>
  <c r="C131" i="34"/>
  <c r="B157" i="33"/>
  <c r="A134" i="32"/>
  <c r="A80" i="32"/>
  <c r="B52" i="34"/>
  <c r="A22" i="36"/>
  <c r="A28" i="31"/>
  <c r="D139" i="32"/>
  <c r="A28" i="34"/>
  <c r="E101" i="30"/>
  <c r="A40" i="35"/>
  <c r="C64" i="37"/>
  <c r="E110" i="33"/>
  <c r="A21" i="31"/>
  <c r="D7" i="31"/>
  <c r="D128" i="32"/>
  <c r="C135" i="33"/>
  <c r="C72" i="34"/>
  <c r="C56" i="32"/>
  <c r="B69" i="34"/>
  <c r="E131" i="30"/>
  <c r="C112" i="33"/>
  <c r="E11" i="36"/>
  <c r="C80" i="31"/>
  <c r="B32" i="32"/>
  <c r="B54" i="32"/>
  <c r="B94" i="31"/>
  <c r="A37" i="34"/>
  <c r="A6" i="34"/>
  <c r="E140" i="32"/>
  <c r="A156" i="35"/>
  <c r="C144" i="35"/>
  <c r="B72" i="37"/>
  <c r="D27" i="32"/>
  <c r="B92" i="32"/>
  <c r="A5" i="32"/>
  <c r="E36" i="30"/>
  <c r="C7" i="34"/>
  <c r="A84" i="35"/>
  <c r="D5" i="36"/>
  <c r="E84" i="33"/>
  <c r="D151" i="35"/>
  <c r="B70" i="32"/>
  <c r="D120" i="31"/>
  <c r="A109" i="33"/>
  <c r="B19" i="36"/>
  <c r="A113" i="35"/>
  <c r="C46" i="31"/>
  <c r="C2" i="39"/>
  <c r="B144" i="33"/>
  <c r="B65" i="32"/>
  <c r="D19" i="36"/>
  <c r="B153" i="31"/>
  <c r="B65" i="36"/>
  <c r="B56" i="33"/>
  <c r="A83" i="34"/>
  <c r="A22" i="33"/>
  <c r="D26" i="36"/>
  <c r="A82" i="32"/>
  <c r="E97" i="31"/>
  <c r="A60" i="32"/>
  <c r="E72" i="37"/>
  <c r="C113" i="33"/>
  <c r="A55" i="31"/>
  <c r="A45" i="37"/>
  <c r="A142" i="34"/>
  <c r="D124" i="35"/>
  <c r="C34" i="36"/>
  <c r="E83" i="32"/>
  <c r="A58" i="37"/>
  <c r="C83" i="36"/>
  <c r="A99" i="35"/>
  <c r="E123" i="34"/>
  <c r="D62" i="36"/>
  <c r="A20" i="31"/>
  <c r="B138" i="35"/>
  <c r="C7" i="35"/>
  <c r="B30" i="31"/>
  <c r="C157" i="32"/>
  <c r="C92" i="33"/>
  <c r="A50" i="33"/>
  <c r="E66" i="32"/>
  <c r="B130" i="35"/>
  <c r="A81" i="36"/>
  <c r="A121" i="34"/>
  <c r="E101" i="33"/>
  <c r="A46" i="37"/>
  <c r="B71" i="34"/>
  <c r="D106" i="37"/>
  <c r="B88" i="33"/>
  <c r="A4" i="35"/>
  <c r="D76" i="34"/>
  <c r="C143" i="35"/>
  <c r="C87" i="33"/>
  <c r="D120" i="35"/>
  <c r="D82" i="36"/>
  <c r="A99" i="36"/>
  <c r="D4" i="34"/>
  <c r="B22" i="32"/>
  <c r="E137" i="36"/>
  <c r="E96" i="32"/>
  <c r="B40" i="32"/>
  <c r="E81" i="30"/>
  <c r="D119" i="36"/>
  <c r="E6" i="30"/>
  <c r="D17" i="31"/>
  <c r="A153" i="31"/>
  <c r="B26" i="31"/>
  <c r="A133" i="36"/>
  <c r="B22" i="34"/>
  <c r="A114" i="35"/>
  <c r="E50" i="34"/>
  <c r="B67" i="36"/>
  <c r="C69" i="31"/>
  <c r="A52" i="35"/>
  <c r="C158" i="31"/>
  <c r="A148" i="35"/>
  <c r="D30" i="36"/>
  <c r="B76" i="31"/>
  <c r="C63" i="33"/>
  <c r="A156" i="34"/>
  <c r="A21" i="34"/>
  <c r="B93" i="36"/>
  <c r="D156" i="33"/>
  <c r="B24" i="32"/>
  <c r="C56" i="33"/>
  <c r="D11" i="35"/>
  <c r="D53" i="31"/>
  <c r="C21" i="36"/>
  <c r="D47" i="31"/>
  <c r="A18" i="32"/>
  <c r="B151" i="32"/>
  <c r="C132" i="33"/>
  <c r="D105" i="36"/>
  <c r="E149" i="35"/>
  <c r="B39" i="34"/>
  <c r="D75" i="34"/>
  <c r="B102" i="34"/>
  <c r="E79" i="36"/>
  <c r="C13" i="34"/>
  <c r="D7" i="32"/>
  <c r="B42" i="34"/>
  <c r="B33" i="31"/>
  <c r="A30" i="36"/>
  <c r="C140" i="34"/>
  <c r="B128" i="32"/>
  <c r="E19" i="34"/>
  <c r="B137" i="33"/>
  <c r="A48" i="31"/>
  <c r="A152" i="37"/>
  <c r="B112" i="37"/>
  <c r="C144" i="32"/>
  <c r="A57" i="34"/>
  <c r="C79" i="35"/>
  <c r="B34" i="35"/>
  <c r="A123" i="33"/>
  <c r="D50" i="32"/>
  <c r="E81" i="35"/>
  <c r="B40" i="34"/>
  <c r="B34" i="33"/>
  <c r="C65" i="37"/>
  <c r="B141" i="34"/>
  <c r="C73" i="35"/>
  <c r="B62" i="36"/>
  <c r="E132" i="36"/>
  <c r="A48" i="34"/>
  <c r="C91" i="36"/>
  <c r="D112" i="37"/>
  <c r="A155" i="34"/>
  <c r="C101" i="36"/>
  <c r="A93" i="33"/>
  <c r="E28" i="33"/>
  <c r="B60" i="33"/>
  <c r="C70" i="37"/>
  <c r="C15" i="32"/>
  <c r="A120" i="31"/>
  <c r="E142" i="31"/>
  <c r="D151" i="31"/>
  <c r="A105" i="33"/>
  <c r="D52" i="32"/>
  <c r="C129" i="33"/>
  <c r="C31" i="34"/>
  <c r="A143" i="32"/>
  <c r="D105" i="32"/>
  <c r="B47" i="31"/>
  <c r="B2" i="32"/>
  <c r="C76" i="31"/>
  <c r="A105" i="36"/>
  <c r="A124" i="32"/>
  <c r="B154" i="31"/>
  <c r="A58" i="34"/>
  <c r="A142" i="33"/>
  <c r="A48" i="37"/>
  <c r="C17" i="36"/>
  <c r="B94" i="35"/>
  <c r="D92" i="32"/>
  <c r="D142" i="32"/>
  <c r="B48" i="35"/>
  <c r="A104" i="33"/>
  <c r="B100" i="32"/>
  <c r="C49" i="32"/>
  <c r="B114" i="32"/>
  <c r="D36" i="33"/>
  <c r="C121" i="31"/>
  <c r="A67" i="31"/>
  <c r="C143" i="36"/>
  <c r="A46" i="35"/>
  <c r="A59" i="31"/>
  <c r="B123" i="37"/>
  <c r="A121" i="32"/>
  <c r="B9" i="32"/>
  <c r="B25" i="31"/>
  <c r="D142" i="35"/>
  <c r="C148" i="34"/>
  <c r="D146" i="31"/>
  <c r="B89" i="32"/>
  <c r="A4" i="33"/>
  <c r="C32" i="31"/>
  <c r="A108" i="35"/>
  <c r="E66" i="33"/>
  <c r="E49" i="36"/>
  <c r="D40" i="34"/>
  <c r="D20" i="35"/>
  <c r="E126" i="35"/>
  <c r="B135" i="33"/>
  <c r="B105" i="31"/>
  <c r="E6" i="32"/>
  <c r="E112" i="37"/>
  <c r="B7" i="34"/>
  <c r="D67" i="35"/>
  <c r="B86" i="32"/>
  <c r="B7" i="33"/>
  <c r="B26" i="33"/>
  <c r="B96" i="32"/>
  <c r="A102" i="34"/>
  <c r="C146" i="31"/>
  <c r="B89" i="31"/>
  <c r="D146" i="35"/>
  <c r="A73" i="33"/>
  <c r="E136" i="32"/>
  <c r="A32" i="32"/>
  <c r="A66" i="35"/>
  <c r="A138" i="33"/>
  <c r="D136" i="32"/>
  <c r="E18" i="31"/>
  <c r="C71" i="32"/>
  <c r="A127" i="35"/>
  <c r="E75" i="33"/>
  <c r="B77" i="34"/>
  <c r="D78" i="33"/>
  <c r="C58" i="33"/>
  <c r="B153" i="34"/>
  <c r="C141" i="34"/>
  <c r="D11" i="32"/>
  <c r="D74" i="36"/>
  <c r="E84" i="37"/>
  <c r="B80" i="32"/>
  <c r="A64" i="31"/>
  <c r="B3" i="34"/>
  <c r="D134" i="31"/>
  <c r="C87" i="31"/>
  <c r="D143" i="35"/>
  <c r="A86" i="35"/>
  <c r="E130" i="30"/>
  <c r="A6" i="36"/>
  <c r="B47" i="34"/>
  <c r="E60" i="30"/>
  <c r="D88" i="32"/>
  <c r="B83" i="36"/>
  <c r="C133" i="37"/>
  <c r="C98" i="33"/>
  <c r="A125" i="32"/>
  <c r="C11" i="31"/>
  <c r="B73" i="37"/>
  <c r="A119" i="34"/>
  <c r="C32" i="32"/>
  <c r="C102" i="36"/>
  <c r="A52" i="37"/>
  <c r="A32" i="33"/>
  <c r="D75" i="36"/>
  <c r="E76" i="33"/>
  <c r="D111" i="37"/>
  <c r="A67" i="37"/>
  <c r="C100" i="32"/>
  <c r="D126" i="35"/>
  <c r="E107" i="34"/>
  <c r="A47" i="35"/>
  <c r="E49" i="37"/>
  <c r="E14" i="31"/>
  <c r="D66" i="33"/>
  <c r="A28" i="36"/>
  <c r="B55" i="34"/>
  <c r="A9" i="37"/>
  <c r="A115" i="33"/>
  <c r="A37" i="35"/>
  <c r="B8" i="31"/>
  <c r="E67" i="31"/>
  <c r="A50" i="35"/>
  <c r="A120" i="36"/>
  <c r="A7" i="35"/>
  <c r="A136" i="35"/>
  <c r="C79" i="32"/>
  <c r="D16" i="33"/>
  <c r="D28" i="37"/>
  <c r="A2" i="37"/>
  <c r="C33" i="33"/>
  <c r="A61" i="36"/>
  <c r="E15" i="32"/>
  <c r="D141" i="37"/>
  <c r="D93" i="36"/>
  <c r="B2" i="33"/>
  <c r="D90" i="34"/>
  <c r="B151" i="36"/>
  <c r="E90" i="34"/>
  <c r="E79" i="37"/>
  <c r="A57" i="37"/>
  <c r="C106" i="33"/>
  <c r="A123" i="35"/>
  <c r="C137" i="37"/>
  <c r="E30" i="36"/>
  <c r="C67" i="32"/>
  <c r="D103" i="31"/>
  <c r="D57" i="37"/>
  <c r="D97" i="35"/>
  <c r="E44" i="33"/>
  <c r="D33" i="36"/>
  <c r="B70" i="36"/>
  <c r="D60" i="36"/>
  <c r="E132" i="32"/>
  <c r="B69" i="31"/>
  <c r="D35" i="34"/>
  <c r="C52" i="37"/>
  <c r="B93" i="31"/>
  <c r="A47" i="32"/>
  <c r="C99" i="32"/>
  <c r="C130" i="32"/>
  <c r="C134" i="32"/>
  <c r="A121" i="31"/>
  <c r="B5" i="35"/>
  <c r="C99" i="36"/>
  <c r="D147" i="34"/>
  <c r="D81" i="31"/>
  <c r="B59" i="33"/>
  <c r="E109" i="32"/>
  <c r="B48" i="34"/>
  <c r="C131" i="35"/>
  <c r="E27" i="30"/>
  <c r="B54" i="31"/>
  <c r="B155" i="33"/>
  <c r="E29" i="35"/>
  <c r="E44" i="31"/>
  <c r="A11" i="32"/>
  <c r="E49" i="30"/>
  <c r="C38" i="31"/>
  <c r="A158" i="33"/>
  <c r="C128" i="32"/>
  <c r="A67" i="32"/>
  <c r="C60" i="32"/>
  <c r="D105" i="33"/>
  <c r="D125" i="31"/>
  <c r="D158" i="35"/>
  <c r="B103" i="33"/>
  <c r="C89" i="33"/>
  <c r="D110" i="31"/>
  <c r="E48" i="30"/>
  <c r="D144" i="36"/>
  <c r="B44" i="34"/>
  <c r="A79" i="37"/>
  <c r="C135" i="35"/>
  <c r="B42" i="31"/>
  <c r="C11" i="33"/>
  <c r="E115" i="37"/>
  <c r="C6" i="33"/>
  <c r="D124" i="34"/>
  <c r="E98" i="32"/>
  <c r="E30" i="30"/>
  <c r="D5" i="31"/>
  <c r="A89" i="36"/>
  <c r="E89" i="30"/>
  <c r="D91" i="33"/>
  <c r="A18" i="33"/>
  <c r="B36" i="32"/>
  <c r="B128" i="33"/>
  <c r="C78" i="33"/>
  <c r="D120" i="36"/>
  <c r="D60" i="31"/>
  <c r="C35" i="32"/>
  <c r="B119" i="31"/>
  <c r="E53" i="30"/>
  <c r="D71" i="32"/>
  <c r="D108" i="34"/>
  <c r="A129" i="36"/>
  <c r="C2" i="31"/>
  <c r="C76" i="33"/>
  <c r="C33" i="32"/>
  <c r="B137" i="36"/>
  <c r="E110" i="35"/>
  <c r="B91" i="34"/>
  <c r="C41" i="32"/>
  <c r="E20" i="37"/>
  <c r="A106" i="31"/>
  <c r="B18" i="37"/>
  <c r="B48" i="37"/>
  <c r="A156" i="31"/>
  <c r="B158" i="33"/>
  <c r="B121" i="36"/>
  <c r="B3" i="33"/>
  <c r="C26" i="31"/>
  <c r="E8" i="32"/>
  <c r="C158" i="34"/>
  <c r="E132" i="34"/>
  <c r="E11" i="35"/>
  <c r="D47" i="35"/>
  <c r="D116" i="32"/>
  <c r="B28" i="31"/>
  <c r="D82" i="32"/>
  <c r="C143" i="32"/>
  <c r="D97" i="33"/>
  <c r="A149" i="35"/>
  <c r="B136" i="31"/>
  <c r="A46" i="34"/>
  <c r="B59" i="36"/>
  <c r="C90" i="36"/>
  <c r="D99" i="37"/>
  <c r="D64" i="37"/>
  <c r="C104" i="36"/>
  <c r="A14" i="36"/>
  <c r="B71" i="32"/>
  <c r="C83" i="35"/>
  <c r="A3" i="36"/>
  <c r="B10" i="34"/>
  <c r="C58" i="31"/>
  <c r="B33" i="36"/>
  <c r="B4" i="31"/>
  <c r="D20" i="34"/>
  <c r="D124" i="33"/>
  <c r="E96" i="36"/>
  <c r="B117" i="34"/>
  <c r="B81" i="33"/>
  <c r="B77" i="36"/>
  <c r="B110" i="34"/>
  <c r="D34" i="33"/>
  <c r="B84" i="34"/>
  <c r="A90" i="31"/>
  <c r="B89" i="34"/>
  <c r="D48" i="31"/>
  <c r="D67" i="31"/>
  <c r="D23" i="31"/>
  <c r="E40" i="30"/>
  <c r="D61" i="33"/>
  <c r="A83" i="35"/>
  <c r="B77" i="31"/>
  <c r="A73" i="31"/>
  <c r="D74" i="32"/>
  <c r="D127" i="33"/>
  <c r="C30" i="37"/>
  <c r="D139" i="31"/>
  <c r="A63" i="34"/>
  <c r="A32" i="35"/>
  <c r="A105" i="32"/>
  <c r="C111" i="37"/>
  <c r="B134" i="33"/>
  <c r="C126" i="32"/>
  <c r="C69" i="33"/>
  <c r="A20" i="34"/>
  <c r="C111" i="35"/>
  <c r="D46" i="31"/>
  <c r="C40" i="32"/>
  <c r="A42" i="31"/>
  <c r="D33" i="34"/>
  <c r="D135" i="35"/>
  <c r="A43" i="33"/>
  <c r="D15" i="32"/>
  <c r="D143" i="31"/>
  <c r="D107" i="36"/>
  <c r="B35" i="32"/>
  <c r="C90" i="33"/>
  <c r="C145" i="36"/>
  <c r="E40" i="32"/>
  <c r="E75" i="37"/>
  <c r="B147" i="31"/>
  <c r="B36" i="33"/>
  <c r="D4" i="33"/>
  <c r="D11" i="33"/>
  <c r="B117" i="36"/>
  <c r="A151" i="34"/>
  <c r="B152" i="31"/>
  <c r="A124" i="34"/>
  <c r="A89" i="34"/>
  <c r="D101" i="31"/>
  <c r="D157" i="31"/>
  <c r="A86" i="33"/>
  <c r="B27" i="34"/>
  <c r="C88" i="36"/>
  <c r="E134" i="33"/>
  <c r="C143" i="37"/>
  <c r="E85" i="31"/>
  <c r="D14" i="33"/>
  <c r="E73" i="31"/>
  <c r="D148" i="35"/>
  <c r="B3" i="36"/>
  <c r="E143" i="33"/>
  <c r="D54" i="37"/>
  <c r="C19" i="34"/>
  <c r="A131" i="32"/>
  <c r="E151" i="32"/>
  <c r="E106" i="34"/>
  <c r="C142" i="31"/>
  <c r="A80" i="33"/>
  <c r="D40" i="37"/>
  <c r="C20" i="36"/>
  <c r="B14" i="36"/>
  <c r="A147" i="37"/>
  <c r="C85" i="34"/>
  <c r="D39" i="35"/>
  <c r="A71" i="34"/>
  <c r="E44" i="30"/>
  <c r="B7" i="32"/>
  <c r="A23" i="31"/>
  <c r="B136" i="34"/>
  <c r="D102" i="36"/>
  <c r="B104" i="34"/>
  <c r="B135" i="32"/>
  <c r="C87" i="32"/>
  <c r="B46" i="37"/>
  <c r="C151" i="37"/>
  <c r="A108" i="32"/>
  <c r="D32" i="31"/>
  <c r="B154" i="35"/>
  <c r="C121" i="35"/>
  <c r="D48" i="33"/>
  <c r="D139" i="34"/>
  <c r="A57" i="33"/>
  <c r="B134" i="32"/>
  <c r="A135" i="34"/>
  <c r="D120" i="34"/>
  <c r="C79" i="33"/>
  <c r="A35" i="36"/>
  <c r="C150" i="33"/>
  <c r="D121" i="34"/>
  <c r="C101" i="35"/>
  <c r="A51" i="37"/>
  <c r="A6" i="32"/>
  <c r="C155" i="34"/>
  <c r="A132" i="34"/>
  <c r="B19" i="31"/>
  <c r="C132" i="34"/>
  <c r="E70" i="35"/>
  <c r="D138" i="36"/>
  <c r="A86" i="31"/>
  <c r="B104" i="31"/>
  <c r="A68" i="34"/>
  <c r="A53" i="34"/>
  <c r="A157" i="31"/>
  <c r="E74" i="34"/>
  <c r="A50" i="32"/>
  <c r="B106" i="32"/>
  <c r="C29" i="34"/>
  <c r="D75" i="31"/>
  <c r="A47" i="36"/>
  <c r="B22" i="31"/>
  <c r="D63" i="32"/>
  <c r="E35" i="30"/>
  <c r="D40" i="31"/>
  <c r="C70" i="33"/>
  <c r="B154" i="34"/>
  <c r="H2" i="39"/>
  <c r="A129" i="37"/>
  <c r="C120" i="32"/>
  <c r="E119" i="30"/>
  <c r="E154" i="35"/>
  <c r="A72" i="32"/>
  <c r="C10" i="35"/>
  <c r="A90" i="35"/>
  <c r="E33" i="30"/>
  <c r="A37" i="33"/>
  <c r="D22" i="31"/>
  <c r="C67" i="36"/>
  <c r="D105" i="31"/>
  <c r="D19" i="31"/>
  <c r="A151" i="35"/>
  <c r="B109" i="37"/>
  <c r="B132" i="35"/>
  <c r="B136" i="33"/>
  <c r="C90" i="37"/>
  <c r="B104" i="33"/>
  <c r="B23" i="33"/>
  <c r="D135" i="33"/>
  <c r="D130" i="31"/>
  <c r="A23" i="37"/>
  <c r="D91" i="31"/>
  <c r="A38" i="31"/>
  <c r="A128" i="34"/>
  <c r="B123" i="33"/>
  <c r="A140" i="35"/>
  <c r="C134" i="31"/>
  <c r="A125" i="33"/>
  <c r="C66" i="31"/>
  <c r="B87" i="37"/>
  <c r="B41" i="33"/>
  <c r="D7" i="37"/>
  <c r="B150" i="36"/>
  <c r="B155" i="37"/>
  <c r="C14" i="32"/>
  <c r="D117" i="33"/>
  <c r="C41" i="34"/>
  <c r="A110" i="37"/>
  <c r="A16" i="34"/>
  <c r="A42" i="37"/>
  <c r="A23" i="33"/>
  <c r="A110" i="31"/>
  <c r="E76" i="34"/>
  <c r="B73" i="36"/>
  <c r="B29" i="31"/>
  <c r="E55" i="30"/>
  <c r="D51" i="31"/>
  <c r="B64" i="34"/>
  <c r="C23" i="35"/>
  <c r="E28" i="35"/>
  <c r="B25" i="34"/>
  <c r="A127" i="31"/>
  <c r="C73" i="33"/>
  <c r="C39" i="35"/>
  <c r="D96" i="36"/>
  <c r="A61" i="35"/>
  <c r="A61" i="33"/>
  <c r="D98" i="35"/>
  <c r="B13" i="34"/>
  <c r="D102" i="35"/>
  <c r="D41" i="32"/>
  <c r="B122" i="32"/>
  <c r="B100" i="33"/>
  <c r="E128" i="35"/>
  <c r="A124" i="33"/>
  <c r="B69" i="35"/>
  <c r="B43" i="31"/>
  <c r="C15" i="37"/>
  <c r="A117" i="31"/>
  <c r="B149" i="31"/>
  <c r="D115" i="33"/>
  <c r="C16" i="34"/>
  <c r="A126" i="34"/>
  <c r="B151" i="31"/>
  <c r="B49" i="36"/>
  <c r="C115" i="37"/>
  <c r="B28" i="35"/>
  <c r="C120" i="37"/>
  <c r="D35" i="37"/>
  <c r="D104" i="33"/>
  <c r="D128" i="34"/>
  <c r="A127" i="36"/>
  <c r="E62" i="33"/>
  <c r="C24" i="37"/>
  <c r="B139" i="37"/>
  <c r="A65" i="32"/>
  <c r="E109" i="33"/>
  <c r="D27" i="33"/>
  <c r="A27" i="32"/>
  <c r="F2" i="39"/>
  <c r="A19" i="34"/>
  <c r="D130" i="33"/>
  <c r="E18" i="36"/>
  <c r="E28" i="31"/>
  <c r="C132" i="35"/>
  <c r="C91" i="31"/>
  <c r="B48" i="33"/>
  <c r="A34" i="37"/>
  <c r="C110" i="33"/>
  <c r="E122" i="32"/>
  <c r="C50" i="35"/>
  <c r="D71" i="36"/>
  <c r="B75" i="31"/>
  <c r="B3" i="31"/>
  <c r="A148" i="32"/>
  <c r="B85" i="35"/>
  <c r="A34" i="35"/>
  <c r="A56" i="35"/>
  <c r="D35" i="31"/>
  <c r="D38" i="31"/>
  <c r="B125" i="33"/>
  <c r="D89" i="33"/>
  <c r="A143" i="33"/>
  <c r="B17" i="33"/>
  <c r="C156" i="35"/>
  <c r="B82" i="31"/>
  <c r="B126" i="36"/>
  <c r="B155" i="34"/>
  <c r="A146" i="32"/>
  <c r="D115" i="32"/>
  <c r="B108" i="31"/>
  <c r="B20" i="35"/>
  <c r="C57" i="37"/>
  <c r="C67" i="31"/>
  <c r="C42" i="33"/>
  <c r="C35" i="31"/>
  <c r="C31" i="36"/>
  <c r="E18" i="34"/>
  <c r="D90" i="32"/>
  <c r="D33" i="31"/>
  <c r="B95" i="32"/>
  <c r="E106" i="30"/>
  <c r="B138" i="32"/>
  <c r="D112" i="32"/>
  <c r="E105" i="31"/>
  <c r="D58" i="31"/>
  <c r="D101" i="37"/>
  <c r="E131" i="36"/>
  <c r="C155" i="33"/>
  <c r="C19" i="31"/>
  <c r="D12" i="31"/>
  <c r="C99" i="33"/>
  <c r="B38" i="37"/>
  <c r="A116" i="33"/>
  <c r="C126" i="36"/>
  <c r="B74" i="34"/>
  <c r="B94" i="37"/>
  <c r="E114" i="34"/>
  <c r="C19" i="35"/>
  <c r="D138" i="35"/>
  <c r="D136" i="31"/>
  <c r="C98" i="34"/>
  <c r="A82" i="33"/>
  <c r="B100" i="36"/>
  <c r="E89" i="34"/>
  <c r="D26" i="33"/>
  <c r="E11" i="31"/>
  <c r="D145" i="32"/>
  <c r="E22" i="30"/>
  <c r="D89" i="37"/>
  <c r="D49" i="36"/>
  <c r="C14" i="33"/>
  <c r="D126" i="33"/>
  <c r="D9" i="31"/>
  <c r="A89" i="31"/>
  <c r="B142" i="31"/>
  <c r="C142" i="34"/>
  <c r="A94" i="35"/>
  <c r="C75" i="32"/>
  <c r="E41" i="30"/>
  <c r="B122" i="34"/>
  <c r="E124" i="37"/>
  <c r="A106" i="32"/>
  <c r="C56" i="34"/>
  <c r="A107" i="37"/>
  <c r="A101" i="32"/>
  <c r="B55" i="36"/>
  <c r="A122" i="34"/>
  <c r="D30" i="33"/>
  <c r="B27" i="35"/>
  <c r="B152" i="33"/>
  <c r="E5" i="34"/>
  <c r="B78" i="33"/>
  <c r="D126" i="31"/>
  <c r="B18" i="33"/>
  <c r="A42" i="35"/>
  <c r="E97" i="35"/>
  <c r="E105" i="33"/>
  <c r="B76" i="32"/>
  <c r="C64" i="32"/>
  <c r="C60" i="36"/>
  <c r="B49" i="35"/>
  <c r="A74" i="32"/>
  <c r="D134" i="35"/>
  <c r="C149" i="32"/>
  <c r="C77" i="32"/>
  <c r="A122" i="37"/>
  <c r="E100" i="32"/>
  <c r="C100" i="36"/>
  <c r="C35" i="36"/>
  <c r="B91" i="32"/>
  <c r="A101" i="36"/>
  <c r="B45" i="31"/>
  <c r="C128" i="34"/>
  <c r="A25" i="34"/>
  <c r="D51" i="32"/>
  <c r="A79" i="33"/>
  <c r="B128" i="31"/>
  <c r="D86" i="32"/>
  <c r="A107" i="35"/>
  <c r="D106" i="31"/>
  <c r="B39" i="31"/>
  <c r="A67" i="34"/>
  <c r="A111" i="34"/>
  <c r="D129" i="33"/>
  <c r="E78" i="32"/>
  <c r="B68" i="33"/>
  <c r="D27" i="34"/>
  <c r="D39" i="34"/>
  <c r="A92" i="33"/>
  <c r="D129" i="36"/>
  <c r="B101" i="31"/>
  <c r="C140" i="31"/>
  <c r="D56" i="31"/>
  <c r="A7" i="31"/>
  <c r="A73" i="35"/>
  <c r="D131" i="36"/>
  <c r="E128" i="30"/>
  <c r="E81" i="31"/>
  <c r="C21" i="31"/>
  <c r="B44" i="31"/>
  <c r="E63" i="36"/>
  <c r="D67" i="37"/>
  <c r="E5" i="35"/>
  <c r="C124" i="37"/>
  <c r="C43" i="32"/>
  <c r="E136" i="30"/>
  <c r="C10" i="32"/>
  <c r="D96" i="35"/>
  <c r="D116" i="33"/>
  <c r="C43" i="33"/>
  <c r="C146" i="35"/>
  <c r="A26" i="32"/>
  <c r="D40" i="32"/>
  <c r="A84" i="34"/>
  <c r="B134" i="36"/>
  <c r="B6" i="32"/>
  <c r="E39" i="36"/>
  <c r="A122" i="32"/>
  <c r="D112" i="35"/>
  <c r="D49" i="32"/>
  <c r="D104" i="32"/>
  <c r="E39" i="30"/>
  <c r="D6" i="33"/>
  <c r="E31" i="30"/>
  <c r="C76" i="34"/>
  <c r="D73" i="33"/>
  <c r="C106" i="35"/>
  <c r="B41" i="36"/>
  <c r="E59" i="37"/>
  <c r="D110" i="34"/>
  <c r="C63" i="31"/>
  <c r="D137" i="34"/>
  <c r="A70" i="31"/>
  <c r="D49" i="34"/>
  <c r="C107" i="32"/>
  <c r="D102" i="34"/>
  <c r="B92" i="37"/>
  <c r="A64" i="35"/>
  <c r="A57" i="32"/>
  <c r="C84" i="34"/>
  <c r="C69" i="34"/>
  <c r="B131" i="31"/>
  <c r="D93" i="32"/>
  <c r="E110" i="30"/>
  <c r="A95" i="35"/>
  <c r="E112" i="32"/>
  <c r="C69" i="36"/>
  <c r="E143" i="37"/>
  <c r="C25" i="36"/>
  <c r="B113" i="35"/>
  <c r="E95" i="33"/>
  <c r="A140" i="33"/>
  <c r="E100" i="37"/>
  <c r="D94" i="31"/>
  <c r="B143" i="32"/>
  <c r="A107" i="33"/>
  <c r="E49" i="35"/>
  <c r="D23" i="35"/>
  <c r="A149" i="36"/>
  <c r="A84" i="33"/>
  <c r="C60" i="31"/>
  <c r="D110" i="36"/>
  <c r="B65" i="33"/>
  <c r="E14" i="33"/>
  <c r="A35" i="37"/>
  <c r="A119" i="36"/>
  <c r="C72" i="31"/>
  <c r="D5" i="35"/>
  <c r="D105" i="37"/>
  <c r="A128" i="37"/>
  <c r="C7" i="37"/>
  <c r="D134" i="36"/>
  <c r="B137" i="35"/>
  <c r="A14" i="33"/>
  <c r="D83" i="37"/>
  <c r="B116" i="36"/>
  <c r="B95" i="37"/>
  <c r="B81" i="31"/>
  <c r="A11" i="35"/>
  <c r="C9" i="35"/>
  <c r="B57" i="34"/>
  <c r="C68" i="33"/>
  <c r="A94" i="31"/>
  <c r="A46" i="31"/>
  <c r="E23" i="30"/>
  <c r="C2" i="33"/>
  <c r="B86" i="33"/>
  <c r="B142" i="32"/>
  <c r="B139" i="31"/>
  <c r="E3" i="30"/>
  <c r="A121" i="35"/>
  <c r="C71" i="33"/>
  <c r="D147" i="35"/>
  <c r="D39" i="32"/>
  <c r="E123" i="30"/>
  <c r="B82" i="33"/>
  <c r="A15" i="31"/>
  <c r="D136" i="33"/>
  <c r="D35" i="32"/>
  <c r="A25" i="32"/>
  <c r="E119" i="37"/>
  <c r="D101" i="35"/>
  <c r="C38" i="33"/>
  <c r="D32" i="32"/>
  <c r="A41" i="37"/>
  <c r="B57" i="32"/>
  <c r="D85" i="34"/>
  <c r="E118" i="35"/>
  <c r="B15" i="33"/>
  <c r="B90" i="32"/>
  <c r="A98" i="34"/>
  <c r="C48" i="33"/>
  <c r="C112" i="37"/>
  <c r="E85" i="30"/>
  <c r="C78" i="32"/>
  <c r="D132" i="35"/>
  <c r="C16" i="35"/>
  <c r="C36" i="36"/>
  <c r="A48" i="32"/>
  <c r="C147" i="33"/>
  <c r="A91" i="33"/>
  <c r="D65" i="31"/>
  <c r="C73" i="36"/>
  <c r="C119" i="32"/>
  <c r="C28" i="36"/>
  <c r="B96" i="31"/>
  <c r="E5" i="32"/>
  <c r="A41" i="32"/>
  <c r="C135" i="32"/>
  <c r="E77" i="31"/>
  <c r="B149" i="33"/>
  <c r="E78" i="35"/>
  <c r="A59" i="32"/>
  <c r="B47" i="33"/>
  <c r="E116" i="30"/>
  <c r="C106" i="37"/>
  <c r="D65" i="36"/>
  <c r="A18" i="37"/>
  <c r="C115" i="36"/>
  <c r="A34" i="33"/>
  <c r="D65" i="33"/>
  <c r="E56" i="35"/>
  <c r="D156" i="32"/>
  <c r="C44" i="32"/>
  <c r="B142" i="37"/>
  <c r="B121" i="33"/>
  <c r="C77" i="34"/>
  <c r="D101" i="32"/>
  <c r="C155" i="35"/>
  <c r="E112" i="35"/>
  <c r="A68" i="33"/>
  <c r="E92" i="35"/>
  <c r="B131" i="32"/>
  <c r="D54" i="33"/>
  <c r="C52" i="31"/>
  <c r="B91" i="31"/>
  <c r="D18" i="34"/>
  <c r="A134" i="35"/>
  <c r="C29" i="35"/>
  <c r="C44" i="35"/>
  <c r="A92" i="31"/>
  <c r="E123" i="31"/>
  <c r="E146" i="37"/>
  <c r="B135" i="31"/>
  <c r="C156" i="37"/>
  <c r="A38" i="33"/>
  <c r="E100" i="35"/>
  <c r="E73" i="33"/>
  <c r="B21" i="35"/>
  <c r="A103" i="34"/>
  <c r="A77" i="34"/>
  <c r="C119" i="31"/>
  <c r="C24" i="36"/>
  <c r="C142" i="33"/>
  <c r="E114" i="33"/>
  <c r="C117" i="32"/>
  <c r="A147" i="35"/>
  <c r="C93" i="31"/>
  <c r="D60" i="33"/>
  <c r="C104" i="31"/>
  <c r="B71" i="31"/>
  <c r="E144" i="30"/>
  <c r="B60" i="35"/>
  <c r="A144" i="31"/>
  <c r="E18" i="30"/>
  <c r="C24" i="35"/>
  <c r="E148" i="31"/>
  <c r="D99" i="33"/>
  <c r="C91" i="35"/>
  <c r="A9" i="34"/>
  <c r="A49" i="31"/>
  <c r="D135" i="34"/>
  <c r="C23" i="33"/>
  <c r="E21" i="30"/>
  <c r="A107" i="36"/>
  <c r="C123" i="31"/>
  <c r="A156" i="33"/>
  <c r="B131" i="36"/>
  <c r="A21" i="33"/>
  <c r="A133" i="32"/>
  <c r="C79" i="36"/>
  <c r="D34" i="37"/>
  <c r="E45" i="31"/>
  <c r="A111" i="35"/>
  <c r="B152" i="35"/>
  <c r="A75" i="33"/>
  <c r="B49" i="32"/>
  <c r="D12" i="33"/>
  <c r="A153" i="33"/>
  <c r="C113" i="35"/>
  <c r="B140" i="37"/>
  <c r="A155" i="31"/>
  <c r="E123" i="33"/>
  <c r="B142" i="34"/>
  <c r="B23" i="37"/>
  <c r="E68" i="36"/>
  <c r="D119" i="35"/>
  <c r="B71" i="36"/>
  <c r="E73" i="30"/>
  <c r="D58" i="34"/>
  <c r="E7" i="36"/>
  <c r="A55" i="33"/>
  <c r="B109" i="34"/>
  <c r="C12" i="32"/>
  <c r="C115" i="33"/>
  <c r="D65" i="34"/>
  <c r="E158" i="34"/>
  <c r="D46" i="33"/>
  <c r="A15" i="34"/>
  <c r="D83" i="34"/>
  <c r="C51" i="31"/>
  <c r="C76" i="36"/>
  <c r="E104" i="35"/>
  <c r="C31" i="35"/>
  <c r="D113" i="34"/>
  <c r="A89" i="33"/>
  <c r="A44" i="37"/>
  <c r="B57" i="35"/>
  <c r="E30" i="33"/>
  <c r="A69" i="31"/>
  <c r="C76" i="35"/>
  <c r="C155" i="36"/>
  <c r="C92" i="37"/>
  <c r="D150" i="35"/>
  <c r="C23" i="32"/>
  <c r="A52" i="36"/>
  <c r="A55" i="37"/>
  <c r="E103" i="35"/>
  <c r="E144" i="32"/>
  <c r="E108" i="36"/>
  <c r="D70" i="31"/>
  <c r="E145" i="32"/>
  <c r="A8" i="37"/>
  <c r="D38" i="35"/>
  <c r="B145" i="33"/>
  <c r="B65" i="37"/>
  <c r="B50" i="31"/>
  <c r="A119" i="32"/>
  <c r="D73" i="34"/>
  <c r="B59" i="34"/>
  <c r="A61" i="37"/>
  <c r="A44" i="36"/>
  <c r="B97" i="34"/>
  <c r="C38" i="35"/>
  <c r="E88" i="32"/>
  <c r="E39" i="32"/>
  <c r="A19" i="32"/>
  <c r="D121" i="37"/>
  <c r="D132" i="36"/>
  <c r="E22" i="36"/>
  <c r="D145" i="31"/>
  <c r="C46" i="33"/>
  <c r="B118" i="37"/>
  <c r="A90" i="33"/>
  <c r="A91" i="35"/>
  <c r="C88" i="37"/>
  <c r="C155" i="31"/>
  <c r="E71" i="34"/>
  <c r="C49" i="35"/>
  <c r="E24" i="34"/>
  <c r="D146" i="36"/>
  <c r="B19" i="35"/>
  <c r="D72" i="31"/>
  <c r="B111" i="35"/>
  <c r="D124" i="31"/>
  <c r="D106" i="35"/>
  <c r="D10" i="34"/>
  <c r="E68" i="32"/>
  <c r="A121" i="37"/>
  <c r="E48" i="34"/>
  <c r="D90" i="37"/>
  <c r="B49" i="33"/>
  <c r="B98" i="33"/>
  <c r="D36" i="37"/>
  <c r="A75" i="32"/>
  <c r="D106" i="33"/>
  <c r="B38" i="31"/>
  <c r="B89" i="36"/>
  <c r="A56" i="36"/>
  <c r="A140" i="36"/>
  <c r="C72" i="35"/>
  <c r="B99" i="33"/>
  <c r="A92" i="32"/>
  <c r="B39" i="36"/>
  <c r="E28" i="30"/>
  <c r="D69" i="31"/>
  <c r="B123" i="32"/>
  <c r="A152" i="32"/>
  <c r="E107" i="31"/>
  <c r="E5" i="30"/>
  <c r="A99" i="37"/>
  <c r="B144" i="31"/>
  <c r="A40" i="36"/>
  <c r="E148" i="33"/>
  <c r="D79" i="31"/>
  <c r="D100" i="32"/>
  <c r="C27" i="33"/>
  <c r="C121" i="37"/>
  <c r="E34" i="31"/>
  <c r="E36" i="32"/>
  <c r="A78" i="37"/>
  <c r="D23" i="32"/>
  <c r="A108" i="37"/>
  <c r="A121" i="33"/>
  <c r="D3" i="37"/>
  <c r="A153" i="35"/>
  <c r="D66" i="31"/>
  <c r="B82" i="36"/>
  <c r="A104" i="35"/>
  <c r="B63" i="32"/>
  <c r="A118" i="32"/>
  <c r="A152" i="36"/>
  <c r="B115" i="31"/>
  <c r="B95" i="33"/>
  <c r="C63" i="36"/>
  <c r="D23" i="34"/>
  <c r="D150" i="33"/>
  <c r="C118" i="32"/>
  <c r="E125" i="30"/>
  <c r="B138" i="31"/>
  <c r="C100" i="34"/>
  <c r="A128" i="32"/>
  <c r="A131" i="33"/>
  <c r="A30" i="35"/>
  <c r="A137" i="32"/>
  <c r="B23" i="36"/>
  <c r="A46" i="32"/>
  <c r="C51" i="37"/>
  <c r="A3" i="37"/>
  <c r="C125" i="33"/>
  <c r="A141" i="32"/>
  <c r="C120" i="34"/>
  <c r="A118" i="36"/>
  <c r="D14" i="31"/>
  <c r="A123" i="37"/>
  <c r="C94" i="37"/>
  <c r="A88" i="36"/>
  <c r="C53" i="34"/>
  <c r="B17" i="34"/>
  <c r="D8" i="33"/>
  <c r="A158" i="31"/>
  <c r="E141" i="36"/>
  <c r="E125" i="36"/>
  <c r="D14" i="35"/>
  <c r="A115" i="31"/>
  <c r="D10" i="36"/>
  <c r="B73" i="33"/>
  <c r="C155" i="32"/>
  <c r="D96" i="33"/>
  <c r="C8" i="35"/>
  <c r="C145" i="37"/>
  <c r="D93" i="31"/>
  <c r="A144" i="37"/>
  <c r="C120" i="31"/>
  <c r="E95" i="31"/>
  <c r="C90" i="34"/>
  <c r="C8" i="36"/>
  <c r="C78" i="31"/>
  <c r="A117" i="34"/>
  <c r="B59" i="37"/>
  <c r="A88" i="35"/>
  <c r="A77" i="31"/>
  <c r="C9" i="31"/>
  <c r="B112" i="31"/>
  <c r="D127" i="36"/>
  <c r="E65" i="32"/>
  <c r="A49" i="32"/>
  <c r="A132" i="37"/>
  <c r="B29" i="34"/>
  <c r="B33" i="35"/>
  <c r="C74" i="37"/>
  <c r="D92" i="33"/>
  <c r="D76" i="35"/>
  <c r="D14" i="36"/>
  <c r="C80" i="37"/>
  <c r="C95" i="34"/>
  <c r="A78" i="33"/>
  <c r="C34" i="32"/>
  <c r="B26" i="36"/>
  <c r="A79" i="36"/>
  <c r="E124" i="31"/>
  <c r="C116" i="34"/>
  <c r="B135" i="35"/>
  <c r="C102" i="34"/>
  <c r="D7" i="36"/>
  <c r="D112" i="33"/>
  <c r="B4" i="34"/>
  <c r="A4" i="31"/>
  <c r="E101" i="31"/>
  <c r="E93" i="33"/>
  <c r="B8" i="32"/>
  <c r="A31" i="33"/>
  <c r="E105" i="34"/>
  <c r="A45" i="34"/>
  <c r="D148" i="31"/>
  <c r="C157" i="31"/>
  <c r="D84" i="32"/>
  <c r="D126" i="36"/>
  <c r="C145" i="31"/>
  <c r="B121" i="35"/>
  <c r="D13" i="35"/>
  <c r="C24" i="31"/>
  <c r="E147" i="34"/>
  <c r="A123" i="31"/>
  <c r="E20" i="30"/>
  <c r="D26" i="37"/>
  <c r="E110" i="32"/>
  <c r="E76" i="30"/>
  <c r="D66" i="34"/>
  <c r="B64" i="31"/>
  <c r="D6" i="32"/>
  <c r="E78" i="33"/>
  <c r="A64" i="33"/>
  <c r="D5" i="33"/>
  <c r="D52" i="33"/>
  <c r="E85" i="32"/>
  <c r="E38" i="32"/>
  <c r="D19" i="37"/>
  <c r="D27" i="37"/>
  <c r="C111" i="33"/>
  <c r="C60" i="33"/>
  <c r="A95" i="33"/>
  <c r="B138" i="33"/>
  <c r="C131" i="32"/>
  <c r="C22" i="31"/>
  <c r="E6" i="31"/>
  <c r="B141" i="33"/>
  <c r="E11" i="30"/>
  <c r="E123" i="32"/>
  <c r="A105" i="31"/>
  <c r="A7" i="34"/>
  <c r="C9" i="36"/>
  <c r="B60" i="32"/>
  <c r="C65" i="35"/>
  <c r="A158" i="35"/>
  <c r="B67" i="34"/>
  <c r="C25" i="35"/>
  <c r="B77" i="37"/>
  <c r="A98" i="31"/>
  <c r="D158" i="34"/>
  <c r="B85" i="31"/>
  <c r="D73" i="36"/>
  <c r="A141" i="35"/>
  <c r="B31" i="37"/>
  <c r="D100" i="33"/>
  <c r="B88" i="31"/>
  <c r="E39" i="34"/>
  <c r="A51" i="33"/>
  <c r="D129" i="34"/>
  <c r="A146" i="35"/>
  <c r="E74" i="37"/>
  <c r="C110" i="31"/>
  <c r="C64" i="35"/>
  <c r="A66" i="34"/>
  <c r="D45" i="33"/>
  <c r="C39" i="36"/>
  <c r="B114" i="36"/>
  <c r="E71" i="33"/>
  <c r="C45" i="33"/>
  <c r="D123" i="34"/>
  <c r="E13" i="33"/>
  <c r="C158" i="33"/>
  <c r="E107" i="33"/>
  <c r="E6" i="34"/>
  <c r="C28" i="34"/>
  <c r="D99" i="36"/>
  <c r="B156" i="33"/>
  <c r="D113" i="35"/>
  <c r="E127" i="34"/>
  <c r="B106" i="35"/>
  <c r="C44" i="33"/>
  <c r="E34" i="35"/>
  <c r="A143" i="34"/>
  <c r="E71" i="35"/>
  <c r="B47" i="35"/>
  <c r="D114" i="36"/>
  <c r="A11" i="37"/>
  <c r="B87" i="36"/>
  <c r="B79" i="34"/>
  <c r="A19" i="31"/>
  <c r="A44" i="35"/>
  <c r="C116" i="37"/>
  <c r="C4" i="31"/>
  <c r="D109" i="37"/>
  <c r="D150" i="31"/>
  <c r="D155" i="33"/>
  <c r="E38" i="35"/>
  <c r="C63" i="34"/>
  <c r="E134" i="34"/>
  <c r="C43" i="37"/>
  <c r="C105" i="32"/>
  <c r="B145" i="34"/>
  <c r="E31" i="33"/>
  <c r="A90" i="36"/>
  <c r="E88" i="30"/>
  <c r="C46" i="34"/>
  <c r="A128" i="35"/>
  <c r="C21" i="34"/>
  <c r="B136" i="37"/>
  <c r="B117" i="35"/>
  <c r="C66" i="32"/>
  <c r="B71" i="33"/>
  <c r="A65" i="35"/>
  <c r="E149" i="36"/>
  <c r="E140" i="35"/>
  <c r="D50" i="35"/>
  <c r="E50" i="36"/>
  <c r="A72" i="36"/>
  <c r="E144" i="33"/>
  <c r="B70" i="31"/>
  <c r="E12" i="31"/>
  <c r="A153" i="37"/>
  <c r="C73" i="31"/>
  <c r="D15" i="36"/>
  <c r="E115" i="35"/>
  <c r="B48" i="36"/>
  <c r="B86" i="35"/>
  <c r="D152" i="37"/>
  <c r="E80" i="32"/>
  <c r="A109" i="36"/>
  <c r="D2" i="35"/>
  <c r="D109" i="31"/>
  <c r="C58" i="37"/>
  <c r="C98" i="37"/>
  <c r="B47" i="32"/>
  <c r="D121" i="36"/>
  <c r="B155" i="31"/>
  <c r="D65" i="37"/>
  <c r="E22" i="32"/>
  <c r="B105" i="33"/>
  <c r="B32" i="35"/>
  <c r="C152" i="36"/>
  <c r="E37" i="30"/>
  <c r="E6" i="33"/>
  <c r="A8" i="34"/>
  <c r="C70" i="32"/>
  <c r="B103" i="32"/>
  <c r="B58" i="35"/>
  <c r="A64" i="37"/>
  <c r="C132" i="37"/>
  <c r="B85" i="34"/>
  <c r="D125" i="32"/>
  <c r="A77" i="35"/>
  <c r="E121" i="32"/>
  <c r="B28" i="32"/>
  <c r="A116" i="31"/>
  <c r="B99" i="36"/>
  <c r="B102" i="32"/>
  <c r="B101" i="34"/>
  <c r="C35" i="34"/>
  <c r="E155" i="30"/>
  <c r="E156" i="37"/>
  <c r="A23" i="34"/>
  <c r="C81" i="37"/>
  <c r="D42" i="34"/>
  <c r="C105" i="37"/>
  <c r="E56" i="34"/>
  <c r="A68" i="35"/>
  <c r="E150" i="34"/>
  <c r="B139" i="34"/>
  <c r="D134" i="33"/>
  <c r="D130" i="37"/>
  <c r="C127" i="36"/>
  <c r="E145" i="30"/>
  <c r="A135" i="32"/>
  <c r="B61" i="31"/>
  <c r="A48" i="36"/>
  <c r="A87" i="35"/>
  <c r="D9" i="36"/>
  <c r="E156" i="32"/>
  <c r="D111" i="33"/>
  <c r="D140" i="35"/>
  <c r="C132" i="32"/>
  <c r="A95" i="36"/>
  <c r="A112" i="32"/>
  <c r="A47" i="31"/>
  <c r="C22" i="36"/>
  <c r="C125" i="31"/>
  <c r="C130" i="35"/>
  <c r="E108" i="33"/>
  <c r="B116" i="32"/>
  <c r="C54" i="36"/>
  <c r="C37" i="32"/>
  <c r="E104" i="34"/>
  <c r="B63" i="36"/>
  <c r="C44" i="37"/>
  <c r="B72" i="36"/>
  <c r="E90" i="33"/>
  <c r="B34" i="34"/>
  <c r="C97" i="35"/>
  <c r="E20" i="32"/>
  <c r="D35" i="33"/>
  <c r="D59" i="32"/>
  <c r="A57" i="31"/>
  <c r="C93" i="34"/>
  <c r="E60" i="37"/>
  <c r="C50" i="34"/>
  <c r="D122" i="32"/>
  <c r="D109" i="35"/>
  <c r="D41" i="33"/>
  <c r="E126" i="30"/>
  <c r="E103" i="33"/>
  <c r="E139" i="34"/>
  <c r="A76" i="34"/>
  <c r="E146" i="34"/>
  <c r="B81" i="35"/>
  <c r="D52" i="34"/>
  <c r="B85" i="32"/>
  <c r="B62" i="34"/>
  <c r="C16" i="32"/>
  <c r="A42" i="33"/>
  <c r="D127" i="32"/>
  <c r="A94" i="33"/>
  <c r="B12" i="31"/>
  <c r="E100" i="31"/>
  <c r="E126" i="34"/>
  <c r="D24" i="36"/>
  <c r="C3" i="37"/>
  <c r="A72" i="33"/>
  <c r="D117" i="37"/>
  <c r="C5" i="34"/>
  <c r="C5" i="32"/>
  <c r="E97" i="34"/>
  <c r="B21" i="31"/>
  <c r="A25" i="33"/>
  <c r="C139" i="31"/>
  <c r="E153" i="31"/>
  <c r="E44" i="32"/>
  <c r="C145" i="34"/>
  <c r="B157" i="36"/>
  <c r="E41" i="31"/>
  <c r="A114" i="36"/>
  <c r="C138" i="33"/>
  <c r="D104" i="31"/>
  <c r="A5" i="36"/>
  <c r="B127" i="37"/>
  <c r="B112" i="32"/>
  <c r="A154" i="34"/>
  <c r="B127" i="31"/>
  <c r="C40" i="37"/>
  <c r="E99" i="36"/>
  <c r="D77" i="35"/>
  <c r="B158" i="31"/>
  <c r="C58" i="32"/>
  <c r="B82" i="35"/>
  <c r="C72" i="36"/>
  <c r="D59" i="36"/>
  <c r="D88" i="34"/>
  <c r="D72" i="33"/>
  <c r="D45" i="31"/>
  <c r="E97" i="33"/>
  <c r="B86" i="36"/>
  <c r="C149" i="35"/>
  <c r="E123" i="35"/>
  <c r="D47" i="33"/>
  <c r="A87" i="34"/>
  <c r="A101" i="37"/>
  <c r="B5" i="34"/>
  <c r="B78" i="35"/>
  <c r="C158" i="35"/>
  <c r="E157" i="35"/>
  <c r="A46" i="33"/>
  <c r="A17" i="32"/>
  <c r="A56" i="32"/>
  <c r="D17" i="36"/>
  <c r="D79" i="35"/>
  <c r="E74" i="35"/>
  <c r="C51" i="36"/>
  <c r="C22" i="32"/>
  <c r="D16" i="37"/>
  <c r="D25" i="34"/>
  <c r="D144" i="33"/>
  <c r="C37" i="36"/>
  <c r="E38" i="36"/>
  <c r="E121" i="36"/>
  <c r="C36" i="37"/>
  <c r="C54" i="33"/>
  <c r="A96" i="32"/>
  <c r="B117" i="33"/>
  <c r="A83" i="32"/>
  <c r="E82" i="37"/>
  <c r="B40" i="37"/>
  <c r="A7" i="33"/>
  <c r="E157" i="37"/>
  <c r="D123" i="31"/>
  <c r="B118" i="31"/>
  <c r="A76" i="33"/>
  <c r="E158" i="36"/>
  <c r="D139" i="36"/>
  <c r="A44" i="31"/>
  <c r="B53" i="33"/>
  <c r="D2" i="33"/>
  <c r="B79" i="36"/>
  <c r="C102" i="31"/>
  <c r="D154" i="35"/>
  <c r="E33" i="32"/>
  <c r="E24" i="30"/>
  <c r="B74" i="32"/>
  <c r="B37" i="36"/>
  <c r="C148" i="33"/>
  <c r="A63" i="35"/>
  <c r="C102" i="33"/>
  <c r="A107" i="32"/>
  <c r="D145" i="35"/>
  <c r="B148" i="34"/>
  <c r="A138" i="36"/>
  <c r="C113" i="32"/>
  <c r="A77" i="32"/>
  <c r="B8" i="33"/>
  <c r="A75" i="36"/>
  <c r="B13" i="31"/>
  <c r="D19" i="32"/>
  <c r="E54" i="30"/>
  <c r="B132" i="33"/>
  <c r="E34" i="32"/>
  <c r="B140" i="33"/>
  <c r="E57" i="36"/>
  <c r="A106" i="34"/>
  <c r="D151" i="34"/>
  <c r="A34" i="31"/>
  <c r="D74" i="34"/>
  <c r="E111" i="30"/>
  <c r="C28" i="32"/>
  <c r="B93" i="32"/>
  <c r="D149" i="35"/>
  <c r="D119" i="37"/>
  <c r="B77" i="33"/>
  <c r="D92" i="36"/>
  <c r="B147" i="37"/>
  <c r="D22" i="33"/>
  <c r="E26" i="32"/>
  <c r="D8" i="31"/>
  <c r="D45" i="35"/>
  <c r="E87" i="30"/>
  <c r="D98" i="34"/>
  <c r="A151" i="31"/>
  <c r="D140" i="34"/>
  <c r="A59" i="35"/>
  <c r="C86" i="36"/>
  <c r="B32" i="31"/>
  <c r="A108" i="33"/>
  <c r="C157" i="35"/>
  <c r="A129" i="33"/>
  <c r="D147" i="32"/>
  <c r="C93" i="36"/>
  <c r="B67" i="33"/>
  <c r="D43" i="37"/>
  <c r="B43" i="37"/>
  <c r="A114" i="31"/>
  <c r="E44" i="35"/>
  <c r="C55" i="35"/>
  <c r="E94" i="35"/>
  <c r="D24" i="32"/>
  <c r="A85" i="35"/>
  <c r="E130" i="31"/>
  <c r="E128" i="37"/>
  <c r="C67" i="33"/>
  <c r="C98" i="36"/>
  <c r="C153" i="33"/>
  <c r="E16" i="31"/>
  <c r="D12" i="37"/>
  <c r="D63" i="33"/>
  <c r="B80" i="36"/>
  <c r="A156" i="36"/>
  <c r="A98" i="35"/>
  <c r="E107" i="32"/>
  <c r="C146" i="33"/>
  <c r="E142" i="37"/>
  <c r="D28" i="33"/>
  <c r="C96" i="34"/>
  <c r="B81" i="34"/>
  <c r="B81" i="32"/>
  <c r="E104" i="33"/>
  <c r="B24" i="33"/>
  <c r="B2" i="36"/>
  <c r="B80" i="34"/>
  <c r="C68" i="32"/>
  <c r="E2" i="35"/>
  <c r="D112" i="34"/>
  <c r="E42" i="36"/>
  <c r="D141" i="31"/>
  <c r="A16" i="32"/>
  <c r="D32" i="36"/>
  <c r="E3" i="35"/>
  <c r="E120" i="32"/>
  <c r="A119" i="33"/>
  <c r="D115" i="35"/>
  <c r="E31" i="35"/>
  <c r="B38" i="33"/>
  <c r="D123" i="37"/>
  <c r="D122" i="37"/>
  <c r="E65" i="37"/>
  <c r="A118" i="37"/>
  <c r="D142" i="34"/>
  <c r="C88" i="32"/>
  <c r="C3" i="33"/>
  <c r="D61" i="32"/>
  <c r="E142" i="33"/>
  <c r="A142" i="32"/>
  <c r="B143" i="31"/>
  <c r="C138" i="32"/>
  <c r="C114" i="32"/>
  <c r="B60" i="34"/>
  <c r="A78" i="31"/>
  <c r="D68" i="37"/>
  <c r="D138" i="33"/>
  <c r="B16" i="35"/>
  <c r="D98" i="32"/>
  <c r="E9" i="33"/>
  <c r="B16" i="34"/>
  <c r="C118" i="36"/>
  <c r="A130" i="37"/>
  <c r="B4" i="33"/>
  <c r="E54" i="36"/>
  <c r="C39" i="31"/>
  <c r="E10" i="31"/>
  <c r="A20" i="37"/>
  <c r="E133" i="32"/>
  <c r="A52" i="32"/>
  <c r="A36" i="36"/>
  <c r="C25" i="33"/>
  <c r="D107" i="31"/>
  <c r="E129" i="35"/>
  <c r="B90" i="33"/>
  <c r="B40" i="36"/>
  <c r="B73" i="35"/>
  <c r="B65" i="34"/>
  <c r="C106" i="31"/>
  <c r="C136" i="33"/>
  <c r="E35" i="32"/>
  <c r="D50" i="34"/>
  <c r="A34" i="36"/>
  <c r="B86" i="34"/>
  <c r="E105" i="37"/>
  <c r="A144" i="33"/>
  <c r="C140" i="36"/>
  <c r="D44" i="33"/>
  <c r="B91" i="35"/>
  <c r="E48" i="35"/>
  <c r="B106" i="37"/>
  <c r="B41" i="37"/>
  <c r="D114" i="35"/>
  <c r="B46" i="33"/>
  <c r="B17" i="35"/>
  <c r="B55" i="33"/>
  <c r="D4" i="31"/>
  <c r="C36" i="33"/>
  <c r="A41" i="33"/>
  <c r="D111" i="34"/>
  <c r="D37" i="32"/>
  <c r="B130" i="33"/>
  <c r="A11" i="33"/>
  <c r="A51" i="35"/>
  <c r="E98" i="30"/>
  <c r="B149" i="36"/>
  <c r="B130" i="31"/>
  <c r="C38" i="32"/>
  <c r="A150" i="35"/>
  <c r="D55" i="36"/>
  <c r="A69" i="36"/>
  <c r="B79" i="35"/>
  <c r="B151" i="37"/>
  <c r="E136" i="33"/>
  <c r="B31" i="36"/>
  <c r="E18" i="33"/>
  <c r="C72" i="32"/>
  <c r="E120" i="36"/>
  <c r="E4" i="33"/>
  <c r="E121" i="34"/>
  <c r="B100" i="34"/>
  <c r="E7" i="33"/>
  <c r="E120" i="35"/>
  <c r="D130" i="36"/>
  <c r="B36" i="34"/>
  <c r="B88" i="36"/>
  <c r="A117" i="32"/>
  <c r="D84" i="35"/>
  <c r="E28" i="32"/>
  <c r="C103" i="33"/>
  <c r="C7" i="32"/>
  <c r="A110" i="34"/>
  <c r="B152" i="36"/>
  <c r="A19" i="33"/>
  <c r="B87" i="31"/>
  <c r="A92" i="35"/>
  <c r="B38" i="35"/>
  <c r="B131" i="34"/>
  <c r="E153" i="36"/>
  <c r="E111" i="37"/>
  <c r="B18" i="36"/>
  <c r="B53" i="36"/>
  <c r="D133" i="34"/>
  <c r="A15" i="33"/>
  <c r="C17" i="31"/>
  <c r="E89" i="32"/>
  <c r="D94" i="35"/>
  <c r="D48" i="35"/>
  <c r="A91" i="31"/>
  <c r="D55" i="32"/>
  <c r="E150" i="31"/>
  <c r="C34" i="33"/>
  <c r="C49" i="36"/>
  <c r="A38" i="37"/>
  <c r="B50" i="37"/>
  <c r="D136" i="34"/>
  <c r="E16" i="35"/>
  <c r="E98" i="36"/>
  <c r="C96" i="36"/>
  <c r="C89" i="35"/>
  <c r="D143" i="32"/>
  <c r="A7" i="36"/>
  <c r="A100" i="37"/>
  <c r="B38" i="32"/>
  <c r="A137" i="31"/>
  <c r="B39" i="33"/>
  <c r="B43" i="34"/>
  <c r="D27" i="35"/>
  <c r="C48" i="35"/>
  <c r="C8" i="37"/>
  <c r="E149" i="30"/>
  <c r="B68" i="37"/>
  <c r="E104" i="30"/>
  <c r="D87" i="35"/>
  <c r="C20" i="33"/>
  <c r="B37" i="32"/>
  <c r="C38" i="34"/>
  <c r="E48" i="36"/>
  <c r="E74" i="32"/>
  <c r="D108" i="33"/>
  <c r="A81" i="31"/>
  <c r="A48" i="35"/>
  <c r="D125" i="34"/>
  <c r="A13" i="31"/>
  <c r="D100" i="35"/>
  <c r="D78" i="35"/>
  <c r="A39" i="33"/>
  <c r="D131" i="31"/>
  <c r="B82" i="34"/>
  <c r="A45" i="36"/>
  <c r="A132" i="33"/>
  <c r="D116" i="36"/>
  <c r="A103" i="36"/>
  <c r="B136" i="36"/>
  <c r="B83" i="34"/>
  <c r="D11" i="34"/>
  <c r="D97" i="31"/>
  <c r="B137" i="31"/>
  <c r="B57" i="33"/>
  <c r="A10" i="32"/>
  <c r="D118" i="32"/>
  <c r="A55" i="34"/>
  <c r="E117" i="34"/>
  <c r="B42" i="35"/>
  <c r="A19" i="35"/>
  <c r="A34" i="34"/>
  <c r="C147" i="32"/>
  <c r="E25" i="30"/>
  <c r="E73" i="34"/>
  <c r="C14" i="31"/>
  <c r="A151" i="37"/>
  <c r="D85" i="36"/>
  <c r="B22" i="33"/>
  <c r="B16" i="32"/>
  <c r="E11" i="32"/>
  <c r="B125" i="37"/>
  <c r="A147" i="32"/>
  <c r="A59" i="33"/>
  <c r="A99" i="34"/>
  <c r="D122" i="34"/>
  <c r="C6" i="37"/>
  <c r="C30" i="33"/>
  <c r="D79" i="34"/>
  <c r="C84" i="35"/>
  <c r="E49" i="32"/>
  <c r="C113" i="31"/>
  <c r="A140" i="37"/>
  <c r="C85" i="35"/>
  <c r="D110" i="35"/>
  <c r="D8" i="34"/>
  <c r="B56" i="35"/>
  <c r="D74" i="31"/>
  <c r="B56" i="32"/>
  <c r="E58" i="36"/>
  <c r="C133" i="31"/>
  <c r="C8" i="33"/>
  <c r="E25" i="31"/>
  <c r="A150" i="34"/>
  <c r="D133" i="31"/>
  <c r="C9" i="34"/>
  <c r="D30" i="35"/>
  <c r="C109" i="34"/>
  <c r="E141" i="33"/>
  <c r="C141" i="37"/>
  <c r="B82" i="32"/>
  <c r="A60" i="35"/>
  <c r="D118" i="36"/>
  <c r="C88" i="35"/>
  <c r="B74" i="35"/>
  <c r="D17" i="33"/>
  <c r="D61" i="37"/>
  <c r="B98" i="32"/>
  <c r="D96" i="32"/>
  <c r="C104" i="35"/>
  <c r="E107" i="37"/>
  <c r="A30" i="33"/>
  <c r="E127" i="33"/>
  <c r="E22" i="33"/>
  <c r="C93" i="32"/>
  <c r="B88" i="34"/>
  <c r="B120" i="37"/>
  <c r="D108" i="36"/>
  <c r="D58" i="37"/>
  <c r="E57" i="37"/>
  <c r="D31" i="37"/>
  <c r="B50" i="33"/>
  <c r="E100" i="36"/>
  <c r="E79" i="35"/>
  <c r="A131" i="34"/>
  <c r="E127" i="36"/>
  <c r="C27" i="34"/>
  <c r="E48" i="37"/>
  <c r="C66" i="33"/>
  <c r="D155" i="32"/>
  <c r="B5" i="31"/>
  <c r="D63" i="34"/>
  <c r="E85" i="35"/>
  <c r="D145" i="34"/>
  <c r="E98" i="33"/>
  <c r="D49" i="35"/>
  <c r="D54" i="34"/>
  <c r="B64" i="37"/>
  <c r="B6" i="34"/>
  <c r="A122" i="31"/>
  <c r="B56" i="36"/>
  <c r="C56" i="37"/>
  <c r="C68" i="31"/>
  <c r="A139" i="32"/>
  <c r="C156" i="31"/>
  <c r="D80" i="31"/>
  <c r="C148" i="31"/>
  <c r="D152" i="33"/>
  <c r="B154" i="33"/>
  <c r="C103" i="37"/>
  <c r="C57" i="32"/>
  <c r="E102" i="33"/>
  <c r="E2" i="37"/>
  <c r="D123" i="36"/>
  <c r="A157" i="34"/>
  <c r="B70" i="35"/>
  <c r="E142" i="32"/>
  <c r="E47" i="30"/>
  <c r="E2" i="33"/>
  <c r="A45" i="33"/>
  <c r="A136" i="36"/>
  <c r="B41" i="31"/>
  <c r="E52" i="37"/>
  <c r="D145" i="33"/>
  <c r="B141" i="32"/>
  <c r="D85" i="33"/>
  <c r="E30" i="31"/>
  <c r="D59" i="31"/>
  <c r="B3" i="32"/>
  <c r="C136" i="34"/>
  <c r="B134" i="37"/>
  <c r="C111" i="32"/>
  <c r="D56" i="32"/>
  <c r="C137" i="33"/>
  <c r="E98" i="37"/>
  <c r="D6" i="31"/>
  <c r="B68" i="35"/>
  <c r="E30" i="35"/>
  <c r="B52" i="35"/>
  <c r="E78" i="34"/>
  <c r="B26" i="34"/>
  <c r="B51" i="32"/>
  <c r="C118" i="34"/>
  <c r="A130" i="34"/>
  <c r="E155" i="32"/>
  <c r="D154" i="33"/>
  <c r="D11" i="31"/>
  <c r="E23" i="36"/>
  <c r="C133" i="33"/>
  <c r="B145" i="32"/>
  <c r="A155" i="33"/>
  <c r="E136" i="34"/>
  <c r="A139" i="35"/>
  <c r="E7" i="37"/>
  <c r="C52" i="34"/>
  <c r="A33" i="34"/>
  <c r="D19" i="35"/>
  <c r="B28" i="36"/>
  <c r="D71" i="35"/>
  <c r="B72" i="34"/>
  <c r="A52" i="34"/>
  <c r="E94" i="31"/>
  <c r="D130" i="35"/>
  <c r="D121" i="33"/>
  <c r="D41" i="34"/>
  <c r="D149" i="33"/>
  <c r="E25" i="36"/>
  <c r="B37" i="35"/>
  <c r="A71" i="31"/>
  <c r="A10" i="33"/>
  <c r="C117" i="34"/>
  <c r="D63" i="37"/>
  <c r="D105" i="35"/>
  <c r="E128" i="36"/>
  <c r="A56" i="34"/>
  <c r="E64" i="35"/>
  <c r="B145" i="35"/>
  <c r="E2" i="30"/>
  <c r="E130" i="37"/>
  <c r="D17" i="37"/>
  <c r="E89" i="35"/>
  <c r="A144" i="35"/>
  <c r="D84" i="33"/>
  <c r="B36" i="37"/>
  <c r="B61" i="36"/>
  <c r="D29" i="32"/>
  <c r="B116" i="34"/>
  <c r="E151" i="33"/>
  <c r="E42" i="33"/>
  <c r="C41" i="31"/>
  <c r="D85" i="35"/>
  <c r="E155" i="36"/>
  <c r="D31" i="34"/>
  <c r="E26" i="34"/>
  <c r="A6" i="35"/>
  <c r="A36" i="32"/>
  <c r="E145" i="37"/>
  <c r="E109" i="34"/>
  <c r="D119" i="32"/>
  <c r="C125" i="34"/>
  <c r="E109" i="37"/>
  <c r="A138" i="35"/>
  <c r="B57" i="37"/>
  <c r="B3" i="35"/>
  <c r="E91" i="33"/>
  <c r="A26" i="36"/>
  <c r="A147" i="36"/>
  <c r="C151" i="35"/>
  <c r="C18" i="34"/>
  <c r="C68" i="34"/>
  <c r="B124" i="32"/>
  <c r="D96" i="31"/>
  <c r="A66" i="33"/>
  <c r="E156" i="34"/>
  <c r="D22" i="32"/>
  <c r="E8" i="36"/>
  <c r="C27" i="36"/>
  <c r="E29" i="32"/>
  <c r="C35" i="35"/>
  <c r="E11" i="37"/>
  <c r="B10" i="32"/>
  <c r="D68" i="33"/>
  <c r="B95" i="36"/>
  <c r="D71" i="31"/>
  <c r="E62" i="36"/>
  <c r="A95" i="31"/>
  <c r="E155" i="37"/>
  <c r="A115" i="35"/>
  <c r="B153" i="37"/>
  <c r="A136" i="37"/>
  <c r="B42" i="36"/>
  <c r="E53" i="34"/>
  <c r="E52" i="34"/>
  <c r="E83" i="33"/>
  <c r="A114" i="34"/>
  <c r="D131" i="35"/>
  <c r="C120" i="35"/>
  <c r="B12" i="36"/>
  <c r="E156" i="30"/>
  <c r="E19" i="31"/>
  <c r="B127" i="35"/>
  <c r="B41" i="32"/>
  <c r="B55" i="32"/>
  <c r="A130" i="33"/>
  <c r="C115" i="34"/>
  <c r="C147" i="34"/>
  <c r="D16" i="32"/>
  <c r="A80" i="35"/>
  <c r="D44" i="34"/>
  <c r="B6" i="36"/>
  <c r="B144" i="32"/>
  <c r="C53" i="36"/>
  <c r="E10" i="32"/>
  <c r="C130" i="37"/>
  <c r="D28" i="34"/>
  <c r="A49" i="34"/>
  <c r="A126" i="35"/>
  <c r="A29" i="33"/>
  <c r="B111" i="34"/>
  <c r="B10" i="33"/>
  <c r="E86" i="31"/>
  <c r="E26" i="35"/>
  <c r="C139" i="32"/>
  <c r="E148" i="32"/>
  <c r="A138" i="32"/>
  <c r="C117" i="37"/>
  <c r="B20" i="34"/>
  <c r="E66" i="30"/>
  <c r="C86" i="32"/>
  <c r="C112" i="32"/>
  <c r="C134" i="33"/>
  <c r="E9" i="32"/>
  <c r="C57" i="33"/>
  <c r="D104" i="36"/>
  <c r="D108" i="31"/>
  <c r="D18" i="35"/>
  <c r="A37" i="32"/>
  <c r="D105" i="34"/>
  <c r="A116" i="36"/>
  <c r="D24" i="37"/>
  <c r="C131" i="37"/>
  <c r="E149" i="33"/>
  <c r="A84" i="32"/>
  <c r="C121" i="32"/>
  <c r="E150" i="32"/>
  <c r="C43" i="34"/>
  <c r="A47" i="34"/>
  <c r="E142" i="34"/>
  <c r="B144" i="36"/>
  <c r="C32" i="34"/>
  <c r="C152" i="31"/>
  <c r="E140" i="34"/>
  <c r="B7" i="31"/>
  <c r="C83" i="34"/>
  <c r="E60" i="32"/>
  <c r="A111" i="33"/>
  <c r="A127" i="33"/>
  <c r="D142" i="33"/>
  <c r="B82" i="37"/>
  <c r="D123" i="35"/>
  <c r="E26" i="36"/>
  <c r="E60" i="36"/>
  <c r="B120" i="32"/>
  <c r="A104" i="32"/>
  <c r="A132" i="32"/>
  <c r="B84" i="33"/>
  <c r="C2" i="34"/>
  <c r="E126" i="36"/>
  <c r="A55" i="32"/>
  <c r="E118" i="31"/>
  <c r="A158" i="34"/>
  <c r="E93" i="32"/>
  <c r="C29" i="37"/>
  <c r="D95" i="36"/>
  <c r="C34" i="34"/>
  <c r="E93" i="37"/>
  <c r="B59" i="31"/>
  <c r="A129" i="31"/>
  <c r="D153" i="36"/>
  <c r="B122" i="33"/>
  <c r="B3" i="37"/>
  <c r="B152" i="34"/>
  <c r="B9" i="33"/>
  <c r="E43" i="30"/>
  <c r="A31" i="35"/>
  <c r="C113" i="36"/>
  <c r="A153" i="34"/>
  <c r="A77" i="33"/>
  <c r="B101" i="33"/>
  <c r="C149" i="31"/>
  <c r="E132" i="33"/>
  <c r="A50" i="36"/>
  <c r="D6" i="37"/>
  <c r="D128" i="35"/>
  <c r="A63" i="36"/>
  <c r="C67" i="37"/>
  <c r="A111" i="37"/>
  <c r="E134" i="32"/>
  <c r="B156" i="31"/>
  <c r="E14" i="37"/>
  <c r="D115" i="37"/>
  <c r="D116" i="37"/>
  <c r="D77" i="32"/>
  <c r="A51" i="36"/>
  <c r="A101" i="33"/>
  <c r="A68" i="37"/>
  <c r="C61" i="32"/>
  <c r="E118" i="34"/>
  <c r="B154" i="36"/>
  <c r="B75" i="34"/>
  <c r="A21" i="35"/>
  <c r="D85" i="37"/>
  <c r="B62" i="37"/>
  <c r="E142" i="36"/>
  <c r="D130" i="34"/>
  <c r="B129" i="36"/>
  <c r="C54" i="37"/>
  <c r="B98" i="35"/>
  <c r="C153" i="34"/>
  <c r="E117" i="31"/>
  <c r="D7" i="33"/>
  <c r="D46" i="35"/>
  <c r="A70" i="36"/>
  <c r="A133" i="35"/>
  <c r="C111" i="36"/>
  <c r="C21" i="33"/>
  <c r="E147" i="33"/>
  <c r="B147" i="32"/>
  <c r="A15" i="37"/>
  <c r="B137" i="37"/>
  <c r="E33" i="31"/>
  <c r="B52" i="36"/>
  <c r="C158" i="37"/>
  <c r="E15" i="36"/>
  <c r="D113" i="32"/>
  <c r="E80" i="35"/>
  <c r="C152" i="37"/>
  <c r="B10" i="37"/>
  <c r="E113" i="31"/>
  <c r="B23" i="32"/>
  <c r="E127" i="37"/>
  <c r="B80" i="37"/>
  <c r="E114" i="31"/>
  <c r="C50" i="36"/>
  <c r="A81" i="33"/>
  <c r="C94" i="35"/>
  <c r="E119" i="36"/>
  <c r="A17" i="37"/>
  <c r="E37" i="35"/>
  <c r="E10" i="37"/>
  <c r="A114" i="32"/>
  <c r="B129" i="37"/>
  <c r="A133" i="37"/>
  <c r="A66" i="37"/>
  <c r="E147" i="37"/>
  <c r="B139" i="36"/>
  <c r="E89" i="37"/>
  <c r="A112" i="34"/>
  <c r="D70" i="36"/>
  <c r="B90" i="36"/>
  <c r="D73" i="35"/>
  <c r="A38" i="32"/>
  <c r="A11" i="34"/>
  <c r="A53" i="36"/>
  <c r="D100" i="37"/>
  <c r="D158" i="36"/>
  <c r="C69" i="32"/>
  <c r="B128" i="36"/>
  <c r="E71" i="31"/>
  <c r="A111" i="32"/>
  <c r="D87" i="36"/>
  <c r="E152" i="30"/>
  <c r="C61" i="36"/>
  <c r="D137" i="33"/>
  <c r="E108" i="31"/>
  <c r="E95" i="32"/>
  <c r="C141" i="32"/>
  <c r="A70" i="32"/>
  <c r="E56" i="32"/>
  <c r="E77" i="35"/>
  <c r="A116" i="32"/>
  <c r="C58" i="34"/>
  <c r="B68" i="34"/>
  <c r="C57" i="35"/>
  <c r="E106" i="36"/>
  <c r="B107" i="34"/>
  <c r="E77" i="32"/>
  <c r="B148" i="37"/>
  <c r="E27" i="31"/>
  <c r="A85" i="37"/>
  <c r="E133" i="31"/>
  <c r="C41" i="35"/>
  <c r="E57" i="33"/>
  <c r="B24" i="37"/>
  <c r="B107" i="36"/>
  <c r="D25" i="32"/>
  <c r="D50" i="37"/>
  <c r="D33" i="33"/>
  <c r="E58" i="33"/>
  <c r="D145" i="36"/>
  <c r="E99" i="34"/>
  <c r="E58" i="35"/>
  <c r="D95" i="35"/>
  <c r="E72" i="35"/>
  <c r="A155" i="35"/>
  <c r="B56" i="34"/>
  <c r="D56" i="37"/>
  <c r="E92" i="31"/>
  <c r="E26" i="33"/>
  <c r="D121" i="35"/>
  <c r="E90" i="32"/>
  <c r="B144" i="37"/>
  <c r="A105" i="37"/>
  <c r="C153" i="37"/>
  <c r="B89" i="37"/>
  <c r="E147" i="36"/>
  <c r="C14" i="35"/>
  <c r="C66" i="37"/>
  <c r="E35" i="34"/>
  <c r="B25" i="37"/>
  <c r="B63" i="37"/>
  <c r="E90" i="35"/>
  <c r="E114" i="32"/>
  <c r="E3" i="34"/>
  <c r="E98" i="31"/>
  <c r="E58" i="32"/>
  <c r="B76" i="33"/>
  <c r="A33" i="33"/>
  <c r="E40" i="37"/>
  <c r="E46" i="34"/>
  <c r="B105" i="36"/>
  <c r="E64" i="34"/>
  <c r="E120" i="33"/>
  <c r="D85" i="32"/>
  <c r="C120" i="33"/>
  <c r="A158" i="37"/>
  <c r="D52" i="37"/>
  <c r="E134" i="36"/>
  <c r="B9" i="35"/>
  <c r="E114" i="37"/>
  <c r="B71" i="37"/>
  <c r="C148" i="37"/>
  <c r="E78" i="36"/>
  <c r="B61" i="37"/>
  <c r="A70" i="35"/>
  <c r="E88" i="31"/>
  <c r="D7" i="34"/>
  <c r="E88" i="35"/>
  <c r="D37" i="33"/>
  <c r="A43" i="34"/>
  <c r="B132" i="36"/>
  <c r="B116" i="37"/>
  <c r="E117" i="32"/>
  <c r="E90" i="31"/>
  <c r="D157" i="35"/>
  <c r="B29" i="35"/>
  <c r="C40" i="36"/>
  <c r="D79" i="37"/>
  <c r="E17" i="31"/>
  <c r="B83" i="35"/>
  <c r="D84" i="36"/>
  <c r="E24" i="37"/>
  <c r="C61" i="35"/>
  <c r="A104" i="34"/>
  <c r="A89" i="35"/>
  <c r="E14" i="34"/>
  <c r="E150" i="36"/>
  <c r="E12" i="34"/>
  <c r="B93" i="34"/>
  <c r="C61" i="37"/>
  <c r="E51" i="35"/>
  <c r="E55" i="37"/>
  <c r="D82" i="35"/>
  <c r="B8" i="37"/>
  <c r="D153" i="32"/>
  <c r="D66" i="37"/>
  <c r="E17" i="37"/>
  <c r="B103" i="36"/>
  <c r="C6" i="35"/>
  <c r="D128" i="36"/>
  <c r="C131" i="31"/>
  <c r="C71" i="37"/>
  <c r="E31" i="34"/>
  <c r="A126" i="36"/>
  <c r="A138" i="34"/>
  <c r="B78" i="34"/>
  <c r="E116" i="33"/>
  <c r="C17" i="37"/>
  <c r="A24" i="37"/>
  <c r="D49" i="37"/>
  <c r="B126" i="35"/>
  <c r="A76" i="37"/>
  <c r="A25" i="37"/>
  <c r="A140" i="34"/>
  <c r="B27" i="36"/>
  <c r="C125" i="37"/>
  <c r="E83" i="37"/>
  <c r="C23" i="36"/>
  <c r="E66" i="34"/>
  <c r="E90" i="37"/>
  <c r="E69" i="37"/>
  <c r="B151" i="35"/>
  <c r="C16" i="37"/>
  <c r="A9" i="36"/>
  <c r="A148" i="36"/>
  <c r="E34" i="36"/>
  <c r="E34" i="33"/>
  <c r="E29" i="36"/>
  <c r="C78" i="34"/>
  <c r="C2" i="36"/>
  <c r="C141" i="36"/>
  <c r="D68" i="36"/>
  <c r="D137" i="37"/>
  <c r="E92" i="33"/>
  <c r="E152" i="34"/>
  <c r="A77" i="36"/>
  <c r="E37" i="34"/>
  <c r="E61" i="34"/>
  <c r="B30" i="37"/>
  <c r="C154" i="36"/>
  <c r="E102" i="32"/>
  <c r="B119" i="36"/>
  <c r="D132" i="33"/>
  <c r="A143" i="36"/>
  <c r="C82" i="36"/>
  <c r="E150" i="35"/>
  <c r="C155" i="37"/>
  <c r="D68" i="34"/>
  <c r="A50" i="37"/>
  <c r="C12" i="36"/>
  <c r="B131" i="37"/>
  <c r="E10" i="35"/>
  <c r="C118" i="35"/>
  <c r="D86" i="34"/>
  <c r="A145" i="36"/>
  <c r="B5" i="32"/>
  <c r="E69" i="31"/>
  <c r="B158" i="32"/>
  <c r="A103" i="33"/>
  <c r="E136" i="36"/>
  <c r="E57" i="32"/>
  <c r="E141" i="32"/>
  <c r="D6" i="36"/>
  <c r="E24" i="33"/>
  <c r="B113" i="31"/>
  <c r="B75" i="36"/>
  <c r="E33" i="37"/>
  <c r="B60" i="37"/>
  <c r="A128" i="31"/>
  <c r="A134" i="37"/>
  <c r="E61" i="32"/>
  <c r="E81" i="33"/>
  <c r="E5" i="33"/>
  <c r="E149" i="34"/>
  <c r="E145" i="35"/>
  <c r="E101" i="36"/>
  <c r="A152" i="34"/>
  <c r="E60" i="33"/>
  <c r="D102" i="32"/>
  <c r="E158" i="33"/>
  <c r="E94" i="32"/>
  <c r="E138" i="34"/>
  <c r="A15" i="36"/>
  <c r="B63" i="33"/>
  <c r="D150" i="34"/>
  <c r="C114" i="37"/>
  <c r="E45" i="37"/>
  <c r="E152" i="32"/>
  <c r="E54" i="32"/>
  <c r="A41" i="35"/>
  <c r="B132" i="37"/>
  <c r="C109" i="35"/>
  <c r="B140" i="36"/>
  <c r="E35" i="35"/>
  <c r="A137" i="34"/>
  <c r="B32" i="37"/>
  <c r="D48" i="34"/>
  <c r="C105" i="35"/>
  <c r="B22" i="37"/>
  <c r="B143" i="33"/>
  <c r="A117" i="36"/>
  <c r="D13" i="36"/>
  <c r="A123" i="34"/>
  <c r="E75" i="34"/>
  <c r="E121" i="31"/>
  <c r="E54" i="33"/>
  <c r="E99" i="37"/>
  <c r="A21" i="37"/>
  <c r="E88" i="37"/>
  <c r="C142" i="32"/>
  <c r="E86" i="33"/>
  <c r="D107" i="37"/>
  <c r="E145" i="31"/>
  <c r="D94" i="36"/>
  <c r="E3" i="31"/>
  <c r="E96" i="31"/>
  <c r="B124" i="36"/>
  <c r="C144" i="34"/>
  <c r="C96" i="37"/>
  <c r="D77" i="37"/>
  <c r="C91" i="37"/>
  <c r="B20" i="36"/>
  <c r="C129" i="34"/>
  <c r="C62" i="36"/>
  <c r="E132" i="35"/>
  <c r="E92" i="34"/>
  <c r="E9" i="35"/>
  <c r="B51" i="37"/>
  <c r="A50" i="34"/>
  <c r="C9" i="37"/>
  <c r="A110" i="32"/>
  <c r="A42" i="36"/>
  <c r="C2" i="37"/>
  <c r="E151" i="37"/>
  <c r="A67" i="33"/>
  <c r="A9" i="31"/>
  <c r="C66" i="34"/>
  <c r="D10" i="37"/>
  <c r="E66" i="37"/>
  <c r="E154" i="31"/>
  <c r="D8" i="36"/>
  <c r="D73" i="37"/>
  <c r="E77" i="34"/>
  <c r="C54" i="32"/>
  <c r="E20" i="34"/>
  <c r="E102" i="34"/>
  <c r="D61" i="34"/>
  <c r="E73" i="37"/>
  <c r="E48" i="31"/>
  <c r="D156" i="34"/>
  <c r="A36" i="37"/>
  <c r="D32" i="37"/>
  <c r="B118" i="35"/>
  <c r="D67" i="34"/>
  <c r="D83" i="32"/>
  <c r="E30" i="37"/>
  <c r="E105" i="32"/>
  <c r="C20" i="37"/>
  <c r="E146" i="35"/>
  <c r="B154" i="32"/>
  <c r="E7" i="31"/>
  <c r="B119" i="37"/>
  <c r="D143" i="36"/>
  <c r="D69" i="37"/>
  <c r="C157" i="37"/>
  <c r="D131" i="37"/>
  <c r="A151" i="33"/>
  <c r="B112" i="35"/>
  <c r="D87" i="37"/>
  <c r="D148" i="36"/>
  <c r="B120" i="31"/>
  <c r="A6" i="37"/>
  <c r="D122" i="36"/>
  <c r="E40" i="36"/>
  <c r="E41" i="35"/>
  <c r="B100" i="37"/>
  <c r="B44" i="36"/>
  <c r="E50" i="31"/>
  <c r="A12" i="35"/>
  <c r="C97" i="32"/>
  <c r="A151" i="36"/>
  <c r="E15" i="35"/>
  <c r="D136" i="37"/>
  <c r="E115" i="34"/>
  <c r="B106" i="34"/>
  <c r="E125" i="32"/>
  <c r="E111" i="31"/>
  <c r="B158" i="37"/>
  <c r="E68" i="35"/>
  <c r="D25" i="37"/>
  <c r="A94" i="37"/>
  <c r="E131" i="31"/>
  <c r="E9" i="37"/>
  <c r="A95" i="37"/>
  <c r="E55" i="35"/>
  <c r="B128" i="34"/>
  <c r="C141" i="35"/>
  <c r="B148" i="32"/>
  <c r="D101" i="33"/>
  <c r="D91" i="37"/>
  <c r="A94" i="36"/>
  <c r="E86" i="37"/>
  <c r="B106" i="36"/>
  <c r="E25" i="34"/>
  <c r="B122" i="36"/>
  <c r="E74" i="31"/>
  <c r="D151" i="33"/>
  <c r="C144" i="37"/>
  <c r="B53" i="35"/>
  <c r="B130" i="34"/>
  <c r="B142" i="36"/>
  <c r="C33" i="35"/>
  <c r="E113" i="37"/>
  <c r="E52" i="31"/>
  <c r="E119" i="34"/>
  <c r="C114" i="36"/>
  <c r="E117" i="36"/>
  <c r="E36" i="35"/>
  <c r="E94" i="37"/>
  <c r="B52" i="32"/>
  <c r="B94" i="36"/>
  <c r="A153" i="36"/>
  <c r="C19" i="36"/>
  <c r="D41" i="37"/>
  <c r="E113" i="36"/>
  <c r="D64" i="35"/>
  <c r="E4" i="37"/>
  <c r="C22" i="33"/>
  <c r="E104" i="32"/>
  <c r="E21" i="35"/>
  <c r="E63" i="31"/>
  <c r="D7" i="35"/>
  <c r="C92" i="34"/>
  <c r="B67" i="35"/>
  <c r="E17" i="34"/>
  <c r="D121" i="31"/>
  <c r="A83" i="36"/>
  <c r="A3" i="32"/>
  <c r="E117" i="33"/>
  <c r="A64" i="36"/>
  <c r="A98" i="37"/>
  <c r="C25" i="37"/>
  <c r="B92" i="34"/>
  <c r="B131" i="33"/>
  <c r="B69" i="37"/>
  <c r="E145" i="34"/>
  <c r="C81" i="33"/>
  <c r="E46" i="31"/>
  <c r="E73" i="32"/>
  <c r="C94" i="33"/>
  <c r="E80" i="36"/>
  <c r="B118" i="36"/>
  <c r="C75" i="35"/>
  <c r="C119" i="33"/>
  <c r="E138" i="36"/>
  <c r="D81" i="33"/>
  <c r="E60" i="35"/>
  <c r="E23" i="33"/>
  <c r="E115" i="32"/>
  <c r="C58" i="36"/>
  <c r="E58" i="34"/>
  <c r="B73" i="32"/>
  <c r="E74" i="36"/>
  <c r="D100" i="34"/>
  <c r="A79" i="32"/>
  <c r="E98" i="35"/>
  <c r="A144" i="32"/>
  <c r="C26" i="36"/>
  <c r="B133" i="34"/>
  <c r="E123" i="36"/>
  <c r="B74" i="37"/>
  <c r="B112" i="34"/>
  <c r="B133" i="37"/>
  <c r="E65" i="34"/>
  <c r="E14" i="36"/>
  <c r="D118" i="35"/>
  <c r="E67" i="32"/>
  <c r="E58" i="37"/>
  <c r="C45" i="36"/>
  <c r="B133" i="35"/>
  <c r="D97" i="36"/>
  <c r="B43" i="36"/>
  <c r="C11" i="35"/>
  <c r="E143" i="31"/>
  <c r="A24" i="35"/>
  <c r="E22" i="37"/>
  <c r="E13" i="31"/>
  <c r="E24" i="36"/>
  <c r="C26" i="34"/>
  <c r="B13" i="37"/>
  <c r="E143" i="32"/>
  <c r="C123" i="32"/>
  <c r="A78" i="32"/>
  <c r="E116" i="31"/>
  <c r="E16" i="33"/>
  <c r="A108" i="34"/>
  <c r="E72" i="34"/>
  <c r="A30" i="32"/>
  <c r="D80" i="36"/>
  <c r="D150" i="36"/>
  <c r="C28" i="35"/>
  <c r="E155" i="33"/>
  <c r="C31" i="37"/>
  <c r="E72" i="33"/>
  <c r="E76" i="31"/>
  <c r="E94" i="36"/>
  <c r="E84" i="34"/>
  <c r="D135" i="37"/>
  <c r="D35" i="36"/>
  <c r="E32" i="36"/>
  <c r="C154" i="34"/>
  <c r="E131" i="34"/>
  <c r="E61" i="37"/>
  <c r="C57" i="36"/>
  <c r="E13" i="35"/>
  <c r="C136" i="37"/>
  <c r="D47" i="37"/>
  <c r="B76" i="35"/>
  <c r="E10" i="34"/>
  <c r="E4" i="36"/>
  <c r="A146" i="34"/>
  <c r="D57" i="35"/>
  <c r="C149" i="37"/>
  <c r="C45" i="34"/>
  <c r="E151" i="31"/>
  <c r="E122" i="36"/>
  <c r="C135" i="36"/>
  <c r="C106" i="34"/>
  <c r="A63" i="37"/>
  <c r="C91" i="34"/>
  <c r="E15" i="37"/>
  <c r="D37" i="35"/>
  <c r="E93" i="35"/>
  <c r="E125" i="34"/>
  <c r="E120" i="31"/>
  <c r="B17" i="37"/>
  <c r="E97" i="36"/>
  <c r="D104" i="37"/>
  <c r="B10" i="36"/>
  <c r="D60" i="34"/>
  <c r="E17" i="35"/>
  <c r="A43" i="36"/>
  <c r="D77" i="33"/>
  <c r="E8" i="37"/>
  <c r="E122" i="34"/>
  <c r="B144" i="34"/>
  <c r="E53" i="33"/>
  <c r="D156" i="37"/>
  <c r="E106" i="35"/>
  <c r="D136" i="36"/>
  <c r="A150" i="36"/>
  <c r="B115" i="35"/>
  <c r="E31" i="31"/>
  <c r="E145" i="33"/>
  <c r="D30" i="34"/>
  <c r="B11" i="35"/>
  <c r="B113" i="36"/>
  <c r="A103" i="37"/>
  <c r="C102" i="32"/>
  <c r="E149" i="37"/>
  <c r="B16" i="36"/>
  <c r="E80" i="31"/>
  <c r="E140" i="31"/>
  <c r="E67" i="37"/>
  <c r="B158" i="35"/>
  <c r="C39" i="37"/>
  <c r="B78" i="37"/>
  <c r="A62" i="37"/>
  <c r="B135" i="37"/>
  <c r="D138" i="37"/>
  <c r="E99" i="35"/>
  <c r="C56" i="35"/>
  <c r="E107" i="35"/>
  <c r="E84" i="31"/>
  <c r="D106" i="36"/>
  <c r="E126" i="31"/>
  <c r="C38" i="37"/>
  <c r="E86" i="35"/>
  <c r="C35" i="37"/>
  <c r="E16" i="32"/>
  <c r="E14" i="35"/>
  <c r="E137" i="33"/>
  <c r="B143" i="36"/>
  <c r="B153" i="33"/>
  <c r="E66" i="31"/>
  <c r="C78" i="35"/>
  <c r="E22" i="31"/>
  <c r="E41" i="33"/>
  <c r="D25" i="35"/>
  <c r="E131" i="33"/>
  <c r="A135" i="31"/>
  <c r="C68" i="37"/>
  <c r="A85" i="34"/>
  <c r="E88" i="36"/>
  <c r="C128" i="31"/>
  <c r="E116" i="36"/>
  <c r="E129" i="34"/>
  <c r="E66" i="36"/>
  <c r="B76" i="37"/>
  <c r="D8" i="35"/>
  <c r="A107" i="34"/>
  <c r="B7" i="36"/>
  <c r="D78" i="32"/>
  <c r="D41" i="35"/>
  <c r="E114" i="36"/>
  <c r="B126" i="34"/>
  <c r="B7" i="37"/>
  <c r="E18" i="37"/>
  <c r="E31" i="32"/>
  <c r="E71" i="32"/>
  <c r="A91" i="37"/>
  <c r="B155" i="36"/>
  <c r="E152" i="37"/>
  <c r="E85" i="33"/>
  <c r="D153" i="35"/>
  <c r="B45" i="36"/>
  <c r="D133" i="33"/>
  <c r="E139" i="33"/>
  <c r="A26" i="35"/>
  <c r="E84" i="36"/>
  <c r="E104" i="31"/>
  <c r="D88" i="35"/>
  <c r="E64" i="31"/>
  <c r="B138" i="34"/>
  <c r="C87" i="36"/>
  <c r="E125" i="33"/>
  <c r="E95" i="34"/>
  <c r="A22" i="32"/>
  <c r="D150" i="37"/>
  <c r="E154" i="33"/>
  <c r="A29" i="36"/>
  <c r="C101" i="34"/>
  <c r="D144" i="37"/>
  <c r="E47" i="35"/>
  <c r="E142" i="35"/>
  <c r="D96" i="37"/>
  <c r="A19" i="36"/>
  <c r="A128" i="36"/>
  <c r="B108" i="37"/>
  <c r="D60" i="37"/>
  <c r="D134" i="32"/>
  <c r="E121" i="33"/>
  <c r="B26" i="37"/>
  <c r="E120" i="37"/>
  <c r="B39" i="35"/>
  <c r="A134" i="36"/>
  <c r="E99" i="33"/>
  <c r="C94" i="34"/>
  <c r="B116" i="35"/>
  <c r="D103" i="36"/>
  <c r="A64" i="34"/>
  <c r="D126" i="37"/>
  <c r="E52" i="33"/>
  <c r="E136" i="37"/>
  <c r="B54" i="37"/>
  <c r="E67" i="35"/>
  <c r="E27" i="36"/>
  <c r="E122" i="31"/>
  <c r="E77" i="37"/>
  <c r="E75" i="31"/>
  <c r="B56" i="37"/>
  <c r="E15" i="34"/>
  <c r="B115" i="37"/>
  <c r="D94" i="37"/>
  <c r="E157" i="34"/>
  <c r="B153" i="35"/>
  <c r="A122" i="36"/>
  <c r="D157" i="36"/>
  <c r="C9" i="33"/>
  <c r="E41" i="34"/>
  <c r="E154" i="37"/>
  <c r="B24" i="35"/>
  <c r="B148" i="36"/>
  <c r="A157" i="35"/>
  <c r="A118" i="35"/>
  <c r="C154" i="32"/>
  <c r="E79" i="31"/>
  <c r="E91" i="36"/>
  <c r="D133" i="37"/>
  <c r="C107" i="37"/>
  <c r="C150" i="31"/>
  <c r="A69" i="35"/>
  <c r="A97" i="35"/>
  <c r="A96" i="36"/>
  <c r="A147" i="34"/>
  <c r="A37" i="37"/>
  <c r="E85" i="34"/>
  <c r="B75" i="35"/>
  <c r="A145" i="37"/>
  <c r="D81" i="36"/>
  <c r="D18" i="36"/>
  <c r="E138" i="35"/>
  <c r="A117" i="37"/>
  <c r="B52" i="37"/>
  <c r="A33" i="37"/>
  <c r="B62" i="35"/>
  <c r="E149" i="32"/>
  <c r="D155" i="37"/>
  <c r="D51" i="34"/>
  <c r="B142" i="33"/>
  <c r="C121" i="36"/>
  <c r="D68" i="35"/>
  <c r="D23" i="33"/>
  <c r="A81" i="35"/>
  <c r="C22" i="35"/>
  <c r="D77" i="34"/>
  <c r="D140" i="36"/>
  <c r="E4" i="35"/>
  <c r="A26" i="33"/>
  <c r="D123" i="32"/>
  <c r="B133" i="31"/>
  <c r="D101" i="36"/>
  <c r="E47" i="36"/>
  <c r="E69" i="36"/>
  <c r="E96" i="33"/>
  <c r="B150" i="35"/>
  <c r="E82" i="34"/>
  <c r="C20" i="35"/>
  <c r="C34" i="35"/>
  <c r="B81" i="36"/>
  <c r="D108" i="37"/>
  <c r="D49" i="33"/>
  <c r="C51" i="35"/>
  <c r="E101" i="37"/>
  <c r="C29" i="32"/>
  <c r="B88" i="37"/>
  <c r="B70" i="37"/>
  <c r="C135" i="37"/>
  <c r="E100" i="34"/>
  <c r="D153" i="34"/>
  <c r="B123" i="34"/>
  <c r="D98" i="37"/>
  <c r="E156" i="35"/>
  <c r="B54" i="34"/>
  <c r="B156" i="34"/>
  <c r="B142" i="35"/>
  <c r="D57" i="36"/>
  <c r="C116" i="36"/>
  <c r="D42" i="37"/>
  <c r="E124" i="35"/>
  <c r="B112" i="36"/>
  <c r="A72" i="35"/>
  <c r="E139" i="37"/>
  <c r="E56" i="30"/>
  <c r="C113" i="37"/>
  <c r="A68" i="36"/>
  <c r="E119" i="33"/>
  <c r="B119" i="34"/>
  <c r="A56" i="37"/>
  <c r="D72" i="36"/>
  <c r="A60" i="37"/>
  <c r="D16" i="34"/>
  <c r="E85" i="37"/>
  <c r="A114" i="37"/>
  <c r="E124" i="34"/>
  <c r="A66" i="36"/>
  <c r="C34" i="37"/>
  <c r="E69" i="35"/>
  <c r="B95" i="34"/>
  <c r="E24" i="35"/>
  <c r="C115" i="35"/>
  <c r="E49" i="33"/>
  <c r="E12" i="33"/>
  <c r="D12" i="35"/>
  <c r="C24" i="34"/>
  <c r="D2" i="36"/>
  <c r="E146" i="33"/>
  <c r="E86" i="34"/>
  <c r="E158" i="35"/>
  <c r="D36" i="36"/>
  <c r="A27" i="37"/>
  <c r="E84" i="35"/>
  <c r="B19" i="34"/>
  <c r="E38" i="31"/>
  <c r="E80" i="33"/>
  <c r="D111" i="35"/>
  <c r="E53" i="31"/>
  <c r="E40" i="34"/>
  <c r="B146" i="36"/>
  <c r="E116" i="35"/>
  <c r="E61" i="35"/>
  <c r="D140" i="32"/>
  <c r="D82" i="37"/>
  <c r="C45" i="31"/>
  <c r="E67" i="34"/>
  <c r="C37" i="37"/>
  <c r="C123" i="36"/>
  <c r="E59" i="35"/>
  <c r="C42" i="36"/>
  <c r="E62" i="34"/>
  <c r="E64" i="37"/>
  <c r="A59" i="37"/>
  <c r="A84" i="36"/>
  <c r="A72" i="34"/>
  <c r="A104" i="36"/>
  <c r="B103" i="34"/>
  <c r="E54" i="37"/>
  <c r="C138" i="35"/>
  <c r="E104" i="36"/>
  <c r="B124" i="35"/>
  <c r="B27" i="33"/>
  <c r="B75" i="37"/>
  <c r="D29" i="31"/>
  <c r="C84" i="36"/>
  <c r="B101" i="35"/>
  <c r="B18" i="35"/>
  <c r="E113" i="35"/>
  <c r="C117" i="36"/>
  <c r="B22" i="35"/>
  <c r="D38" i="33"/>
  <c r="D17" i="32"/>
  <c r="C10" i="37"/>
  <c r="C151" i="34"/>
  <c r="D157" i="34"/>
  <c r="E15" i="33"/>
  <c r="B63" i="34"/>
  <c r="B128" i="35"/>
  <c r="C105" i="36"/>
  <c r="B28" i="37"/>
  <c r="C47" i="36"/>
  <c r="E26" i="31"/>
  <c r="B49" i="37"/>
  <c r="E19" i="33"/>
  <c r="D55" i="33"/>
  <c r="D27" i="36"/>
  <c r="E150" i="30"/>
  <c r="E35" i="37"/>
  <c r="E27" i="35"/>
  <c r="B150" i="31"/>
  <c r="A117" i="35"/>
  <c r="A76" i="36"/>
  <c r="E93" i="34"/>
  <c r="E43" i="37"/>
  <c r="D29" i="37"/>
  <c r="A91" i="36"/>
  <c r="E68" i="34"/>
  <c r="C15" i="34"/>
  <c r="C21" i="37"/>
  <c r="D32" i="35"/>
  <c r="E69" i="32"/>
  <c r="C154" i="37"/>
  <c r="E156" i="36"/>
  <c r="A65" i="33"/>
  <c r="C59" i="34"/>
  <c r="B118" i="34"/>
  <c r="E38" i="33"/>
  <c r="C119" i="34"/>
  <c r="B37" i="37"/>
  <c r="C139" i="34"/>
  <c r="B154" i="37"/>
  <c r="C108" i="36"/>
  <c r="A144" i="34"/>
  <c r="B4" i="32"/>
  <c r="E37" i="32"/>
  <c r="D47" i="32"/>
  <c r="E3" i="37"/>
  <c r="E135" i="36"/>
  <c r="D34" i="34"/>
  <c r="D103" i="35"/>
  <c r="E47" i="32"/>
  <c r="D152" i="36"/>
  <c r="D72" i="37"/>
  <c r="A149" i="33"/>
  <c r="B113" i="34"/>
  <c r="C2" i="35"/>
  <c r="C93" i="35"/>
  <c r="D144" i="35"/>
  <c r="C22" i="34"/>
  <c r="A78" i="34"/>
  <c r="A69" i="33"/>
  <c r="D134" i="34"/>
  <c r="A115" i="37"/>
  <c r="B136" i="32"/>
  <c r="D158" i="31"/>
  <c r="B87" i="35"/>
  <c r="C72" i="37"/>
  <c r="D55" i="37"/>
  <c r="E92" i="37"/>
  <c r="D11" i="37"/>
  <c r="E30" i="34"/>
  <c r="B97" i="36"/>
  <c r="D93" i="37"/>
  <c r="B31" i="31"/>
  <c r="C62" i="37"/>
  <c r="C93" i="33"/>
  <c r="E128" i="33"/>
  <c r="A39" i="37"/>
  <c r="D5" i="32"/>
  <c r="D112" i="36"/>
  <c r="E32" i="30"/>
  <c r="A8" i="36"/>
  <c r="A150" i="37"/>
  <c r="D75" i="37"/>
  <c r="C151" i="36"/>
  <c r="C94" i="36"/>
  <c r="E13" i="36"/>
  <c r="E95" i="35"/>
  <c r="D143" i="33"/>
  <c r="E126" i="32"/>
  <c r="B38" i="36"/>
  <c r="A14" i="35"/>
  <c r="C26" i="37"/>
  <c r="A86" i="37"/>
  <c r="B118" i="32"/>
  <c r="E59" i="34"/>
  <c r="B17" i="36"/>
  <c r="A25" i="36"/>
  <c r="E46" i="35"/>
  <c r="A21" i="32"/>
  <c r="A23" i="36"/>
  <c r="E103" i="32"/>
  <c r="E77" i="33"/>
  <c r="E153" i="37"/>
  <c r="E53" i="36"/>
  <c r="C119" i="36"/>
  <c r="D127" i="37"/>
  <c r="E7" i="34"/>
  <c r="A8" i="33"/>
  <c r="A13" i="36"/>
  <c r="B47" i="37"/>
  <c r="E93" i="36"/>
  <c r="C36" i="32"/>
  <c r="A102" i="37"/>
  <c r="A130" i="36"/>
  <c r="E118" i="32"/>
  <c r="A10" i="35"/>
  <c r="C68" i="36"/>
  <c r="D156" i="36"/>
  <c r="B11" i="36"/>
  <c r="B93" i="37"/>
  <c r="C105" i="34"/>
  <c r="E111" i="33"/>
  <c r="A3" i="35"/>
  <c r="C128" i="33"/>
  <c r="E129" i="37"/>
  <c r="E138" i="33"/>
  <c r="B79" i="32"/>
  <c r="B89" i="35"/>
  <c r="C124" i="36"/>
  <c r="C19" i="32"/>
  <c r="D154" i="36"/>
  <c r="E77" i="36"/>
  <c r="E157" i="36"/>
  <c r="A134" i="34"/>
  <c r="D43" i="36"/>
  <c r="E28" i="36"/>
  <c r="E43" i="32"/>
  <c r="B123" i="36"/>
  <c r="A10" i="37"/>
  <c r="E158" i="30"/>
  <c r="D17" i="35"/>
  <c r="A11" i="36"/>
  <c r="A20" i="35"/>
  <c r="C104" i="37"/>
  <c r="D154" i="37"/>
  <c r="E57" i="31"/>
  <c r="A129" i="34"/>
  <c r="E143" i="35"/>
  <c r="B53" i="37"/>
  <c r="A120" i="35"/>
  <c r="E28" i="34"/>
  <c r="E153" i="34"/>
  <c r="C82" i="35"/>
  <c r="A115" i="32"/>
  <c r="E119" i="31"/>
  <c r="B21" i="34"/>
  <c r="B6" i="37"/>
  <c r="C100" i="35"/>
  <c r="C73" i="34"/>
  <c r="A125" i="34"/>
  <c r="C138" i="37"/>
  <c r="E26" i="37"/>
  <c r="E85" i="36"/>
  <c r="D129" i="32"/>
  <c r="B143" i="35"/>
  <c r="B8" i="34"/>
  <c r="C47" i="32"/>
  <c r="E52" i="35"/>
  <c r="D62" i="31"/>
  <c r="E46" i="33"/>
  <c r="E50" i="35"/>
  <c r="E4" i="30"/>
  <c r="E43" i="33"/>
  <c r="E156" i="33"/>
  <c r="A113" i="32"/>
  <c r="D147" i="36"/>
  <c r="C131" i="33"/>
  <c r="E87" i="31"/>
  <c r="B51" i="35"/>
  <c r="A67" i="36"/>
  <c r="E70" i="34"/>
  <c r="A36" i="35"/>
  <c r="A142" i="37"/>
  <c r="D53" i="37"/>
  <c r="E128" i="32"/>
  <c r="E89" i="33"/>
  <c r="A154" i="36"/>
  <c r="A149" i="37"/>
  <c r="E68" i="31"/>
  <c r="C158" i="36"/>
  <c r="A93" i="36"/>
  <c r="E46" i="32"/>
  <c r="A14" i="32"/>
  <c r="C154" i="35"/>
  <c r="E9" i="36"/>
  <c r="A27" i="36"/>
  <c r="D140" i="31"/>
  <c r="D145" i="37"/>
  <c r="E133" i="37"/>
  <c r="B103" i="37"/>
  <c r="E82" i="35"/>
  <c r="C129" i="36"/>
  <c r="E30" i="32"/>
  <c r="A46" i="36"/>
  <c r="E82" i="32"/>
  <c r="D129" i="37"/>
  <c r="E3" i="32"/>
  <c r="B54" i="36"/>
  <c r="E112" i="36"/>
  <c r="A2" i="34"/>
  <c r="B81" i="37"/>
  <c r="A120" i="34"/>
  <c r="B39" i="37"/>
  <c r="E40" i="31"/>
  <c r="D75" i="35"/>
  <c r="E17" i="36"/>
  <c r="A80" i="36"/>
  <c r="E80" i="37"/>
  <c r="D46" i="36"/>
  <c r="B94" i="34"/>
  <c r="B31" i="35"/>
  <c r="A110" i="35"/>
  <c r="E42" i="35"/>
  <c r="E139" i="32"/>
  <c r="A126" i="33"/>
  <c r="E75" i="32"/>
  <c r="D146" i="32"/>
  <c r="A71" i="36"/>
  <c r="E50" i="33"/>
  <c r="E151" i="34"/>
  <c r="A39" i="36"/>
  <c r="E70" i="31"/>
  <c r="D148" i="37"/>
  <c r="E43" i="36"/>
  <c r="A41" i="34"/>
  <c r="A7" i="37"/>
  <c r="D63" i="35"/>
  <c r="C136" i="36"/>
  <c r="A82" i="36"/>
  <c r="A4" i="34"/>
  <c r="D117" i="35"/>
  <c r="A97" i="32"/>
  <c r="B125" i="36"/>
  <c r="D89" i="36"/>
  <c r="E19" i="35"/>
  <c r="B97" i="37"/>
  <c r="C75" i="37"/>
  <c r="C106" i="32"/>
  <c r="E32" i="33"/>
  <c r="E144" i="31"/>
  <c r="A150" i="32"/>
  <c r="C13" i="36"/>
  <c r="D113" i="33"/>
  <c r="E112" i="34"/>
  <c r="A113" i="37"/>
  <c r="D92" i="35"/>
  <c r="E2" i="32"/>
  <c r="A74" i="37"/>
  <c r="E135" i="31"/>
  <c r="A154" i="37"/>
  <c r="B72" i="33"/>
  <c r="E139" i="31"/>
  <c r="C36" i="35"/>
  <c r="E125" i="37"/>
  <c r="B58" i="34"/>
  <c r="B109" i="31"/>
  <c r="D13" i="32"/>
  <c r="B147" i="35"/>
  <c r="D86" i="36"/>
  <c r="E113" i="33"/>
  <c r="C123" i="33"/>
  <c r="A32" i="34"/>
  <c r="E76" i="35"/>
  <c r="B61" i="34"/>
  <c r="E114" i="35"/>
  <c r="D71" i="33"/>
  <c r="A143" i="37"/>
  <c r="B90" i="31"/>
  <c r="C83" i="37"/>
  <c r="D73" i="31"/>
  <c r="C130" i="36"/>
  <c r="A55" i="36"/>
  <c r="E55" i="31"/>
  <c r="A40" i="33"/>
  <c r="A126" i="37"/>
  <c r="B111" i="36"/>
  <c r="E5" i="31"/>
  <c r="C150" i="37"/>
  <c r="C130" i="31"/>
  <c r="E31" i="37"/>
  <c r="C63" i="35"/>
  <c r="E82" i="31"/>
  <c r="B157" i="34"/>
  <c r="A5" i="35"/>
  <c r="E39" i="33"/>
  <c r="C108" i="33"/>
  <c r="B37" i="33"/>
  <c r="A118" i="33"/>
  <c r="B83" i="37"/>
  <c r="B138" i="37"/>
  <c r="E2" i="31"/>
  <c r="A97" i="37"/>
  <c r="C37" i="33"/>
  <c r="C148" i="35"/>
  <c r="C59" i="32"/>
  <c r="B108" i="36"/>
  <c r="D143" i="37"/>
  <c r="D42" i="35"/>
  <c r="E20" i="33"/>
  <c r="A4" i="36"/>
  <c r="E67" i="33"/>
  <c r="D133" i="35"/>
  <c r="D107" i="35"/>
  <c r="D24" i="34"/>
  <c r="B66" i="36"/>
  <c r="D125" i="36"/>
  <c r="C18" i="37"/>
  <c r="D140" i="33"/>
  <c r="E87" i="37"/>
  <c r="D157" i="37"/>
  <c r="C92" i="35"/>
  <c r="A12" i="37"/>
  <c r="D124" i="36"/>
  <c r="B144" i="35"/>
  <c r="D157" i="33"/>
  <c r="C101" i="37"/>
  <c r="E107" i="36"/>
  <c r="E2" i="34"/>
  <c r="A43" i="32"/>
  <c r="B58" i="37"/>
  <c r="A65" i="36"/>
  <c r="E8" i="34"/>
  <c r="E102" i="36"/>
  <c r="E72" i="32"/>
  <c r="E8" i="35"/>
  <c r="D69" i="36"/>
  <c r="B54" i="33"/>
  <c r="B25" i="35"/>
  <c r="E74" i="33"/>
  <c r="A44" i="34"/>
  <c r="E45" i="34"/>
  <c r="E101" i="32"/>
  <c r="C80" i="36"/>
  <c r="A112" i="36"/>
  <c r="E103" i="31"/>
  <c r="E71" i="36"/>
  <c r="E150" i="37"/>
  <c r="D120" i="32"/>
  <c r="E118" i="37"/>
  <c r="E24" i="32"/>
  <c r="E32" i="37"/>
  <c r="E105" i="36"/>
  <c r="A156" i="32"/>
  <c r="A30" i="37"/>
  <c r="E152" i="31"/>
  <c r="A13" i="34"/>
  <c r="E61" i="31"/>
  <c r="E135" i="33"/>
  <c r="A33" i="35"/>
  <c r="A57" i="36"/>
  <c r="D103" i="37"/>
  <c r="B15" i="37"/>
  <c r="E42" i="31"/>
  <c r="D111" i="36"/>
  <c r="E140" i="36"/>
  <c r="E20" i="31"/>
  <c r="E153" i="32"/>
  <c r="E21" i="34"/>
  <c r="E59" i="31"/>
  <c r="C143" i="33"/>
  <c r="E33" i="35"/>
  <c r="A129" i="35"/>
  <c r="B40" i="35"/>
  <c r="C55" i="37"/>
  <c r="A52" i="31"/>
  <c r="E32" i="31"/>
  <c r="D94" i="34"/>
  <c r="B157" i="31"/>
  <c r="E138" i="37"/>
  <c r="C90" i="35"/>
  <c r="A76" i="32"/>
  <c r="D88" i="36"/>
  <c r="C84" i="33"/>
  <c r="B46" i="32"/>
  <c r="C52" i="36"/>
  <c r="C125" i="36"/>
  <c r="C44" i="36"/>
  <c r="E152" i="33"/>
  <c r="D131" i="32"/>
  <c r="C123" i="37"/>
  <c r="B78" i="32"/>
  <c r="B98" i="36"/>
  <c r="D39" i="36"/>
  <c r="C86" i="35"/>
  <c r="C63" i="32"/>
  <c r="E119" i="32"/>
  <c r="A35" i="32"/>
  <c r="B90" i="35"/>
  <c r="D4" i="36"/>
  <c r="C38" i="36"/>
  <c r="C97" i="34"/>
  <c r="E144" i="34"/>
  <c r="C75" i="33"/>
  <c r="E68" i="37"/>
  <c r="A22" i="35"/>
  <c r="E21" i="37"/>
  <c r="B84" i="37"/>
  <c r="C18" i="36"/>
  <c r="B74" i="33"/>
  <c r="E13" i="32"/>
  <c r="E41" i="36"/>
  <c r="E130" i="33"/>
  <c r="A35" i="35"/>
  <c r="A87" i="36"/>
  <c r="A81" i="34"/>
  <c r="A18" i="36"/>
  <c r="E61" i="33"/>
  <c r="E100" i="33"/>
  <c r="E130" i="32"/>
  <c r="C127" i="35"/>
  <c r="D3" i="35"/>
  <c r="A111" i="36"/>
  <c r="E122" i="37"/>
  <c r="A26" i="34"/>
  <c r="C23" i="34"/>
  <c r="C107" i="36"/>
  <c r="C117" i="35"/>
  <c r="B58" i="32"/>
  <c r="E68" i="33"/>
  <c r="B121" i="32"/>
  <c r="C84" i="37"/>
  <c r="E137" i="31"/>
  <c r="E86" i="32"/>
  <c r="E87" i="35"/>
  <c r="D142" i="37"/>
  <c r="E3" i="36"/>
  <c r="A12" i="32"/>
  <c r="B150" i="37"/>
  <c r="E21" i="32"/>
  <c r="A81" i="37"/>
  <c r="C137" i="36"/>
  <c r="D121" i="32"/>
  <c r="E93" i="31"/>
  <c r="A109" i="37"/>
  <c r="E96" i="37"/>
  <c r="D56" i="35"/>
  <c r="A116" i="34"/>
  <c r="C145" i="35"/>
  <c r="E109" i="31"/>
  <c r="E16" i="36"/>
  <c r="D79" i="36"/>
  <c r="C109" i="33"/>
  <c r="E96" i="35"/>
  <c r="A13" i="37"/>
  <c r="D4" i="37"/>
  <c r="B143" i="37"/>
  <c r="E59" i="36"/>
  <c r="E158" i="37"/>
  <c r="E121" i="35"/>
  <c r="C103" i="31"/>
  <c r="D39" i="33"/>
  <c r="C62" i="35"/>
  <c r="E87" i="36"/>
  <c r="D101" i="34"/>
  <c r="E91" i="37"/>
  <c r="C126" i="35"/>
  <c r="E139" i="36"/>
  <c r="E129" i="33"/>
  <c r="E152" i="35"/>
  <c r="E39" i="35"/>
  <c r="D25" i="36"/>
  <c r="D15" i="37"/>
  <c r="D36" i="31"/>
  <c r="C59" i="37"/>
  <c r="B19" i="32"/>
  <c r="B36" i="36"/>
  <c r="B5" i="37"/>
  <c r="A41" i="36"/>
  <c r="E62" i="37"/>
  <c r="D128" i="37"/>
  <c r="D67" i="36"/>
  <c r="A132" i="36"/>
  <c r="C142" i="35"/>
  <c r="E129" i="36"/>
  <c r="E47" i="34"/>
  <c r="E137" i="34"/>
  <c r="E137" i="32"/>
  <c r="A43" i="37"/>
  <c r="D59" i="34"/>
  <c r="A141" i="37"/>
  <c r="A3" i="34"/>
  <c r="E115" i="36"/>
  <c r="B19" i="37"/>
  <c r="A54" i="32"/>
  <c r="D11" i="36"/>
  <c r="C130" i="34"/>
  <c r="B16" i="33"/>
  <c r="B55" i="37"/>
  <c r="D119" i="33"/>
  <c r="E37" i="37"/>
  <c r="A158" i="36"/>
  <c r="B120" i="34"/>
  <c r="C103" i="36"/>
  <c r="C107" i="31"/>
  <c r="A73" i="37"/>
  <c r="E63" i="32"/>
  <c r="D104" i="34"/>
  <c r="A82" i="35"/>
  <c r="E140" i="37"/>
  <c r="D10" i="35"/>
  <c r="E70" i="30"/>
  <c r="A110" i="36"/>
  <c r="A150" i="31"/>
  <c r="A69" i="37"/>
  <c r="E134" i="35"/>
  <c r="C102" i="35"/>
  <c r="B86" i="37"/>
  <c r="B85" i="36"/>
  <c r="B140" i="35"/>
  <c r="C6" i="36"/>
  <c r="E58" i="31"/>
  <c r="B48" i="31"/>
  <c r="B152" i="37"/>
  <c r="E47" i="37"/>
  <c r="C11" i="36"/>
  <c r="D5" i="37"/>
  <c r="A31" i="34"/>
  <c r="A121" i="36"/>
  <c r="D127" i="34"/>
  <c r="C143" i="34"/>
  <c r="E43" i="35"/>
  <c r="E41" i="32"/>
  <c r="C60" i="37"/>
  <c r="C61" i="34"/>
  <c r="E97" i="32"/>
  <c r="A71" i="33"/>
  <c r="B127" i="36"/>
  <c r="E53" i="32"/>
  <c r="E102" i="31"/>
  <c r="C49" i="34"/>
  <c r="D50" i="33"/>
  <c r="C80" i="34"/>
  <c r="E132" i="31"/>
  <c r="E32" i="34"/>
  <c r="A100" i="34"/>
  <c r="E110" i="34"/>
  <c r="B84" i="35"/>
  <c r="A136" i="34"/>
  <c r="E141" i="35"/>
  <c r="D80" i="32"/>
  <c r="E10" i="33"/>
  <c r="E67" i="36"/>
  <c r="E36" i="31"/>
  <c r="D22" i="37"/>
  <c r="E47" i="31"/>
  <c r="E49" i="31"/>
  <c r="E111" i="34"/>
  <c r="E155" i="31"/>
  <c r="C15" i="36"/>
  <c r="E65" i="36"/>
  <c r="C56" i="36"/>
  <c r="E23" i="32"/>
  <c r="D78" i="37"/>
  <c r="B149" i="34"/>
  <c r="C3" i="36"/>
  <c r="B44" i="37"/>
  <c r="D82" i="34"/>
  <c r="B43" i="35"/>
  <c r="A134" i="33"/>
  <c r="E51" i="34"/>
  <c r="E18" i="35"/>
  <c r="E127" i="32"/>
  <c r="C129" i="37"/>
  <c r="E108" i="37"/>
  <c r="E37" i="31"/>
  <c r="A100" i="36"/>
  <c r="D29" i="35"/>
  <c r="E33" i="33"/>
  <c r="E103" i="37"/>
  <c r="E146" i="36"/>
  <c r="E111" i="35"/>
  <c r="C142" i="37"/>
  <c r="E78" i="37"/>
  <c r="A141" i="36"/>
  <c r="A92" i="37"/>
  <c r="E12" i="32"/>
  <c r="D69" i="35"/>
  <c r="E13" i="34"/>
  <c r="A95" i="34"/>
  <c r="E65" i="31"/>
  <c r="E80" i="34"/>
  <c r="A154" i="35"/>
  <c r="E11" i="33"/>
  <c r="A139" i="36"/>
  <c r="E49" i="34"/>
  <c r="A30" i="34"/>
  <c r="D8" i="37"/>
  <c r="A73" i="36"/>
  <c r="C134" i="36"/>
  <c r="E54" i="31"/>
  <c r="E64" i="33"/>
  <c r="A38" i="36"/>
  <c r="C102" i="37"/>
  <c r="A28" i="35"/>
  <c r="A115" i="36"/>
  <c r="A122" i="35"/>
  <c r="E57" i="34"/>
  <c r="C137" i="35"/>
  <c r="E141" i="31"/>
  <c r="E88" i="34"/>
  <c r="A147" i="33"/>
  <c r="A19" i="37"/>
  <c r="C61" i="33"/>
  <c r="E144" i="35"/>
  <c r="D118" i="37"/>
  <c r="E46" i="30"/>
  <c r="D118" i="33"/>
  <c r="E117" i="37"/>
  <c r="A83" i="37"/>
  <c r="E103" i="36"/>
  <c r="D89" i="35"/>
  <c r="D88" i="33"/>
  <c r="E17" i="32"/>
  <c r="D58" i="36"/>
  <c r="E66" i="35"/>
  <c r="D10" i="33"/>
  <c r="C82" i="33"/>
  <c r="C156" i="36"/>
  <c r="E52" i="36"/>
  <c r="C145" i="32"/>
  <c r="E122" i="33"/>
  <c r="B4" i="35"/>
  <c r="E87" i="32"/>
  <c r="B114" i="37"/>
  <c r="C37" i="35"/>
  <c r="C13" i="37"/>
  <c r="B130" i="36"/>
  <c r="C4" i="36"/>
  <c r="D26" i="34"/>
  <c r="E39" i="37"/>
  <c r="E154" i="36"/>
  <c r="A135" i="37"/>
  <c r="E84" i="32"/>
  <c r="E14" i="32"/>
  <c r="C122" i="31"/>
  <c r="A109" i="34"/>
  <c r="A87" i="37"/>
  <c r="E76" i="36"/>
  <c r="E97" i="37"/>
  <c r="E55" i="34"/>
  <c r="D136" i="35"/>
  <c r="E19" i="36"/>
  <c r="B110" i="36"/>
  <c r="C89" i="32"/>
  <c r="B127" i="32"/>
  <c r="D116" i="35"/>
  <c r="D88" i="37"/>
  <c r="E96" i="34"/>
  <c r="E128" i="31"/>
  <c r="C26" i="32"/>
  <c r="E154" i="34"/>
  <c r="E45" i="33"/>
  <c r="D115" i="36"/>
  <c r="B147" i="34"/>
  <c r="B71" i="35"/>
  <c r="D62" i="34"/>
  <c r="E81" i="34"/>
  <c r="B114" i="33"/>
  <c r="C100" i="37"/>
  <c r="E129" i="32"/>
  <c r="C15" i="33"/>
  <c r="C42" i="37"/>
  <c r="D102" i="37"/>
  <c r="E130" i="34"/>
  <c r="A58" i="33"/>
  <c r="E62" i="35"/>
  <c r="C43" i="35"/>
  <c r="B31" i="33"/>
  <c r="B70" i="34"/>
  <c r="C132" i="36"/>
  <c r="D148" i="32"/>
  <c r="E47" i="33"/>
  <c r="C129" i="32"/>
  <c r="D13" i="37"/>
  <c r="E61" i="36"/>
  <c r="B155" i="32"/>
  <c r="D70" i="34"/>
  <c r="E43" i="34"/>
  <c r="C103" i="35"/>
  <c r="C148" i="32"/>
  <c r="D34" i="36"/>
  <c r="E36" i="33"/>
  <c r="A101" i="35"/>
  <c r="C80" i="33"/>
  <c r="B35" i="37"/>
  <c r="B125" i="35"/>
  <c r="C24" i="33"/>
  <c r="A120" i="37"/>
  <c r="C82" i="34"/>
  <c r="C96" i="35"/>
  <c r="E79" i="33"/>
  <c r="E19" i="32"/>
  <c r="E75" i="36"/>
  <c r="C25" i="32"/>
  <c r="A47" i="37"/>
  <c r="A113" i="33"/>
  <c r="E51" i="33"/>
  <c r="B5" i="36"/>
  <c r="B108" i="35"/>
  <c r="D135" i="31"/>
  <c r="D146" i="33"/>
  <c r="E21" i="31"/>
  <c r="B127" i="34"/>
  <c r="D16" i="36"/>
  <c r="B131" i="35"/>
  <c r="E35" i="33"/>
  <c r="A54" i="35"/>
  <c r="C71" i="36"/>
  <c r="D97" i="37"/>
  <c r="E38" i="34"/>
  <c r="B153" i="36"/>
  <c r="B121" i="37"/>
  <c r="E51" i="31"/>
  <c r="C58" i="35"/>
  <c r="B27" i="37"/>
  <c r="C62" i="34"/>
  <c r="D122" i="35"/>
  <c r="C152" i="34"/>
  <c r="D40" i="36"/>
  <c r="A27" i="34"/>
  <c r="D21" i="37"/>
  <c r="E127" i="35"/>
  <c r="B141" i="36"/>
  <c r="D149" i="36"/>
  <c r="C133" i="36"/>
  <c r="E108" i="32"/>
  <c r="A124" i="35"/>
  <c r="B52" i="33"/>
  <c r="E21" i="36"/>
  <c r="C95" i="37"/>
  <c r="C42" i="35"/>
  <c r="E139" i="35"/>
  <c r="A90" i="34"/>
  <c r="D44" i="37"/>
  <c r="D158" i="37"/>
  <c r="B46" i="31"/>
  <c r="E143" i="36"/>
  <c r="E126" i="37"/>
  <c r="E75" i="35"/>
  <c r="D5" i="34"/>
  <c r="C5" i="37"/>
  <c r="D88" i="31"/>
  <c r="D6" i="34"/>
  <c r="D20" i="37"/>
  <c r="E90" i="36"/>
  <c r="B124" i="37"/>
  <c r="E4" i="31"/>
  <c r="C60" i="35"/>
  <c r="C113" i="34"/>
  <c r="B14" i="37"/>
  <c r="E23" i="31"/>
  <c r="D80" i="34"/>
  <c r="B20" i="37"/>
  <c r="E44" i="36"/>
  <c r="C110" i="34"/>
  <c r="E106" i="33"/>
  <c r="D28" i="36"/>
  <c r="D20" i="36"/>
  <c r="D41" i="36"/>
  <c r="E118" i="36"/>
  <c r="E153" i="35"/>
  <c r="A98" i="36"/>
  <c r="A138" i="37"/>
  <c r="E56" i="37"/>
  <c r="A145" i="35"/>
  <c r="B15" i="32"/>
  <c r="B134" i="34"/>
  <c r="E46" i="37"/>
  <c r="B145" i="37"/>
  <c r="E43" i="31"/>
  <c r="D66" i="36"/>
  <c r="E140" i="33"/>
  <c r="A37" i="36"/>
  <c r="B77" i="35"/>
  <c r="E11" i="34"/>
  <c r="D3" i="33"/>
  <c r="B109" i="33"/>
  <c r="E19" i="37"/>
  <c r="A85" i="33"/>
  <c r="B111" i="37"/>
  <c r="B47" i="36"/>
  <c r="D18" i="37"/>
  <c r="E150" i="33"/>
  <c r="D117" i="36"/>
  <c r="A116" i="37"/>
  <c r="B25" i="32"/>
  <c r="A93" i="35"/>
  <c r="E135" i="35"/>
  <c r="C130" i="33"/>
  <c r="D78" i="36"/>
  <c r="C95" i="33"/>
  <c r="E20" i="35"/>
  <c r="D2" i="37"/>
  <c r="E40" i="35"/>
  <c r="E60" i="34"/>
  <c r="C119" i="37"/>
  <c r="E3" i="33"/>
  <c r="A116" i="35"/>
  <c r="B109" i="35"/>
  <c r="E126" i="33"/>
  <c r="E124" i="32"/>
  <c r="E116" i="37"/>
  <c r="E124" i="36"/>
  <c r="D24" i="35"/>
  <c r="C62" i="33"/>
  <c r="E6" i="37"/>
  <c r="C77" i="36"/>
  <c r="B92" i="36"/>
  <c r="D80" i="37"/>
  <c r="B74" i="36"/>
  <c r="E34" i="34"/>
  <c r="E83" i="36"/>
  <c r="E110" i="31"/>
  <c r="B135" i="34"/>
  <c r="D53" i="34"/>
  <c r="D44" i="36"/>
  <c r="C12" i="34"/>
  <c r="E87" i="34"/>
  <c r="B42" i="37"/>
  <c r="E54" i="34"/>
  <c r="E134" i="37"/>
  <c r="A3" i="33"/>
  <c r="E137" i="37"/>
  <c r="D45" i="37"/>
  <c r="D133" i="36"/>
  <c r="B119" i="35"/>
  <c r="D51" i="36"/>
  <c r="B141" i="37"/>
  <c r="A28" i="37"/>
  <c r="B53" i="34"/>
  <c r="D9" i="33"/>
  <c r="E133" i="36"/>
  <c r="B151" i="34"/>
  <c r="A49" i="35"/>
  <c r="C48" i="37"/>
  <c r="E116" i="32"/>
  <c r="A70" i="34"/>
  <c r="B91" i="36"/>
  <c r="A87" i="32"/>
  <c r="C64" i="36"/>
  <c r="D26" i="31"/>
  <c r="D38" i="37"/>
  <c r="B32" i="34"/>
  <c r="B35" i="35"/>
  <c r="E146" i="31"/>
  <c r="A122" i="33"/>
  <c r="B32" i="33"/>
  <c r="E108" i="34"/>
  <c r="A130" i="31"/>
  <c r="E148" i="34"/>
  <c r="A123" i="36"/>
  <c r="E53" i="37"/>
  <c r="E69" i="33"/>
  <c r="B84" i="36"/>
  <c r="D12" i="34"/>
  <c r="A83" i="33"/>
  <c r="C11" i="37"/>
  <c r="D29" i="36"/>
  <c r="D151" i="36"/>
  <c r="C138" i="36"/>
  <c r="C49" i="37"/>
  <c r="B141" i="35"/>
  <c r="C114" i="33"/>
  <c r="B46" i="36"/>
  <c r="D99" i="35"/>
  <c r="A26" i="37"/>
  <c r="E10" i="36"/>
  <c r="A125" i="37"/>
  <c r="E147" i="32"/>
  <c r="E118" i="33"/>
  <c r="E33" i="34"/>
  <c r="D43" i="35"/>
  <c r="A55" i="35"/>
  <c r="D137" i="35"/>
  <c r="E63" i="34"/>
  <c r="C52" i="35"/>
  <c r="D56" i="34"/>
  <c r="B11" i="33"/>
  <c r="E113" i="32"/>
  <c r="A89" i="37"/>
  <c r="E153" i="33"/>
  <c r="D148" i="34"/>
  <c r="E123" i="37"/>
  <c r="E45" i="36"/>
  <c r="C77" i="37"/>
  <c r="A88" i="37"/>
  <c r="E113" i="34"/>
  <c r="A139" i="37"/>
  <c r="C41" i="36"/>
  <c r="B101" i="37"/>
  <c r="C81" i="35"/>
  <c r="C22" i="37"/>
  <c r="E37" i="36"/>
  <c r="B104" i="35"/>
  <c r="E72" i="36"/>
  <c r="E15" i="31"/>
  <c r="E112" i="31"/>
  <c r="E79" i="32"/>
  <c r="D28" i="32"/>
  <c r="E115" i="31"/>
  <c r="E117" i="35"/>
  <c r="E129" i="30"/>
  <c r="A16" i="35"/>
  <c r="C146" i="37"/>
  <c r="E79" i="34"/>
  <c r="E131" i="35"/>
  <c r="B54" i="35"/>
  <c r="E81" i="36"/>
  <c r="C128" i="37"/>
  <c r="C142" i="36"/>
  <c r="A23" i="35"/>
  <c r="A75" i="34"/>
  <c r="E136" i="35"/>
  <c r="D69" i="32"/>
  <c r="C140" i="35"/>
  <c r="E28" i="37"/>
  <c r="D32" i="34"/>
  <c r="E137" i="35"/>
  <c r="E135" i="34"/>
  <c r="B6" i="35"/>
  <c r="D80" i="35"/>
  <c r="B157" i="37"/>
  <c r="C45" i="37"/>
  <c r="B67" i="37"/>
  <c r="C12" i="37"/>
  <c r="C131" i="36"/>
  <c r="E92" i="36"/>
  <c r="A32" i="37"/>
  <c r="B116" i="33"/>
  <c r="D113" i="37"/>
  <c r="A156" i="37"/>
  <c r="A77" i="37"/>
  <c r="D23" i="37"/>
  <c r="D48" i="36"/>
  <c r="C66" i="36"/>
  <c r="B32" i="36"/>
  <c r="E8" i="33"/>
  <c r="B68" i="36"/>
  <c r="D98" i="33"/>
  <c r="D132" i="34"/>
  <c r="E44" i="37"/>
  <c r="E83" i="31"/>
  <c r="A96" i="37"/>
  <c r="E65" i="35"/>
  <c r="D132" i="37"/>
  <c r="B109" i="36"/>
  <c r="E13" i="37"/>
  <c r="C108" i="34"/>
  <c r="A157" i="36"/>
  <c r="E9" i="34"/>
  <c r="E133" i="33"/>
  <c r="D109" i="33"/>
  <c r="E64" i="32"/>
  <c r="E106" i="37"/>
  <c r="B45" i="37"/>
  <c r="B117" i="32"/>
  <c r="B137" i="34"/>
  <c r="C127" i="37"/>
  <c r="B100" i="35"/>
  <c r="A101" i="34"/>
  <c r="B115" i="34"/>
  <c r="B115" i="36"/>
  <c r="A23" i="32"/>
  <c r="A104" i="37"/>
  <c r="C140" i="37"/>
  <c r="D22" i="36"/>
  <c r="D83" i="36"/>
  <c r="A20" i="36"/>
  <c r="C128" i="36"/>
  <c r="B16" i="31"/>
  <c r="C133" i="35"/>
  <c r="C124" i="34"/>
  <c r="E141" i="34"/>
  <c r="E110" i="36"/>
  <c r="E119" i="35"/>
  <c r="E125" i="35"/>
  <c r="E89" i="36"/>
  <c r="B48" i="32"/>
  <c r="D21" i="34"/>
  <c r="D17" i="34"/>
  <c r="C14" i="37"/>
  <c r="E6" i="35"/>
  <c r="C28" i="37"/>
  <c r="E90" i="30"/>
  <c r="E5" i="36"/>
  <c r="D114" i="37"/>
  <c r="D137" i="36"/>
  <c r="B20" i="32"/>
  <c r="D99" i="34"/>
  <c r="B120" i="36"/>
  <c r="B21" i="37"/>
  <c r="E110" i="37"/>
  <c r="C19" i="37"/>
  <c r="C40" i="34"/>
  <c r="B8" i="35"/>
  <c r="E29" i="37"/>
  <c r="C95" i="36"/>
  <c r="A152" i="33"/>
  <c r="D149" i="37"/>
  <c r="E121" i="37"/>
  <c r="E149" i="31"/>
  <c r="A33" i="36"/>
  <c r="A96" i="35"/>
  <c r="A60" i="33"/>
  <c r="B40" i="33"/>
  <c r="C86" i="37"/>
  <c r="E155" i="34"/>
  <c r="A137" i="36"/>
  <c r="E65" i="33"/>
  <c r="E53" i="35"/>
  <c r="C78" i="37"/>
  <c r="E24" i="31"/>
  <c r="D36" i="35"/>
  <c r="E112" i="33"/>
  <c r="D113" i="36"/>
  <c r="C85" i="36"/>
  <c r="B12" i="32"/>
  <c r="A15" i="35"/>
  <c r="C108" i="37"/>
  <c r="B58" i="31"/>
  <c r="E133" i="35"/>
  <c r="E127" i="31"/>
  <c r="E91" i="31"/>
  <c r="A13" i="35"/>
  <c r="B33" i="37"/>
  <c r="D108" i="35"/>
  <c r="E95" i="37"/>
  <c r="C153" i="35"/>
  <c r="C116" i="32"/>
  <c r="A80" i="37"/>
  <c r="D58" i="35"/>
  <c r="C82" i="37"/>
  <c r="E158" i="31"/>
  <c r="A127" i="37"/>
  <c r="D81" i="34"/>
  <c r="B87" i="32"/>
  <c r="D84" i="37"/>
  <c r="C53" i="37"/>
  <c r="A105" i="35"/>
  <c r="B133" i="36"/>
  <c r="E106" i="32"/>
  <c r="E37" i="33"/>
  <c r="B62" i="32"/>
  <c r="B65" i="35"/>
  <c r="D54" i="36"/>
  <c r="C87" i="37"/>
  <c r="E73" i="36"/>
  <c r="E101" i="34"/>
  <c r="D30" i="32"/>
  <c r="A58" i="36"/>
  <c r="D33" i="37"/>
  <c r="A115" i="34"/>
  <c r="D102" i="33"/>
  <c r="D139" i="37"/>
  <c r="A124" i="37"/>
  <c r="E23" i="37"/>
  <c r="D120" i="37"/>
  <c r="D153" i="37"/>
  <c r="E82" i="36"/>
  <c r="C5" i="35"/>
  <c r="B102" i="36"/>
  <c r="C139" i="37"/>
  <c r="D48" i="37"/>
  <c r="A2" i="36"/>
  <c r="E138" i="32"/>
  <c r="D59" i="33"/>
  <c r="C111" i="34"/>
  <c r="A114" i="33"/>
  <c r="E25" i="32"/>
  <c r="E130" i="35"/>
  <c r="A58" i="35"/>
  <c r="E141" i="37"/>
  <c r="E91" i="32"/>
  <c r="E18" i="32"/>
  <c r="B75" i="33"/>
  <c r="E134" i="31"/>
  <c r="E151" i="36"/>
  <c r="C137" i="34"/>
  <c r="E51" i="37"/>
  <c r="B69" i="36"/>
  <c r="B114" i="35"/>
  <c r="E143" i="34"/>
  <c r="D53" i="33"/>
  <c r="A146" i="37"/>
  <c r="B132" i="34"/>
  <c r="C67" i="34"/>
  <c r="E124" i="33"/>
  <c r="E6" i="36"/>
  <c r="D37" i="36"/>
  <c r="E129" i="31"/>
  <c r="B158" i="36"/>
  <c r="A124" i="36"/>
  <c r="E146" i="32"/>
  <c r="E36" i="37"/>
  <c r="E152" i="36"/>
  <c r="A79" i="34"/>
  <c r="D81" i="37"/>
  <c r="D77" i="36"/>
  <c r="E89" i="31"/>
  <c r="A84" i="37"/>
  <c r="B51" i="33"/>
  <c r="E33" i="36"/>
  <c r="B72" i="31"/>
  <c r="A2" i="32"/>
  <c r="B4" i="36"/>
  <c r="A132" i="35"/>
  <c r="E99" i="31"/>
  <c r="B146" i="37"/>
  <c r="C74" i="36"/>
  <c r="B4" i="37"/>
  <c r="E98" i="34"/>
  <c r="B8" i="36"/>
  <c r="D95" i="33"/>
  <c r="C110" i="37"/>
  <c r="B113" i="37"/>
  <c r="E27" i="33"/>
  <c r="C27" i="35"/>
  <c r="D156" i="35"/>
  <c r="C23" i="37"/>
  <c r="E81" i="32"/>
  <c r="C99" i="34"/>
  <c r="E42" i="32"/>
  <c r="B123" i="35"/>
  <c r="E70" i="37"/>
  <c r="E158" i="32"/>
  <c r="B29" i="36"/>
  <c r="E93" i="30"/>
  <c r="C146" i="34"/>
  <c r="E35" i="31"/>
  <c r="C118" i="37"/>
  <c r="C140" i="32"/>
  <c r="B148" i="33"/>
  <c r="E55" i="32"/>
  <c r="A60" i="36"/>
  <c r="E94" i="34"/>
  <c r="A141" i="34"/>
  <c r="A74" i="34"/>
  <c r="A16" i="37"/>
  <c r="B105" i="35"/>
  <c r="D69" i="34"/>
  <c r="A62" i="35"/>
  <c r="E105" i="35"/>
  <c r="C139" i="36"/>
  <c r="E99" i="32"/>
  <c r="B38" i="34"/>
  <c r="D18" i="33"/>
  <c r="C16" i="36"/>
  <c r="E148" i="36"/>
  <c r="D66" i="32"/>
  <c r="E54" i="35"/>
  <c r="E70" i="32"/>
  <c r="C41" i="33"/>
  <c r="E8" i="31"/>
  <c r="A13" i="33"/>
  <c r="E81" i="37"/>
  <c r="C146" i="36"/>
  <c r="E122" i="35"/>
  <c r="C73" i="37"/>
  <c r="E34" i="37"/>
  <c r="B35" i="36"/>
  <c r="D152" i="34"/>
  <c r="E91" i="34"/>
  <c r="E63" i="33"/>
  <c r="A18" i="35"/>
  <c r="E109" i="35"/>
  <c r="B155" i="35"/>
  <c r="A12" i="36"/>
  <c r="E23" i="35"/>
  <c r="A97" i="36"/>
  <c r="C149" i="34"/>
  <c r="B24" i="36"/>
  <c r="E16" i="37"/>
  <c r="C144" i="36"/>
  <c r="E48" i="33"/>
  <c r="C4" i="37"/>
  <c r="E116" i="34"/>
  <c r="C76" i="37"/>
  <c r="D103" i="34"/>
  <c r="E135" i="32"/>
  <c r="E157" i="33"/>
  <c r="E22" i="35"/>
  <c r="E12" i="35"/>
  <c r="D98" i="31"/>
  <c r="C122" i="36"/>
  <c r="B22" i="36"/>
  <c r="C3" i="35"/>
  <c r="A109" i="35"/>
  <c r="B66" i="37"/>
  <c r="E21" i="33"/>
  <c r="E29" i="30"/>
  <c r="B125" i="34"/>
  <c r="C64" i="34"/>
  <c r="C97" i="36"/>
  <c r="B128" i="37"/>
  <c r="E83" i="34"/>
  <c r="A157" i="37"/>
  <c r="E133" i="34"/>
  <c r="E27" i="32"/>
  <c r="F2" i="37" l="1" a="1"/>
  <c r="F2" i="37" s="1"/>
  <c r="F2" i="36" a="1"/>
  <c r="F2" i="36" s="1"/>
  <c r="F2" i="35" a="1"/>
  <c r="F2" i="35" s="1"/>
  <c r="F2" i="34" a="1"/>
  <c r="F2" i="34" s="1"/>
  <c r="F2" i="33" a="1"/>
  <c r="F2" i="33" s="1"/>
  <c r="F2" i="32" a="1"/>
  <c r="F2" i="32" s="1"/>
  <c r="F2" i="31" a="1"/>
  <c r="F2" i="31" s="1"/>
  <c r="F2" i="30" a="1"/>
  <c r="F2" i="30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<sst xmlns="http://schemas.openxmlformats.org/spreadsheetml/2006/main" count="7292" uniqueCount="310">
  <si>
    <t>Path for Temp file</t>
  </si>
  <si>
    <t>Path for generated R script</t>
  </si>
  <si>
    <t>Path for Coefficient file</t>
  </si>
  <si>
    <t>Path to system Rscript.exe</t>
  </si>
  <si>
    <t>RSE input #1 Name Location</t>
  </si>
  <si>
    <t>A1</t>
  </si>
  <si>
    <t>RSE input #2 Name Location</t>
  </si>
  <si>
    <t>B1</t>
  </si>
  <si>
    <t>RSE input #3 Name Location</t>
  </si>
  <si>
    <t>C1</t>
  </si>
  <si>
    <t>RSE input #4 Name Location</t>
  </si>
  <si>
    <t>D1</t>
  </si>
  <si>
    <t>RSE Output Name Location</t>
  </si>
  <si>
    <t>E1</t>
  </si>
  <si>
    <t>Result</t>
  </si>
  <si>
    <t>F1</t>
  </si>
  <si>
    <t>Formula</t>
  </si>
  <si>
    <t>G2</t>
  </si>
  <si>
    <t>Formula Header</t>
  </si>
  <si>
    <t>G1</t>
  </si>
  <si>
    <t>RLHP20 Location</t>
  </si>
  <si>
    <t>RLHP60 Location</t>
  </si>
  <si>
    <t>HP_ETW Location</t>
  </si>
  <si>
    <t>ETW Location</t>
  </si>
  <si>
    <t>FTP_1 Location</t>
  </si>
  <si>
    <t>FTP_2 Location</t>
  </si>
  <si>
    <t>FTP_3 Location</t>
  </si>
  <si>
    <t>HWFET Location</t>
  </si>
  <si>
    <t>US06_1 Location</t>
  </si>
  <si>
    <t>US06_2 Location</t>
  </si>
  <si>
    <t>Displacement Location</t>
  </si>
  <si>
    <t>Cylinders Location</t>
  </si>
  <si>
    <t>RLHP20</t>
  </si>
  <si>
    <t>RLHP60</t>
  </si>
  <si>
    <t>HP_ETW</t>
  </si>
  <si>
    <t>ETW</t>
  </si>
  <si>
    <t>CO2</t>
  </si>
  <si>
    <t>Displacement</t>
  </si>
  <si>
    <t>Cylinders</t>
  </si>
  <si>
    <t>CO2_FTP_1</t>
  </si>
  <si>
    <t>CO2_FTP_2</t>
  </si>
  <si>
    <t>CO2_FTP_3</t>
  </si>
  <si>
    <t>CO2_HWFET</t>
  </si>
  <si>
    <t>CO2_US06_1</t>
  </si>
  <si>
    <t>CO2_US06_2</t>
  </si>
  <si>
    <t>CM</t>
  </si>
  <si>
    <t>CN</t>
  </si>
  <si>
    <t>AQ</t>
  </si>
  <si>
    <t>AR</t>
  </si>
  <si>
    <t>HF</t>
  </si>
  <si>
    <t>HG</t>
  </si>
  <si>
    <t>HH</t>
  </si>
  <si>
    <t>HI</t>
  </si>
  <si>
    <t>CO</t>
  </si>
  <si>
    <t>CP</t>
  </si>
  <si>
    <t>CQ</t>
  </si>
  <si>
    <t>CR</t>
  </si>
  <si>
    <t>Configuration</t>
  </si>
  <si>
    <t>Vehicle Type</t>
  </si>
  <si>
    <t>Vehicle Manufacturer</t>
  </si>
  <si>
    <t>Vehicle Model</t>
  </si>
  <si>
    <t>Vehicle Description</t>
  </si>
  <si>
    <t>Package</t>
  </si>
  <si>
    <t>Network Path</t>
  </si>
  <si>
    <t>Filename</t>
  </si>
  <si>
    <t>Test Weight lbs</t>
  </si>
  <si>
    <t>ETW Multiplier</t>
  </si>
  <si>
    <t>RL A lbf</t>
  </si>
  <si>
    <t>RL B lbf/mph</t>
  </si>
  <si>
    <t>RL C lbf/mph2</t>
  </si>
  <si>
    <t>RL_ADJ A lbf</t>
  </si>
  <si>
    <t>RL_ADJ B lbf/mph</t>
  </si>
  <si>
    <t>RL_ADJ C lbf/mph2</t>
  </si>
  <si>
    <t>RL hp @ 50 mph</t>
  </si>
  <si>
    <t>RL Multiplier</t>
  </si>
  <si>
    <t>Shift Norm</t>
  </si>
  <si>
    <t>Transient Penalty</t>
  </si>
  <si>
    <t>Start Stop</t>
  </si>
  <si>
    <t>DEAC Scale</t>
  </si>
  <si>
    <t xml:space="preserve"> </t>
  </si>
  <si>
    <t>Electric</t>
  </si>
  <si>
    <t>Accessory</t>
  </si>
  <si>
    <t>Transmission</t>
  </si>
  <si>
    <t>Transmission Vintage</t>
  </si>
  <si>
    <t>Transmission Torque Rating Nm</t>
  </si>
  <si>
    <t>Gear Count</t>
  </si>
  <si>
    <t>Gear Ratios</t>
  </si>
  <si>
    <t>FDR</t>
  </si>
  <si>
    <t>AVG FDR Efficiency</t>
  </si>
  <si>
    <t>N/V</t>
  </si>
  <si>
    <t>N @ 60MPH</t>
  </si>
  <si>
    <t>Min Speed RPM</t>
  </si>
  <si>
    <t>Upshift Min Speed RPM</t>
  </si>
  <si>
    <t>K Factor RPM/sqrt(Nm)</t>
  </si>
  <si>
    <t>Torque Ratio</t>
  </si>
  <si>
    <t>Engine</t>
  </si>
  <si>
    <t>Engine Displacement L</t>
  </si>
  <si>
    <t>Engine Cylinders</t>
  </si>
  <si>
    <t>Engine Max Power kW</t>
  </si>
  <si>
    <t>Engine Max Torque Nm</t>
  </si>
  <si>
    <t>Engine Inertia kg-m2</t>
  </si>
  <si>
    <t>Engine Max Eff. %</t>
  </si>
  <si>
    <t>Engine Min BSFC g/kWh</t>
  </si>
  <si>
    <t>Engine Fuel ID</t>
  </si>
  <si>
    <t>Fast Fuel Torque Norm</t>
  </si>
  <si>
    <t>Engine Refuel Limit g/s</t>
  </si>
  <si>
    <t>Engine Throttle/Power Time Const secs</t>
  </si>
  <si>
    <t>Engine Boost secs</t>
  </si>
  <si>
    <t>EPA_FTP Total VOL MPG</t>
  </si>
  <si>
    <t>EPA_FTP Total CAFE MPG</t>
  </si>
  <si>
    <t>EPA_FTP GHG gCO2/mi</t>
  </si>
  <si>
    <t>EPA_HWFET Total VOL MPG</t>
  </si>
  <si>
    <t>EPA_HWFET Total CAFE MPG</t>
  </si>
  <si>
    <t>EPA_HWFET GHG gCO2/mi</t>
  </si>
  <si>
    <t>EPA_US06 Total VOL MPG</t>
  </si>
  <si>
    <t>EPA_US06 Total CAFE MPG</t>
  </si>
  <si>
    <t>EPA_US06 GHG gCO2/mi</t>
  </si>
  <si>
    <t>REVS_Performance_cruise75mph Total VOL MPG</t>
  </si>
  <si>
    <t>REVS_Performance_cruise75mph Total CAFE MPG</t>
  </si>
  <si>
    <t>REVS_Performance_cruise75mph GHG gCO2/mi</t>
  </si>
  <si>
    <t>EPA_FTP_1 VOL MPG</t>
  </si>
  <si>
    <t>EPA_FTP_2 VOL MPG</t>
  </si>
  <si>
    <t>EPA_FTP_3 VOL MPG</t>
  </si>
  <si>
    <t>EPA_HWFET VOL MPG</t>
  </si>
  <si>
    <t>EPA_US06_1 VOL MPG</t>
  </si>
  <si>
    <t>EPA_US06_2 VOL MPG</t>
  </si>
  <si>
    <t>EPA_FTP_1 CAFE MPG</t>
  </si>
  <si>
    <t>EPA_FTP_2 CAFE MPG</t>
  </si>
  <si>
    <t>EPA_FTP_3 CAFE MPG</t>
  </si>
  <si>
    <t>EPA_HWFET CAFE MPG</t>
  </si>
  <si>
    <t>EPA_US06_1 CAFE MPG</t>
  </si>
  <si>
    <t>EPA_US06_2 CAFE MPG</t>
  </si>
  <si>
    <t>EPA_FTP_1 gCO2/mi</t>
  </si>
  <si>
    <t>EPA_FTP_2 gCO2/mi</t>
  </si>
  <si>
    <t>EPA_FTP_3 gCO2/mi</t>
  </si>
  <si>
    <t>EPA_HWFET gCO2/mi</t>
  </si>
  <si>
    <t>EPA_US06_1 gCO2/mi</t>
  </si>
  <si>
    <t>EPA_US06_2 gCO2/mi</t>
  </si>
  <si>
    <t>EPA_FTP_1 Fuel Consumed</t>
  </si>
  <si>
    <t>EPA_FTP_2 Fuel Consumed</t>
  </si>
  <si>
    <t>EPA_FTP_3 Fuel Consumed</t>
  </si>
  <si>
    <t>EPA_HWFET Fuel Consumed</t>
  </si>
  <si>
    <t>EPA_US06_1 Fuel Consumed</t>
  </si>
  <si>
    <t>EPA_US06_2 Fuel Consumed</t>
  </si>
  <si>
    <t>EPA_FTP_1dist. mi</t>
  </si>
  <si>
    <t>EPA_FTP_1time secs</t>
  </si>
  <si>
    <t>EPA_FTP_2dist. mi</t>
  </si>
  <si>
    <t>EPA_FTP_2time secs</t>
  </si>
  <si>
    <t>EPA_FTP_3dist. mi</t>
  </si>
  <si>
    <t>EPA_FTP_3time secs</t>
  </si>
  <si>
    <t>EPA_HWFETdist. mi</t>
  </si>
  <si>
    <t>EPA_HWFETtime secs</t>
  </si>
  <si>
    <t>EPA_US06_1dist. mi</t>
  </si>
  <si>
    <t>EPA_US06_1time secs</t>
  </si>
  <si>
    <t>EPA_US06_2dist. mi</t>
  </si>
  <si>
    <t>EPA_US06_2time secs</t>
  </si>
  <si>
    <t>zero to thirty time</t>
  </si>
  <si>
    <t>zero to sixty time</t>
  </si>
  <si>
    <t>thirty to fifty time</t>
  </si>
  <si>
    <t>forty to sixty time</t>
  </si>
  <si>
    <t>fifty to seventy time</t>
  </si>
  <si>
    <t>quarter mi time</t>
  </si>
  <si>
    <t>total performance time</t>
  </si>
  <si>
    <t>quarter mile speed</t>
  </si>
  <si>
    <t>top speed</t>
  </si>
  <si>
    <t>gradeability %</t>
  </si>
  <si>
    <t>EPA_FTP_1 Engine Efficiency %</t>
  </si>
  <si>
    <t>EPA_FTP_1 Engine Load Factor</t>
  </si>
  <si>
    <t>EPA_FTP_1 Crankshaft Work kWh</t>
  </si>
  <si>
    <t>EPA_FTP_1 Transmission Work kWh</t>
  </si>
  <si>
    <t>EPA_FTP_1 Trans Efficiency %</t>
  </si>
  <si>
    <t>EPA_FTP_1 J2951 PT Efficiency %</t>
  </si>
  <si>
    <t>EPA_FTP_1 J2951 Roadload Energy J/m</t>
  </si>
  <si>
    <t>EPA_FTP_1 J2951 Roadload Avg Power kW</t>
  </si>
  <si>
    <t>EPA_FTP_1 Tgt UpShifts</t>
  </si>
  <si>
    <t>EPA_FTP_1 Tgt DownShifts</t>
  </si>
  <si>
    <t>EPA_FTP_1 UpShifts</t>
  </si>
  <si>
    <t>EPA_FTP_1 DownShifts</t>
  </si>
  <si>
    <t>EPA_FTP_2 Engine Efficiency %</t>
  </si>
  <si>
    <t>EPA_FTP_2 Engine Load Factor</t>
  </si>
  <si>
    <t>EPA_FTP_2 Crankshaft Work kWh</t>
  </si>
  <si>
    <t>EPA_FTP_2 Transmission Work kWh</t>
  </si>
  <si>
    <t>EPA_FTP_2 Trans Efficiency %</t>
  </si>
  <si>
    <t>EPA_FTP_2 J2951 PT Efficiency %</t>
  </si>
  <si>
    <t>EPA_FTP_2 J2951 Roadload Energy J/m</t>
  </si>
  <si>
    <t>EPA_FTP_2 J2951 Roadload Avg Power kW</t>
  </si>
  <si>
    <t>EPA_FTP_2 Tgt UpShifts</t>
  </si>
  <si>
    <t>EPA_FTP_2 Tgt DownShifts</t>
  </si>
  <si>
    <t>EPA_FTP_2 UpShifts</t>
  </si>
  <si>
    <t>EPA_FTP_2 DownShifts</t>
  </si>
  <si>
    <t>EPA_FTP_3 Engine Efficiency %</t>
  </si>
  <si>
    <t>EPA_FTP_3 Engine Load Factor</t>
  </si>
  <si>
    <t>EPA_FTP_3 Crankshaft Work kWh</t>
  </si>
  <si>
    <t>EPA_FTP_3 Transmission Work kWh</t>
  </si>
  <si>
    <t>EPA_FTP_3 Trans Efficiency %</t>
  </si>
  <si>
    <t>EPA_FTP_3 J2951 PT Efficiency %</t>
  </si>
  <si>
    <t>EPA_FTP_3 J2951 Roadload Energy J/m</t>
  </si>
  <si>
    <t>EPA_FTP_3 J2951 Roadload Avg Power kW</t>
  </si>
  <si>
    <t>EPA_FTP_3 Tgt UpShifts</t>
  </si>
  <si>
    <t>EPA_FTP_3 Tgt DownShifts</t>
  </si>
  <si>
    <t>EPA_FTP_3 UpShifts</t>
  </si>
  <si>
    <t>EPA_FTP_3 DownShifts</t>
  </si>
  <si>
    <t>EPA_HWFET Engine Efficiency %</t>
  </si>
  <si>
    <t>EPA_HWFET Engine Load Factor</t>
  </si>
  <si>
    <t>EPA_HWFET Crankshaft Work kWh</t>
  </si>
  <si>
    <t>EPA_HWFET Transmission Work kWh</t>
  </si>
  <si>
    <t>EPA_HWFET Trans Efficiency %</t>
  </si>
  <si>
    <t>EPA_HWFET J2951 PT Efficiency %</t>
  </si>
  <si>
    <t>EPA_HWFET J2951 Roadload Energy J/m</t>
  </si>
  <si>
    <t>EPA_HWFET J2951 Roadload Avg Power kW</t>
  </si>
  <si>
    <t>EPA_HWFET Tgt UpShifts</t>
  </si>
  <si>
    <t>EPA_HWFET Tgt DownShifts</t>
  </si>
  <si>
    <t>EPA_HWFET UpShifts</t>
  </si>
  <si>
    <t>EPA_HWFET DownShifts</t>
  </si>
  <si>
    <t>EPA_US06_1 Engine Efficiency %</t>
  </si>
  <si>
    <t>EPA_US06_1 Engine Load Factor</t>
  </si>
  <si>
    <t>EPA_US06_1 Crankshaft Work kWh</t>
  </si>
  <si>
    <t>EPA_US06_1 Transmission Work kWh</t>
  </si>
  <si>
    <t>EPA_US06_1 Trans Efficiency %</t>
  </si>
  <si>
    <t>EPA_US06_1 J2951 PT Efficiency %</t>
  </si>
  <si>
    <t>EPA_US06_1 J2951 Roadload Energy J/m</t>
  </si>
  <si>
    <t>EPA_US06_1 J2951 Roadload Avg Power kW</t>
  </si>
  <si>
    <t>EPA_US06_1 Tgt UpShifts</t>
  </si>
  <si>
    <t>EPA_US06_1 Tgt DownShifts</t>
  </si>
  <si>
    <t>EPA_US06_1 UpShifts</t>
  </si>
  <si>
    <t>EPA_US06_1 DownShifts</t>
  </si>
  <si>
    <t>EPA_US06_2 Engine Efficiency %</t>
  </si>
  <si>
    <t>EPA_US06_2 Engine Load Factor</t>
  </si>
  <si>
    <t>EPA_US06_2 Crankshaft Work kWh</t>
  </si>
  <si>
    <t>EPA_US06_2 Transmission Work kWh</t>
  </si>
  <si>
    <t>EPA_US06_2 Trans Efficiency %</t>
  </si>
  <si>
    <t>EPA_US06_2 J2951 PT Efficiency %</t>
  </si>
  <si>
    <t>EPA_US06_2 J2951 Roadload Energy J/m</t>
  </si>
  <si>
    <t>EPA_US06_2 J2951 Roadload Avg Power kW</t>
  </si>
  <si>
    <t>EPA_US06_2 Tgt UpShifts</t>
  </si>
  <si>
    <t>EPA_US06_2 Tgt DownShifts</t>
  </si>
  <si>
    <t>EPA_US06_2 UpShifts</t>
  </si>
  <si>
    <t>EPA_US06_2 DownShifts</t>
  </si>
  <si>
    <t>ETW_HP</t>
  </si>
  <si>
    <t>#</t>
  </si>
  <si>
    <t>lbs</t>
  </si>
  <si>
    <t>lbf</t>
  </si>
  <si>
    <t>lbf/mph</t>
  </si>
  <si>
    <t>lbf/mph^2</t>
  </si>
  <si>
    <t>hp</t>
  </si>
  <si>
    <t>%</t>
  </si>
  <si>
    <t>Name</t>
  </si>
  <si>
    <t>Nm</t>
  </si>
  <si>
    <t>RPM</t>
  </si>
  <si>
    <t>RPM/sqrt(Nm)</t>
  </si>
  <si>
    <t>L</t>
  </si>
  <si>
    <t>kW</t>
  </si>
  <si>
    <t>kg-m^2</t>
  </si>
  <si>
    <t>g/kWh</t>
  </si>
  <si>
    <t>ID</t>
  </si>
  <si>
    <t>g/s</t>
  </si>
  <si>
    <t>secs</t>
  </si>
  <si>
    <t>VOL MPG</t>
  </si>
  <si>
    <t>CAFE MPG</t>
  </si>
  <si>
    <t>gCO2/mi</t>
  </si>
  <si>
    <t>g Fuel</t>
  </si>
  <si>
    <t>dist. mi</t>
  </si>
  <si>
    <t>sec</t>
  </si>
  <si>
    <t>MPH</t>
  </si>
  <si>
    <t>Norm</t>
  </si>
  <si>
    <t>kWh</t>
  </si>
  <si>
    <t>J/m</t>
  </si>
  <si>
    <t>LB/HP</t>
  </si>
  <si>
    <t>HP/LB</t>
  </si>
  <si>
    <t>ICE_CAR</t>
  </si>
  <si>
    <t>GDI_TRX10_FWD_SS1</t>
  </si>
  <si>
    <t>output/ML_70516_sim/</t>
  </si>
  <si>
    <t>output/2022_09_15_17_30_39_Kevins-Mac-mini.local_ML_70516_Kevins-Mac-mini.local_M_LMDV_CVM_car_GDI_TRX10_FWD_SS1_results.csv</t>
  </si>
  <si>
    <t>---</t>
  </si>
  <si>
    <t>electric_EPS</t>
  </si>
  <si>
    <t>TRX10_FWD_MPW_LRL</t>
  </si>
  <si>
    <t>past</t>
  </si>
  <si>
    <t>[4.14 2.307 1.483 1.024 0.738]</t>
  </si>
  <si>
    <t>engine_2013_Chevrolet_Ecotec_LCV_2L5_Reg_E10</t>
  </si>
  <si>
    <t>2013 Chevrolet 2.5L Ecotec LCV Engine Reg E10 Fuel converted to 1.40L 3 Cylinder</t>
  </si>
  <si>
    <t>LMDV_TIER_3_REG</t>
  </si>
  <si>
    <t>Inf</t>
  </si>
  <si>
    <t>NaN</t>
  </si>
  <si>
    <t xml:space="preserve">#CATCH# </t>
  </si>
  <si>
    <t>2013 Chevrolet 2.5L Ecotec LCV Engine Reg E10 Fuel converted to 1.80L 3 Cylinder</t>
  </si>
  <si>
    <t>2013 Chevrolet 2.5L Ecotec LCV Engine Reg E10 Fuel converted to 2.20L 4 Cylinder</t>
  </si>
  <si>
    <t>2013 Chevrolet 2.5L Ecotec LCV Engine Reg E10 Fuel converted to 2.80L 4 Cylinder</t>
  </si>
  <si>
    <t>2013 Chevrolet 2.5L Ecotec LCV Engine Reg E10 Fuel converted to 1.60L 4 Cylinder</t>
  </si>
  <si>
    <t>output/ML_70517_sim/</t>
  </si>
  <si>
    <t>output/2022_09_15_17_30_39_Kevins-Mac-mini.local_ML_70517_Kevins-Mac-mini.local_M_LMDV_CVM_car_GDI_TRX10_FWD_SS1_results.csv</t>
  </si>
  <si>
    <t>2013 Chevrolet 2.5L Ecotec LCV Engine Reg E10 Fuel converted to 4.30L 6 Cylinder</t>
  </si>
  <si>
    <t>2013 Chevrolet 2.5L Ecotec LCV Engine Reg E10 Fuel converted to 2.50L 6 Cylinder</t>
  </si>
  <si>
    <t>2013 Chevrolet 2.5L Ecotec LCV Engine Reg E10 Fuel converted to 3.40L 6 Cylinder</t>
  </si>
  <si>
    <t>output/ML_70518_sim/</t>
  </si>
  <si>
    <t>output/2022_09_15_17_30_39_Kevins-Mac-mini.local_ML_70518_Kevins-Mac-mini.local_M_LMDV_CVM_car_GDI_TRX10_FWD_SS1_results.csv</t>
  </si>
  <si>
    <t>2013 Chevrolet 2.5L Ecotec LCV Engine Reg E10 Fuel converted to 4.00L 8 Cylinder</t>
  </si>
  <si>
    <t>2013 Chevrolet 2.5L Ecotec LCV Engine Reg E10 Fuel converted to 5.50L 8 Cylinder</t>
  </si>
  <si>
    <t>2013 Chevrolet 2.5L Ecotec LCV Engine Reg E10 Fuel converted to 7.00L 8 Cylinder</t>
  </si>
  <si>
    <t>CO2-RSE</t>
  </si>
  <si>
    <t>Displacement-RSE</t>
  </si>
  <si>
    <t>Cylinders-RSE</t>
  </si>
  <si>
    <t>ttt_1.csv</t>
  </si>
  <si>
    <t>(10.004056004844074 + 0.0 * 1 + -2109.8394648546255 * RLHP20 + -2816.925035148393 * RLHP60 + 91.19050684411178 * HP_ETW + 0.035559930401323214 * ETW + 3213472.5119945793 * RLHP20^2 + 561986.7913075276 * RLHP20 * RLHP60 + -29456.208546334397 * RLHP20 * HP_ETW + 16.276290998633247 * RLHP20 * ETW + 474562.10943497467 * RLHP60^2 + -24328.203117551355 * RLHP60 * HP_ETW + 3.9180921438960676 * RLHP60 * ETW + 2084.7114779128224 * HP_ETW^2 + 0.23737207364026983 * HP_ETW * ETW + -1.1898055163328536e-07 * ETW^2)</t>
  </si>
  <si>
    <t>(11.075138829551918 + 0.0 * 1 + -443.7672918904967 * RLHP20 + -1022.4343250527916 * RLHP60 + 160.1947597145794 * HP_ETW + 0.0336630901822944 * ETW + 4714546.363845072 * RLHP20^2 + 365310.4866478214 * RLHP20 * RLHP60 + -9480.222476019519 * RLHP20 * HP_ETW + 23.14525313817591 * RLHP20 * ETW + 52232.71647240157 * RLHP60^2 + 9598.700289817649 * RLHP60 * HP_ETW + 0.4768856482339942 * RLHP60 * ETW + 1138.2670748718033 * HP_ETW^2 + 0.4029840726969222 * HP_ETW * ETW + -2.7112889711133903e-08 * ETW^2)</t>
  </si>
  <si>
    <t>(9.007974766363191 + 0.0 * 1 + -2019.7639858649839 * RLHP20 + -2416.7026862694306 * RLHP60 + 62.27556289653504 * HP_ETW + 0.030831515676047583 * ETW + 2857738.936018271 * RLHP20^2 + 456824.02627695084 * RLHP20 * RLHP60 + -25035.14985193327 * RLHP20 * HP_ETW + 14.190840156317334 * RLHP20 * ETW + 414230.4627530529 * RLHP60^2 + -21320.21309402355 * RLHP60 * HP_ETW + 3.405282724793537 * RLHP60 * ETW + 1883.8661261888424 * HP_ETW^2 + 0.19866177852596292 * HP_ETW * ETW + -9.991276783694047e-08 * ETW^2)</t>
  </si>
  <si>
    <t>(14.525611009544093 + 0.0 * 1 + -6131.429567264136 * RLHP20 + -3945.2553702709542 * RLHP60 + 204.1599744570514 * HP_ETW + 0.009675756635496913 * ETW + 3573552.622019964 * RLHP20^2 + 640175.1764313806 * RLHP20 * RLHP60 + -64337.39800181774 * RLHP20 * HP_ETW + 8.800187873582518 * RLHP20 * ETW + 596290.2519563149 * RLHP60^2 + -56603.57186914477 * RLHP60 * HP_ETW + 6.464325300710761 * RLHP60 * ETW + 2856.0448997673197 * HP_ETW^2 + 0.09264163247490881 * HP_ETW * ETW + -3.1138370104599744e-08 * ETW^2)</t>
  </si>
  <si>
    <t>(37.922048109589809 + 0.0 * 1 + 16550.341213619708 * RLHP20 + -4408.54561191313 * RLHP60 + -832.7833989278455 * HP_ETW + 0.10364127585389116 * ETW + -753384.8426817441 * RLHP20^2 + 1833884.76824117 * RLHP20 * RLHP60 + -143852.34104518208 * RLHP20 * HP_ETW + 4.435572639182851 * RLHP20 * ETW + 562125.8079002494 * RLHP60^2 + -10270.3711883154 * RLHP60 * HP_ETW + 3.6757539335937115 * RLHP60 * ETW + 12702.407460890921 * HP_ETW^2 + -0.13129334241216925 * HP_ETW * ETW + 3.075183485634625e-07 * ETW^2)</t>
  </si>
  <si>
    <t>(18.241531855684968 + 0.0 * 1 + 21678.561085745874 * RLHP20 + -18789.2057225698 * RLHP60 + 565.5791496094379 * HP_ETW + 0.01956885761226701 * ETW + -144017.8039425323 * RLHP20^2 + -2385114.1547617605 * RLHP20 * RLHP60 + 15763.421493719496 * RLHP20 * HP_ETW + -8.627568683757085 * RLHP20 * ETW + 2268470.9017797597 * RLHP60^2 + -111828.36052425025 * RLHP60 * HP_ETW + 12.683406679888645 * RLHP60 * ETW + 2470.111700766891 * HP_ETW^2 + -0.029969554733194848 * HP_ETW * ETW + -1.7203274182975292e-07 * ETW^2)</t>
  </si>
  <si>
    <t>(0.006649467508949 + 0.0 * 1 + 237.68175464770226 * RLHP20 + -5.134933947378221 * RLHP60 + 1.6856343436244203 * HP_ETW + -3.896903307185062e-05 * ETW + -91134.2245357607 * RLHP20^2 + -2148.8158950392085 * RLHP20 * RLHP60 + -43.918363180151374 * RLHP20 * HP_ETW + -0.016773250337981573 * RLHP20 * ETW + 543.2271087610185 * RLHP60^2 + 51.80106251687314 * RLHP60 * HP_ETW + -0.00026341431062815537 * RLHP60 * ETW + -11.493217104134118 * HP_ETW^2 + 0.013147253922672257 * HP_ETW * ETW + 3.833065420622006e-09 * ETW^2)</t>
  </si>
  <si>
    <t>(-5.914404525357903 + 0.0 * 1 + 1079.7806305378133 * RLHP20 + -68.36393751915348 * RLHP60 + 171.1744483328197 * HP_ETW + 0.0014965665692878022 * ETW + -22644.12935985399 * RLHP20^2 + 35307.190575390494 * RLHP20 * RLHP60 + -2838.919340222209 * RLHP20 * HP_ETW + -0.22452394569504514 * RLHP20 * ETW + -2229.841159962741 * RLHP60^2 + 137.85882879128533 * RLHP60 * HP_ETW + 0.007651619867647138 * RLHP60 * ETW + -644.9404056475579 * HP_ETW^2 + -0.004828309944232801 * HP_ETW * ETW + -5.1341430662432685e-08 * ETW^2)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</si>
</sst>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applyAlignment="1">
      <alignment horizontal="center" vertical="center"/>
    </xf>
    <xf numFmtId="0" fontId="18" fillId="0" borderId="0" xfId="0" applyFont="1" applyAlignment="1">
      <alignment horizontal="left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FTP_1!$F$1</c:f>
              <c:strCache>
                <c:ptCount val="1"/>
                <c:pt idx="0">
                  <c:v>CO2-RSE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FTP_1!$E$2:$E$158</c:f>
              <c:numCache>
                <c:formatCode>General</c:formatCode>
                <c:ptCount val="157"/>
                <c:pt idx="0">
                  <c:v>213.351179</c:v>
                </c:pt>
                <c:pt idx="1">
                  <c:v>271.56359300000003</c:v>
                </c:pt>
                <c:pt idx="2">
                  <c:v>235.87024299999999</c:v>
                </c:pt>
                <c:pt idx="3">
                  <c:v>300.84747299999998</c:v>
                </c:pt>
                <c:pt idx="4">
                  <c:v>259.118472</c:v>
                </c:pt>
                <c:pt idx="5">
                  <c:v>332.52328399999999</c:v>
                </c:pt>
                <c:pt idx="6">
                  <c:v>239.610455</c:v>
                </c:pt>
                <c:pt idx="7">
                  <c:v>304.90435300000001</c:v>
                </c:pt>
                <c:pt idx="8">
                  <c:v>266.01151599999997</c:v>
                </c:pt>
                <c:pt idx="9">
                  <c:v>341.494462</c:v>
                </c:pt>
                <c:pt idx="10">
                  <c:v>381.40389499999998</c:v>
                </c:pt>
                <c:pt idx="11">
                  <c:v>266.44933099999997</c:v>
                </c:pt>
                <c:pt idx="12">
                  <c:v>341.55790999999999</c:v>
                </c:pt>
                <c:pt idx="13">
                  <c:v>287.37071200000003</c:v>
                </c:pt>
                <c:pt idx="14">
                  <c:v>369.35771699999998</c:v>
                </c:pt>
                <c:pt idx="15">
                  <c:v>399.94703700000002</c:v>
                </c:pt>
                <c:pt idx="16">
                  <c:v>299.64027199999998</c:v>
                </c:pt>
                <c:pt idx="17">
                  <c:v>363.69812899999999</c:v>
                </c:pt>
                <c:pt idx="18">
                  <c:v>318.68699700000002</c:v>
                </c:pt>
                <c:pt idx="19">
                  <c:v>386.27533399999999</c:v>
                </c:pt>
                <c:pt idx="20">
                  <c:v>337.59602899999999</c:v>
                </c:pt>
                <c:pt idx="21">
                  <c:v>410.90610900000001</c:v>
                </c:pt>
                <c:pt idx="22">
                  <c:v>264.15188999999998</c:v>
                </c:pt>
                <c:pt idx="23">
                  <c:v>247.69477000000001</c:v>
                </c:pt>
                <c:pt idx="24">
                  <c:v>334.23138299999999</c:v>
                </c:pt>
                <c:pt idx="25">
                  <c:v>406.45403599999997</c:v>
                </c:pt>
                <c:pt idx="26">
                  <c:v>237.29702800000001</c:v>
                </c:pt>
                <c:pt idx="27">
                  <c:v>289.840734</c:v>
                </c:pt>
                <c:pt idx="28">
                  <c:v>273.55230799999998</c:v>
                </c:pt>
                <c:pt idx="29">
                  <c:v>370.822069</c:v>
                </c:pt>
                <c:pt idx="30">
                  <c:v>451.77830599999999</c:v>
                </c:pt>
                <c:pt idx="31">
                  <c:v>259.64230400000002</c:v>
                </c:pt>
                <c:pt idx="32">
                  <c:v>317.91967</c:v>
                </c:pt>
                <c:pt idx="33">
                  <c:v>301.46015999999997</c:v>
                </c:pt>
                <c:pt idx="34">
                  <c:v>412.51493599999998</c:v>
                </c:pt>
                <c:pt idx="35">
                  <c:v>502.286586</c:v>
                </c:pt>
                <c:pt idx="36">
                  <c:v>293.66331400000001</c:v>
                </c:pt>
                <c:pt idx="37">
                  <c:v>277.20852100000002</c:v>
                </c:pt>
                <c:pt idx="38">
                  <c:v>377.06175999999999</c:v>
                </c:pt>
                <c:pt idx="39">
                  <c:v>459.52932800000002</c:v>
                </c:pt>
                <c:pt idx="40">
                  <c:v>265.94533300000001</c:v>
                </c:pt>
                <c:pt idx="41">
                  <c:v>324.89443999999997</c:v>
                </c:pt>
                <c:pt idx="42">
                  <c:v>309.58935500000001</c:v>
                </c:pt>
                <c:pt idx="43">
                  <c:v>423.11845199999999</c:v>
                </c:pt>
                <c:pt idx="44">
                  <c:v>516.56284700000003</c:v>
                </c:pt>
                <c:pt idx="45">
                  <c:v>472.62609600000002</c:v>
                </c:pt>
                <c:pt idx="46">
                  <c:v>574.82851100000005</c:v>
                </c:pt>
                <c:pt idx="47">
                  <c:v>324.97970800000002</c:v>
                </c:pt>
                <c:pt idx="48">
                  <c:v>309.29530799999998</c:v>
                </c:pt>
                <c:pt idx="49">
                  <c:v>424.04286300000001</c:v>
                </c:pt>
                <c:pt idx="50">
                  <c:v>514.40993700000001</c:v>
                </c:pt>
                <c:pt idx="51">
                  <c:v>346.87917800000002</c:v>
                </c:pt>
                <c:pt idx="52">
                  <c:v>335.53814699999998</c:v>
                </c:pt>
                <c:pt idx="53">
                  <c:v>459.922887</c:v>
                </c:pt>
                <c:pt idx="54">
                  <c:v>561.37266299999999</c:v>
                </c:pt>
                <c:pt idx="55">
                  <c:v>495.08682299999998</c:v>
                </c:pt>
                <c:pt idx="56">
                  <c:v>602.82892300000003</c:v>
                </c:pt>
                <c:pt idx="57">
                  <c:v>372.59556099999998</c:v>
                </c:pt>
                <c:pt idx="58">
                  <c:v>346.162869</c:v>
                </c:pt>
                <c:pt idx="59">
                  <c:v>451.38122800000002</c:v>
                </c:pt>
                <c:pt idx="60">
                  <c:v>554.05878199999995</c:v>
                </c:pt>
                <c:pt idx="61">
                  <c:v>394.72116</c:v>
                </c:pt>
                <c:pt idx="62">
                  <c:v>367.79927400000003</c:v>
                </c:pt>
                <c:pt idx="63">
                  <c:v>479.85001899999997</c:v>
                </c:pt>
                <c:pt idx="64">
                  <c:v>590.15406299999995</c:v>
                </c:pt>
                <c:pt idx="65">
                  <c:v>417.82119699999998</c:v>
                </c:pt>
                <c:pt idx="66">
                  <c:v>391.35901899999999</c:v>
                </c:pt>
                <c:pt idx="67">
                  <c:v>510.80646300000001</c:v>
                </c:pt>
                <c:pt idx="68">
                  <c:v>628.19983300000001</c:v>
                </c:pt>
                <c:pt idx="69">
                  <c:v>248.068341</c:v>
                </c:pt>
                <c:pt idx="70">
                  <c:v>322.16657900000001</c:v>
                </c:pt>
                <c:pt idx="71">
                  <c:v>414.15662400000002</c:v>
                </c:pt>
                <c:pt idx="72">
                  <c:v>386.76280400000002</c:v>
                </c:pt>
                <c:pt idx="73">
                  <c:v>505.79611899999998</c:v>
                </c:pt>
                <c:pt idx="74">
                  <c:v>622.23944400000005</c:v>
                </c:pt>
                <c:pt idx="75">
                  <c:v>271.75068099999999</c:v>
                </c:pt>
                <c:pt idx="76">
                  <c:v>353.44651099999999</c:v>
                </c:pt>
                <c:pt idx="77">
                  <c:v>456.773934</c:v>
                </c:pt>
                <c:pt idx="78">
                  <c:v>429.56818199999998</c:v>
                </c:pt>
                <c:pt idx="79">
                  <c:v>561.79854899999998</c:v>
                </c:pt>
                <c:pt idx="80">
                  <c:v>692.82342500000004</c:v>
                </c:pt>
                <c:pt idx="81">
                  <c:v>297.40843100000001</c:v>
                </c:pt>
                <c:pt idx="82">
                  <c:v>387.01195999999999</c:v>
                </c:pt>
                <c:pt idx="83">
                  <c:v>497.28508399999998</c:v>
                </c:pt>
                <c:pt idx="84">
                  <c:v>477.22157199999998</c:v>
                </c:pt>
                <c:pt idx="85">
                  <c:v>275.48371800000001</c:v>
                </c:pt>
                <c:pt idx="86">
                  <c:v>358.19341800000001</c:v>
                </c:pt>
                <c:pt idx="87">
                  <c:v>462.252115</c:v>
                </c:pt>
                <c:pt idx="88">
                  <c:v>436.82935600000002</c:v>
                </c:pt>
                <c:pt idx="89">
                  <c:v>304.72173400000003</c:v>
                </c:pt>
                <c:pt idx="90">
                  <c:v>396.90722199999999</c:v>
                </c:pt>
                <c:pt idx="91">
                  <c:v>509.90367500000002</c:v>
                </c:pt>
                <c:pt idx="92">
                  <c:v>490.93437499999999</c:v>
                </c:pt>
                <c:pt idx="93">
                  <c:v>435.94275499999998</c:v>
                </c:pt>
                <c:pt idx="94">
                  <c:v>561.82315300000005</c:v>
                </c:pt>
                <c:pt idx="95">
                  <c:v>546.49482699999999</c:v>
                </c:pt>
                <c:pt idx="96">
                  <c:v>304.16200700000002</c:v>
                </c:pt>
                <c:pt idx="97">
                  <c:v>395.88565299999999</c:v>
                </c:pt>
                <c:pt idx="98">
                  <c:v>509.95925499999998</c:v>
                </c:pt>
                <c:pt idx="99">
                  <c:v>491.35038800000001</c:v>
                </c:pt>
                <c:pt idx="100">
                  <c:v>326.257654</c:v>
                </c:pt>
                <c:pt idx="101">
                  <c:v>425.10857700000003</c:v>
                </c:pt>
                <c:pt idx="102">
                  <c:v>546.60625100000004</c:v>
                </c:pt>
                <c:pt idx="103">
                  <c:v>532.09544000000005</c:v>
                </c:pt>
                <c:pt idx="104">
                  <c:v>454.328282</c:v>
                </c:pt>
                <c:pt idx="105">
                  <c:v>587.19697199999996</c:v>
                </c:pt>
                <c:pt idx="106">
                  <c:v>573.00094899999999</c:v>
                </c:pt>
                <c:pt idx="107">
                  <c:v>354.14446700000002</c:v>
                </c:pt>
                <c:pt idx="108">
                  <c:v>466.30241999999998</c:v>
                </c:pt>
                <c:pt idx="109">
                  <c:v>590.48423300000002</c:v>
                </c:pt>
                <c:pt idx="110">
                  <c:v>539.50915499999996</c:v>
                </c:pt>
                <c:pt idx="111">
                  <c:v>374.03551800000002</c:v>
                </c:pt>
                <c:pt idx="112">
                  <c:v>494.37611299999998</c:v>
                </c:pt>
                <c:pt idx="113">
                  <c:v>623.56577700000003</c:v>
                </c:pt>
                <c:pt idx="114">
                  <c:v>573.87638900000002</c:v>
                </c:pt>
                <c:pt idx="115">
                  <c:v>395.61626799999999</c:v>
                </c:pt>
                <c:pt idx="116">
                  <c:v>525.52846199999999</c:v>
                </c:pt>
                <c:pt idx="117">
                  <c:v>659.69786299999998</c:v>
                </c:pt>
                <c:pt idx="118">
                  <c:v>610.56972800000005</c:v>
                </c:pt>
                <c:pt idx="119">
                  <c:v>387.94992999999999</c:v>
                </c:pt>
                <c:pt idx="120">
                  <c:v>333.04011100000002</c:v>
                </c:pt>
                <c:pt idx="121">
                  <c:v>423.22992799999997</c:v>
                </c:pt>
                <c:pt idx="122">
                  <c:v>391.75614100000001</c:v>
                </c:pt>
                <c:pt idx="123">
                  <c:v>518.61795099999995</c:v>
                </c:pt>
                <c:pt idx="124">
                  <c:v>653.53715699999998</c:v>
                </c:pt>
                <c:pt idx="125">
                  <c:v>604.51538400000004</c:v>
                </c:pt>
                <c:pt idx="126">
                  <c:v>413.91466000000003</c:v>
                </c:pt>
                <c:pt idx="127">
                  <c:v>357.713345</c:v>
                </c:pt>
                <c:pt idx="128">
                  <c:v>454.05948100000001</c:v>
                </c:pt>
                <c:pt idx="129">
                  <c:v>432.16097200000002</c:v>
                </c:pt>
                <c:pt idx="130">
                  <c:v>570.35266100000001</c:v>
                </c:pt>
                <c:pt idx="131">
                  <c:v>716.41963399999997</c:v>
                </c:pt>
                <c:pt idx="132">
                  <c:v>671.69207200000005</c:v>
                </c:pt>
                <c:pt idx="133">
                  <c:v>440.31494099999998</c:v>
                </c:pt>
                <c:pt idx="134">
                  <c:v>383.01226200000002</c:v>
                </c:pt>
                <c:pt idx="135">
                  <c:v>485.64771400000001</c:v>
                </c:pt>
                <c:pt idx="136">
                  <c:v>471.10915499999999</c:v>
                </c:pt>
                <c:pt idx="137">
                  <c:v>419.12552399999998</c:v>
                </c:pt>
                <c:pt idx="138">
                  <c:v>362.817498</c:v>
                </c:pt>
                <c:pt idx="139">
                  <c:v>460.31551200000001</c:v>
                </c:pt>
                <c:pt idx="140">
                  <c:v>436.76051000000001</c:v>
                </c:pt>
                <c:pt idx="141">
                  <c:v>449.25105600000001</c:v>
                </c:pt>
                <c:pt idx="142">
                  <c:v>391.62848400000001</c:v>
                </c:pt>
                <c:pt idx="143">
                  <c:v>496.260536</c:v>
                </c:pt>
                <c:pt idx="144">
                  <c:v>482.991016</c:v>
                </c:pt>
                <c:pt idx="145">
                  <c:v>531.68678599999998</c:v>
                </c:pt>
                <c:pt idx="146">
                  <c:v>528.83628699999997</c:v>
                </c:pt>
                <c:pt idx="147">
                  <c:v>450.990116</c:v>
                </c:pt>
                <c:pt idx="148">
                  <c:v>392.83207900000002</c:v>
                </c:pt>
                <c:pt idx="149">
                  <c:v>497.989014</c:v>
                </c:pt>
                <c:pt idx="150">
                  <c:v>482.825401</c:v>
                </c:pt>
                <c:pt idx="151">
                  <c:v>473.78491500000001</c:v>
                </c:pt>
                <c:pt idx="152">
                  <c:v>414.92141800000002</c:v>
                </c:pt>
                <c:pt idx="153">
                  <c:v>524.98231399999997</c:v>
                </c:pt>
                <c:pt idx="154">
                  <c:v>517.28974300000004</c:v>
                </c:pt>
                <c:pt idx="155">
                  <c:v>551.61400800000001</c:v>
                </c:pt>
                <c:pt idx="156">
                  <c:v>552.83643300000006</c:v>
                </c:pt>
              </c:numCache>
            </c:numRef>
          </c:xVal>
          <c:yVal>
            <c:numRef>
              <c:f>FTP_1!$F$2:$F$158</c:f>
              <c:numCache>
                <c:formatCode>General</c:formatCode>
                <c:ptCount val="157"/>
                <c:pt idx="0">
                  <c:v>212.54640634229736</c:v>
                </c:pt>
                <c:pt idx="1">
                  <c:v>274.7635528888635</c:v>
                </c:pt>
                <c:pt idx="2">
                  <c:v>235.455560092512</c:v>
                </c:pt>
                <c:pt idx="3">
                  <c:v>304.52936789089625</c:v>
                </c:pt>
                <c:pt idx="4">
                  <c:v>261.27140676301588</c:v>
                </c:pt>
                <c:pt idx="5">
                  <c:v>337.20187581321824</c:v>
                </c:pt>
                <c:pt idx="6">
                  <c:v>239.30710368800354</c:v>
                </c:pt>
                <c:pt idx="7">
                  <c:v>309.51141512812404</c:v>
                </c:pt>
                <c:pt idx="8">
                  <c:v>267.90551657635996</c:v>
                </c:pt>
                <c:pt idx="9">
                  <c:v>345.94601230427264</c:v>
                </c:pt>
                <c:pt idx="10">
                  <c:v>386.17710635590089</c:v>
                </c:pt>
                <c:pt idx="11">
                  <c:v>267.69960271223272</c:v>
                </c:pt>
                <c:pt idx="12">
                  <c:v>345.89107904590759</c:v>
                </c:pt>
                <c:pt idx="13">
                  <c:v>290.42692217146907</c:v>
                </c:pt>
                <c:pt idx="14">
                  <c:v>374.49553672098801</c:v>
                </c:pt>
                <c:pt idx="15">
                  <c:v>405.23552388852585</c:v>
                </c:pt>
                <c:pt idx="16">
                  <c:v>299.903606546216</c:v>
                </c:pt>
                <c:pt idx="17">
                  <c:v>368.07626761934335</c:v>
                </c:pt>
                <c:pt idx="18">
                  <c:v>319.41329267492301</c:v>
                </c:pt>
                <c:pt idx="19">
                  <c:v>392.48356892792054</c:v>
                </c:pt>
                <c:pt idx="20">
                  <c:v>339.87210302250003</c:v>
                </c:pt>
                <c:pt idx="21">
                  <c:v>417.83999445536762</c:v>
                </c:pt>
                <c:pt idx="22">
                  <c:v>268.76944658165667</c:v>
                </c:pt>
                <c:pt idx="23">
                  <c:v>243.68472475348878</c:v>
                </c:pt>
                <c:pt idx="24">
                  <c:v>336.74273833216307</c:v>
                </c:pt>
                <c:pt idx="25">
                  <c:v>413.88208733481889</c:v>
                </c:pt>
                <c:pt idx="26">
                  <c:v>238.09503028653799</c:v>
                </c:pt>
                <c:pt idx="27">
                  <c:v>294.11503362437315</c:v>
                </c:pt>
                <c:pt idx="28">
                  <c:v>270.02220912961246</c:v>
                </c:pt>
                <c:pt idx="29">
                  <c:v>373.36521458601396</c:v>
                </c:pt>
                <c:pt idx="30">
                  <c:v>459.07539015344236</c:v>
                </c:pt>
                <c:pt idx="31">
                  <c:v>261.20481431068009</c:v>
                </c:pt>
                <c:pt idx="32">
                  <c:v>322.36731358737882</c:v>
                </c:pt>
                <c:pt idx="33">
                  <c:v>299.26638642602541</c:v>
                </c:pt>
                <c:pt idx="34">
                  <c:v>412.89438376015403</c:v>
                </c:pt>
                <c:pt idx="35">
                  <c:v>507.17538589235505</c:v>
                </c:pt>
                <c:pt idx="36">
                  <c:v>298.78536021122915</c:v>
                </c:pt>
                <c:pt idx="37">
                  <c:v>274.43900454597207</c:v>
                </c:pt>
                <c:pt idx="38">
                  <c:v>379.47776546497801</c:v>
                </c:pt>
                <c:pt idx="39">
                  <c:v>466.60107058457669</c:v>
                </c:pt>
                <c:pt idx="40">
                  <c:v>267.42324900603489</c:v>
                </c:pt>
                <c:pt idx="41">
                  <c:v>330.16826829101626</c:v>
                </c:pt>
                <c:pt idx="42">
                  <c:v>306.95550957822468</c:v>
                </c:pt>
                <c:pt idx="43">
                  <c:v>423.74854692891859</c:v>
                </c:pt>
                <c:pt idx="44">
                  <c:v>520.66708240825756</c:v>
                </c:pt>
                <c:pt idx="45">
                  <c:v>471.81582526833904</c:v>
                </c:pt>
                <c:pt idx="46">
                  <c:v>578.52959110741813</c:v>
                </c:pt>
                <c:pt idx="47">
                  <c:v>330.43307551932469</c:v>
                </c:pt>
                <c:pt idx="48">
                  <c:v>306.8250860169785</c:v>
                </c:pt>
                <c:pt idx="49">
                  <c:v>423.84459427631589</c:v>
                </c:pt>
                <c:pt idx="50">
                  <c:v>520.95185551285772</c:v>
                </c:pt>
                <c:pt idx="51">
                  <c:v>355.24876637213407</c:v>
                </c:pt>
                <c:pt idx="52">
                  <c:v>332.49097458413689</c:v>
                </c:pt>
                <c:pt idx="53">
                  <c:v>458.32619016724038</c:v>
                </c:pt>
                <c:pt idx="54">
                  <c:v>562.77987417358713</c:v>
                </c:pt>
                <c:pt idx="55">
                  <c:v>494.94331555062229</c:v>
                </c:pt>
                <c:pt idx="56">
                  <c:v>606.74342232677418</c:v>
                </c:pt>
                <c:pt idx="57">
                  <c:v>379.08375813695784</c:v>
                </c:pt>
                <c:pt idx="58">
                  <c:v>340.85182089695491</c:v>
                </c:pt>
                <c:pt idx="59">
                  <c:v>449.39266613160902</c:v>
                </c:pt>
                <c:pt idx="60">
                  <c:v>556.98166695319685</c:v>
                </c:pt>
                <c:pt idx="61">
                  <c:v>400.9652148973542</c:v>
                </c:pt>
                <c:pt idx="62">
                  <c:v>363.30007613358407</c:v>
                </c:pt>
                <c:pt idx="63">
                  <c:v>479.67710565603028</c:v>
                </c:pt>
                <c:pt idx="64">
                  <c:v>595.10229076541032</c:v>
                </c:pt>
                <c:pt idx="65">
                  <c:v>423.79579587662056</c:v>
                </c:pt>
                <c:pt idx="66">
                  <c:v>386.69745558908312</c:v>
                </c:pt>
                <c:pt idx="67">
                  <c:v>510.91066939932148</c:v>
                </c:pt>
                <c:pt idx="68">
                  <c:v>634.17203879649367</c:v>
                </c:pt>
                <c:pt idx="69">
                  <c:v>243.34742452224435</c:v>
                </c:pt>
                <c:pt idx="70">
                  <c:v>319.51310086004077</c:v>
                </c:pt>
                <c:pt idx="71">
                  <c:v>420.59885005504668</c:v>
                </c:pt>
                <c:pt idx="72">
                  <c:v>383.07096544061903</c:v>
                </c:pt>
                <c:pt idx="73">
                  <c:v>505.95851136251872</c:v>
                </c:pt>
                <c:pt idx="74">
                  <c:v>627.8942128713519</c:v>
                </c:pt>
                <c:pt idx="75">
                  <c:v>266.12176359552905</c:v>
                </c:pt>
                <c:pt idx="76">
                  <c:v>350.00118384162084</c:v>
                </c:pt>
                <c:pt idx="77">
                  <c:v>461.37192491435388</c:v>
                </c:pt>
                <c:pt idx="78">
                  <c:v>424.83593763333351</c:v>
                </c:pt>
                <c:pt idx="79">
                  <c:v>561.43680605886925</c:v>
                </c:pt>
                <c:pt idx="80">
                  <c:v>697.08583007133882</c:v>
                </c:pt>
                <c:pt idx="81">
                  <c:v>291.80279558910286</c:v>
                </c:pt>
                <c:pt idx="82">
                  <c:v>383.39595974349004</c:v>
                </c:pt>
                <c:pt idx="83">
                  <c:v>505.05169269395026</c:v>
                </c:pt>
                <c:pt idx="84">
                  <c:v>469.50760274633717</c:v>
                </c:pt>
                <c:pt idx="85">
                  <c:v>270.36815131673393</c:v>
                </c:pt>
                <c:pt idx="86">
                  <c:v>355.519388159779</c:v>
                </c:pt>
                <c:pt idx="87">
                  <c:v>468.58588469511648</c:v>
                </c:pt>
                <c:pt idx="88">
                  <c:v>431.79636624359966</c:v>
                </c:pt>
                <c:pt idx="89">
                  <c:v>298.81249028859901</c:v>
                </c:pt>
                <c:pt idx="90">
                  <c:v>392.77943445541024</c:v>
                </c:pt>
                <c:pt idx="91">
                  <c:v>517.60020742243591</c:v>
                </c:pt>
                <c:pt idx="92">
                  <c:v>481.94428592338443</c:v>
                </c:pt>
                <c:pt idx="93">
                  <c:v>433.83597762652118</c:v>
                </c:pt>
                <c:pt idx="94">
                  <c:v>570.41102702523494</c:v>
                </c:pt>
                <c:pt idx="95">
                  <c:v>535.88870247864907</c:v>
                </c:pt>
                <c:pt idx="96">
                  <c:v>299.02067978974662</c:v>
                </c:pt>
                <c:pt idx="97">
                  <c:v>393.15747713804041</c:v>
                </c:pt>
                <c:pt idx="98">
                  <c:v>518.20472101370933</c:v>
                </c:pt>
                <c:pt idx="99">
                  <c:v>482.15356872510347</c:v>
                </c:pt>
                <c:pt idx="100">
                  <c:v>321.63244381161439</c:v>
                </c:pt>
                <c:pt idx="101">
                  <c:v>422.38102165273278</c:v>
                </c:pt>
                <c:pt idx="102">
                  <c:v>556.24397285216787</c:v>
                </c:pt>
                <c:pt idx="103">
                  <c:v>521.04301827791096</c:v>
                </c:pt>
                <c:pt idx="104">
                  <c:v>453.74009565988251</c:v>
                </c:pt>
                <c:pt idx="105">
                  <c:v>596.41875418308382</c:v>
                </c:pt>
                <c:pt idx="106">
                  <c:v>562.06799732317586</c:v>
                </c:pt>
                <c:pt idx="107">
                  <c:v>349.03467385291719</c:v>
                </c:pt>
                <c:pt idx="108">
                  <c:v>468.87406933417981</c:v>
                </c:pt>
                <c:pt idx="109">
                  <c:v>587.76162040237614</c:v>
                </c:pt>
                <c:pt idx="110">
                  <c:v>530.17365216152484</c:v>
                </c:pt>
                <c:pt idx="111">
                  <c:v>368.95708454136559</c:v>
                </c:pt>
                <c:pt idx="112">
                  <c:v>496.63266431042035</c:v>
                </c:pt>
                <c:pt idx="113">
                  <c:v>623.35639966640883</c:v>
                </c:pt>
                <c:pt idx="114">
                  <c:v>566.33522990179017</c:v>
                </c:pt>
                <c:pt idx="115">
                  <c:v>389.82861944868387</c:v>
                </c:pt>
                <c:pt idx="116">
                  <c:v>525.34038350553078</c:v>
                </c:pt>
                <c:pt idx="117">
                  <c:v>659.90030314931141</c:v>
                </c:pt>
                <c:pt idx="118">
                  <c:v>603.44593186092561</c:v>
                </c:pt>
                <c:pt idx="119">
                  <c:v>390.44466842957343</c:v>
                </c:pt>
                <c:pt idx="120">
                  <c:v>337.71740583175796</c:v>
                </c:pt>
                <c:pt idx="121">
                  <c:v>418.53307194944693</c:v>
                </c:pt>
                <c:pt idx="122">
                  <c:v>386.96309059919474</c:v>
                </c:pt>
                <c:pt idx="123">
                  <c:v>521.14918676770287</c:v>
                </c:pt>
                <c:pt idx="124">
                  <c:v>654.38343852314472</c:v>
                </c:pt>
                <c:pt idx="125">
                  <c:v>597.4995229078686</c:v>
                </c:pt>
                <c:pt idx="126">
                  <c:v>414.19311514096523</c:v>
                </c:pt>
                <c:pt idx="127">
                  <c:v>360.69777455713222</c:v>
                </c:pt>
                <c:pt idx="128">
                  <c:v>448.37010192663934</c:v>
                </c:pt>
                <c:pt idx="129">
                  <c:v>424.3078348325929</c:v>
                </c:pt>
                <c:pt idx="130">
                  <c:v>572.2072535047372</c:v>
                </c:pt>
                <c:pt idx="131">
                  <c:v>719.15482776381521</c:v>
                </c:pt>
                <c:pt idx="132">
                  <c:v>663.26280948194631</c:v>
                </c:pt>
                <c:pt idx="133">
                  <c:v>440.84825477264633</c:v>
                </c:pt>
                <c:pt idx="134">
                  <c:v>386.5848362027956</c:v>
                </c:pt>
                <c:pt idx="135">
                  <c:v>481.1138248241208</c:v>
                </c:pt>
                <c:pt idx="136">
                  <c:v>464.55927198628018</c:v>
                </c:pt>
                <c:pt idx="137">
                  <c:v>419.99244474563363</c:v>
                </c:pt>
                <c:pt idx="138">
                  <c:v>365.97265622068699</c:v>
                </c:pt>
                <c:pt idx="139">
                  <c:v>454.77548723193024</c:v>
                </c:pt>
                <c:pt idx="140">
                  <c:v>430.95654279248737</c:v>
                </c:pt>
                <c:pt idx="141">
                  <c:v>449.55004958962121</c:v>
                </c:pt>
                <c:pt idx="142">
                  <c:v>394.65245765208294</c:v>
                </c:pt>
                <c:pt idx="143">
                  <c:v>491.29147295111841</c:v>
                </c:pt>
                <c:pt idx="144">
                  <c:v>476.05277337591065</c:v>
                </c:pt>
                <c:pt idx="145">
                  <c:v>531.60395554578622</c:v>
                </c:pt>
                <c:pt idx="146">
                  <c:v>524.94550083481363</c:v>
                </c:pt>
                <c:pt idx="147">
                  <c:v>451.17202274021696</c:v>
                </c:pt>
                <c:pt idx="148">
                  <c:v>395.85970828813913</c:v>
                </c:pt>
                <c:pt idx="149">
                  <c:v>492.64970419293684</c:v>
                </c:pt>
                <c:pt idx="150">
                  <c:v>476.58179666430306</c:v>
                </c:pt>
                <c:pt idx="151">
                  <c:v>474.61873616617657</c:v>
                </c:pt>
                <c:pt idx="152">
                  <c:v>418.6480691546551</c:v>
                </c:pt>
                <c:pt idx="153">
                  <c:v>521.31520327529688</c:v>
                </c:pt>
                <c:pt idx="154">
                  <c:v>511.68247939483945</c:v>
                </c:pt>
                <c:pt idx="155">
                  <c:v>552.11623185011433</c:v>
                </c:pt>
                <c:pt idx="156">
                  <c:v>548.91869161783336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86-47E1-B4F8-EE98213E2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2185792"/>
        <c:axId val="1352186624"/>
      </c:scatterChart>
      <c:valAx>
        <c:axId val="1352185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ALPHA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2186624"/>
        <c:crosses val="autoZero"/>
        <c:crossBetween val="midCat"/>
      </c:valAx>
      <c:valAx>
        <c:axId val="135218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RSE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2185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FTP_1!$F$1</c:f>
              <c:strCache>
                <c:ptCount val="1"/>
                <c:pt idx="0">
                  <c:v>CO2-RSE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FTP_1!$E$2:$E$158</c:f>
              <c:numCache>
                <c:formatCode>General</c:formatCode>
                <c:ptCount val="157"/>
                <c:pt idx="0">
                  <c:v>213.351179</c:v>
                </c:pt>
                <c:pt idx="1">
                  <c:v>271.56359300000003</c:v>
                </c:pt>
                <c:pt idx="2">
                  <c:v>235.87024299999999</c:v>
                </c:pt>
                <c:pt idx="3">
                  <c:v>300.84747299999998</c:v>
                </c:pt>
                <c:pt idx="4">
                  <c:v>259.118472</c:v>
                </c:pt>
                <c:pt idx="5">
                  <c:v>332.52328399999999</c:v>
                </c:pt>
                <c:pt idx="6">
                  <c:v>239.610455</c:v>
                </c:pt>
                <c:pt idx="7">
                  <c:v>304.90435300000001</c:v>
                </c:pt>
                <c:pt idx="8">
                  <c:v>266.01151599999997</c:v>
                </c:pt>
                <c:pt idx="9">
                  <c:v>341.494462</c:v>
                </c:pt>
                <c:pt idx="10">
                  <c:v>381.40389499999998</c:v>
                </c:pt>
                <c:pt idx="11">
                  <c:v>266.44933099999997</c:v>
                </c:pt>
                <c:pt idx="12">
                  <c:v>341.55790999999999</c:v>
                </c:pt>
                <c:pt idx="13">
                  <c:v>287.37071200000003</c:v>
                </c:pt>
                <c:pt idx="14">
                  <c:v>369.35771699999998</c:v>
                </c:pt>
                <c:pt idx="15">
                  <c:v>399.94703700000002</c:v>
                </c:pt>
                <c:pt idx="16">
                  <c:v>299.64027199999998</c:v>
                </c:pt>
                <c:pt idx="17">
                  <c:v>363.69812899999999</c:v>
                </c:pt>
                <c:pt idx="18">
                  <c:v>318.68699700000002</c:v>
                </c:pt>
                <c:pt idx="19">
                  <c:v>386.27533399999999</c:v>
                </c:pt>
                <c:pt idx="20">
                  <c:v>337.59602899999999</c:v>
                </c:pt>
                <c:pt idx="21">
                  <c:v>410.90610900000001</c:v>
                </c:pt>
                <c:pt idx="22">
                  <c:v>264.15188999999998</c:v>
                </c:pt>
                <c:pt idx="23">
                  <c:v>247.69477000000001</c:v>
                </c:pt>
                <c:pt idx="24">
                  <c:v>334.23138299999999</c:v>
                </c:pt>
                <c:pt idx="25">
                  <c:v>406.45403599999997</c:v>
                </c:pt>
                <c:pt idx="26">
                  <c:v>237.29702800000001</c:v>
                </c:pt>
                <c:pt idx="27">
                  <c:v>289.840734</c:v>
                </c:pt>
                <c:pt idx="28">
                  <c:v>273.55230799999998</c:v>
                </c:pt>
                <c:pt idx="29">
                  <c:v>370.822069</c:v>
                </c:pt>
                <c:pt idx="30">
                  <c:v>451.77830599999999</c:v>
                </c:pt>
                <c:pt idx="31">
                  <c:v>259.64230400000002</c:v>
                </c:pt>
                <c:pt idx="32">
                  <c:v>317.91967</c:v>
                </c:pt>
                <c:pt idx="33">
                  <c:v>301.46015999999997</c:v>
                </c:pt>
                <c:pt idx="34">
                  <c:v>412.51493599999998</c:v>
                </c:pt>
                <c:pt idx="35">
                  <c:v>502.286586</c:v>
                </c:pt>
                <c:pt idx="36">
                  <c:v>293.66331400000001</c:v>
                </c:pt>
                <c:pt idx="37">
                  <c:v>277.20852100000002</c:v>
                </c:pt>
                <c:pt idx="38">
                  <c:v>377.06175999999999</c:v>
                </c:pt>
                <c:pt idx="39">
                  <c:v>459.52932800000002</c:v>
                </c:pt>
                <c:pt idx="40">
                  <c:v>265.94533300000001</c:v>
                </c:pt>
                <c:pt idx="41">
                  <c:v>324.89443999999997</c:v>
                </c:pt>
                <c:pt idx="42">
                  <c:v>309.58935500000001</c:v>
                </c:pt>
                <c:pt idx="43">
                  <c:v>423.11845199999999</c:v>
                </c:pt>
                <c:pt idx="44">
                  <c:v>516.56284700000003</c:v>
                </c:pt>
                <c:pt idx="45">
                  <c:v>472.62609600000002</c:v>
                </c:pt>
                <c:pt idx="46">
                  <c:v>574.82851100000005</c:v>
                </c:pt>
                <c:pt idx="47">
                  <c:v>324.97970800000002</c:v>
                </c:pt>
                <c:pt idx="48">
                  <c:v>309.29530799999998</c:v>
                </c:pt>
                <c:pt idx="49">
                  <c:v>424.04286300000001</c:v>
                </c:pt>
                <c:pt idx="50">
                  <c:v>514.40993700000001</c:v>
                </c:pt>
                <c:pt idx="51">
                  <c:v>346.87917800000002</c:v>
                </c:pt>
                <c:pt idx="52">
                  <c:v>335.53814699999998</c:v>
                </c:pt>
                <c:pt idx="53">
                  <c:v>459.922887</c:v>
                </c:pt>
                <c:pt idx="54">
                  <c:v>561.37266299999999</c:v>
                </c:pt>
                <c:pt idx="55">
                  <c:v>495.08682299999998</c:v>
                </c:pt>
                <c:pt idx="56">
                  <c:v>602.82892300000003</c:v>
                </c:pt>
                <c:pt idx="57">
                  <c:v>372.59556099999998</c:v>
                </c:pt>
                <c:pt idx="58">
                  <c:v>346.162869</c:v>
                </c:pt>
                <c:pt idx="59">
                  <c:v>451.38122800000002</c:v>
                </c:pt>
                <c:pt idx="60">
                  <c:v>554.05878199999995</c:v>
                </c:pt>
                <c:pt idx="61">
                  <c:v>394.72116</c:v>
                </c:pt>
                <c:pt idx="62">
                  <c:v>367.79927400000003</c:v>
                </c:pt>
                <c:pt idx="63">
                  <c:v>479.85001899999997</c:v>
                </c:pt>
                <c:pt idx="64">
                  <c:v>590.15406299999995</c:v>
                </c:pt>
                <c:pt idx="65">
                  <c:v>417.82119699999998</c:v>
                </c:pt>
                <c:pt idx="66">
                  <c:v>391.35901899999999</c:v>
                </c:pt>
                <c:pt idx="67">
                  <c:v>510.80646300000001</c:v>
                </c:pt>
                <c:pt idx="68">
                  <c:v>628.19983300000001</c:v>
                </c:pt>
                <c:pt idx="69">
                  <c:v>248.068341</c:v>
                </c:pt>
                <c:pt idx="70">
                  <c:v>322.16657900000001</c:v>
                </c:pt>
                <c:pt idx="71">
                  <c:v>414.15662400000002</c:v>
                </c:pt>
                <c:pt idx="72">
                  <c:v>386.76280400000002</c:v>
                </c:pt>
                <c:pt idx="73">
                  <c:v>505.79611899999998</c:v>
                </c:pt>
                <c:pt idx="74">
                  <c:v>622.23944400000005</c:v>
                </c:pt>
                <c:pt idx="75">
                  <c:v>271.75068099999999</c:v>
                </c:pt>
                <c:pt idx="76">
                  <c:v>353.44651099999999</c:v>
                </c:pt>
                <c:pt idx="77">
                  <c:v>456.773934</c:v>
                </c:pt>
                <c:pt idx="78">
                  <c:v>429.56818199999998</c:v>
                </c:pt>
                <c:pt idx="79">
                  <c:v>561.79854899999998</c:v>
                </c:pt>
                <c:pt idx="80">
                  <c:v>692.82342500000004</c:v>
                </c:pt>
                <c:pt idx="81">
                  <c:v>297.40843100000001</c:v>
                </c:pt>
                <c:pt idx="82">
                  <c:v>387.01195999999999</c:v>
                </c:pt>
                <c:pt idx="83">
                  <c:v>497.28508399999998</c:v>
                </c:pt>
                <c:pt idx="84">
                  <c:v>477.22157199999998</c:v>
                </c:pt>
                <c:pt idx="85">
                  <c:v>275.48371800000001</c:v>
                </c:pt>
                <c:pt idx="86">
                  <c:v>358.19341800000001</c:v>
                </c:pt>
                <c:pt idx="87">
                  <c:v>462.252115</c:v>
                </c:pt>
                <c:pt idx="88">
                  <c:v>436.82935600000002</c:v>
                </c:pt>
                <c:pt idx="89">
                  <c:v>304.72173400000003</c:v>
                </c:pt>
                <c:pt idx="90">
                  <c:v>396.90722199999999</c:v>
                </c:pt>
                <c:pt idx="91">
                  <c:v>509.90367500000002</c:v>
                </c:pt>
                <c:pt idx="92">
                  <c:v>490.93437499999999</c:v>
                </c:pt>
                <c:pt idx="93">
                  <c:v>435.94275499999998</c:v>
                </c:pt>
                <c:pt idx="94">
                  <c:v>561.82315300000005</c:v>
                </c:pt>
                <c:pt idx="95">
                  <c:v>546.49482699999999</c:v>
                </c:pt>
                <c:pt idx="96">
                  <c:v>304.16200700000002</c:v>
                </c:pt>
                <c:pt idx="97">
                  <c:v>395.88565299999999</c:v>
                </c:pt>
                <c:pt idx="98">
                  <c:v>509.95925499999998</c:v>
                </c:pt>
                <c:pt idx="99">
                  <c:v>491.35038800000001</c:v>
                </c:pt>
                <c:pt idx="100">
                  <c:v>326.257654</c:v>
                </c:pt>
                <c:pt idx="101">
                  <c:v>425.10857700000003</c:v>
                </c:pt>
                <c:pt idx="102">
                  <c:v>546.60625100000004</c:v>
                </c:pt>
                <c:pt idx="103">
                  <c:v>532.09544000000005</c:v>
                </c:pt>
                <c:pt idx="104">
                  <c:v>454.328282</c:v>
                </c:pt>
                <c:pt idx="105">
                  <c:v>587.19697199999996</c:v>
                </c:pt>
                <c:pt idx="106">
                  <c:v>573.00094899999999</c:v>
                </c:pt>
                <c:pt idx="107">
                  <c:v>354.14446700000002</c:v>
                </c:pt>
                <c:pt idx="108">
                  <c:v>466.30241999999998</c:v>
                </c:pt>
                <c:pt idx="109">
                  <c:v>590.48423300000002</c:v>
                </c:pt>
                <c:pt idx="110">
                  <c:v>539.50915499999996</c:v>
                </c:pt>
                <c:pt idx="111">
                  <c:v>374.03551800000002</c:v>
                </c:pt>
                <c:pt idx="112">
                  <c:v>494.37611299999998</c:v>
                </c:pt>
                <c:pt idx="113">
                  <c:v>623.56577700000003</c:v>
                </c:pt>
                <c:pt idx="114">
                  <c:v>573.87638900000002</c:v>
                </c:pt>
                <c:pt idx="115">
                  <c:v>395.61626799999999</c:v>
                </c:pt>
                <c:pt idx="116">
                  <c:v>525.52846199999999</c:v>
                </c:pt>
                <c:pt idx="117">
                  <c:v>659.69786299999998</c:v>
                </c:pt>
                <c:pt idx="118">
                  <c:v>610.56972800000005</c:v>
                </c:pt>
                <c:pt idx="119">
                  <c:v>387.94992999999999</c:v>
                </c:pt>
                <c:pt idx="120">
                  <c:v>333.04011100000002</c:v>
                </c:pt>
                <c:pt idx="121">
                  <c:v>423.22992799999997</c:v>
                </c:pt>
                <c:pt idx="122">
                  <c:v>391.75614100000001</c:v>
                </c:pt>
                <c:pt idx="123">
                  <c:v>518.61795099999995</c:v>
                </c:pt>
                <c:pt idx="124">
                  <c:v>653.53715699999998</c:v>
                </c:pt>
                <c:pt idx="125">
                  <c:v>604.51538400000004</c:v>
                </c:pt>
                <c:pt idx="126">
                  <c:v>413.91466000000003</c:v>
                </c:pt>
                <c:pt idx="127">
                  <c:v>357.713345</c:v>
                </c:pt>
                <c:pt idx="128">
                  <c:v>454.05948100000001</c:v>
                </c:pt>
                <c:pt idx="129">
                  <c:v>432.16097200000002</c:v>
                </c:pt>
                <c:pt idx="130">
                  <c:v>570.35266100000001</c:v>
                </c:pt>
                <c:pt idx="131">
                  <c:v>716.41963399999997</c:v>
                </c:pt>
                <c:pt idx="132">
                  <c:v>671.69207200000005</c:v>
                </c:pt>
                <c:pt idx="133">
                  <c:v>440.31494099999998</c:v>
                </c:pt>
                <c:pt idx="134">
                  <c:v>383.01226200000002</c:v>
                </c:pt>
                <c:pt idx="135">
                  <c:v>485.64771400000001</c:v>
                </c:pt>
                <c:pt idx="136">
                  <c:v>471.10915499999999</c:v>
                </c:pt>
                <c:pt idx="137">
                  <c:v>419.12552399999998</c:v>
                </c:pt>
                <c:pt idx="138">
                  <c:v>362.817498</c:v>
                </c:pt>
                <c:pt idx="139">
                  <c:v>460.31551200000001</c:v>
                </c:pt>
                <c:pt idx="140">
                  <c:v>436.76051000000001</c:v>
                </c:pt>
                <c:pt idx="141">
                  <c:v>449.25105600000001</c:v>
                </c:pt>
                <c:pt idx="142">
                  <c:v>391.62848400000001</c:v>
                </c:pt>
                <c:pt idx="143">
                  <c:v>496.260536</c:v>
                </c:pt>
                <c:pt idx="144">
                  <c:v>482.991016</c:v>
                </c:pt>
                <c:pt idx="145">
                  <c:v>531.68678599999998</c:v>
                </c:pt>
                <c:pt idx="146">
                  <c:v>528.83628699999997</c:v>
                </c:pt>
                <c:pt idx="147">
                  <c:v>450.990116</c:v>
                </c:pt>
                <c:pt idx="148">
                  <c:v>392.83207900000002</c:v>
                </c:pt>
                <c:pt idx="149">
                  <c:v>497.989014</c:v>
                </c:pt>
                <c:pt idx="150">
                  <c:v>482.825401</c:v>
                </c:pt>
                <c:pt idx="151">
                  <c:v>473.78491500000001</c:v>
                </c:pt>
                <c:pt idx="152">
                  <c:v>414.92141800000002</c:v>
                </c:pt>
                <c:pt idx="153">
                  <c:v>524.98231399999997</c:v>
                </c:pt>
                <c:pt idx="154">
                  <c:v>517.28974300000004</c:v>
                </c:pt>
                <c:pt idx="155">
                  <c:v>551.61400800000001</c:v>
                </c:pt>
                <c:pt idx="156">
                  <c:v>552.83643300000006</c:v>
                </c:pt>
              </c:numCache>
            </c:numRef>
          </c:xVal>
          <c:yVal>
            <c:numRef>
              <c:f>FTP_1!$F$2:$F$158</c:f>
              <c:numCache>
                <c:formatCode>General</c:formatCode>
                <c:ptCount val="157"/>
                <c:pt idx="0">
                  <c:v>212.54640634229736</c:v>
                </c:pt>
                <c:pt idx="1">
                  <c:v>274.7635528888635</c:v>
                </c:pt>
                <c:pt idx="2">
                  <c:v>235.455560092512</c:v>
                </c:pt>
                <c:pt idx="3">
                  <c:v>304.52936789089625</c:v>
                </c:pt>
                <c:pt idx="4">
                  <c:v>261.27140676301588</c:v>
                </c:pt>
                <c:pt idx="5">
                  <c:v>337.20187581321824</c:v>
                </c:pt>
                <c:pt idx="6">
                  <c:v>239.30710368800354</c:v>
                </c:pt>
                <c:pt idx="7">
                  <c:v>309.51141512812404</c:v>
                </c:pt>
                <c:pt idx="8">
                  <c:v>267.90551657635996</c:v>
                </c:pt>
                <c:pt idx="9">
                  <c:v>345.94601230427264</c:v>
                </c:pt>
                <c:pt idx="10">
                  <c:v>386.17710635590089</c:v>
                </c:pt>
                <c:pt idx="11">
                  <c:v>267.69960271223272</c:v>
                </c:pt>
                <c:pt idx="12">
                  <c:v>345.89107904590759</c:v>
                </c:pt>
                <c:pt idx="13">
                  <c:v>290.42692217146907</c:v>
                </c:pt>
                <c:pt idx="14">
                  <c:v>374.49553672098801</c:v>
                </c:pt>
                <c:pt idx="15">
                  <c:v>405.23552388852585</c:v>
                </c:pt>
                <c:pt idx="16">
                  <c:v>299.903606546216</c:v>
                </c:pt>
                <c:pt idx="17">
                  <c:v>368.07626761934335</c:v>
                </c:pt>
                <c:pt idx="18">
                  <c:v>319.41329267492301</c:v>
                </c:pt>
                <c:pt idx="19">
                  <c:v>392.48356892792054</c:v>
                </c:pt>
                <c:pt idx="20">
                  <c:v>339.87210302250003</c:v>
                </c:pt>
                <c:pt idx="21">
                  <c:v>417.83999445536762</c:v>
                </c:pt>
                <c:pt idx="22">
                  <c:v>268.76944658165667</c:v>
                </c:pt>
                <c:pt idx="23">
                  <c:v>243.68472475348878</c:v>
                </c:pt>
                <c:pt idx="24">
                  <c:v>336.74273833216307</c:v>
                </c:pt>
                <c:pt idx="25">
                  <c:v>413.88208733481889</c:v>
                </c:pt>
                <c:pt idx="26">
                  <c:v>238.09503028653799</c:v>
                </c:pt>
                <c:pt idx="27">
                  <c:v>294.11503362437315</c:v>
                </c:pt>
                <c:pt idx="28">
                  <c:v>270.02220912961246</c:v>
                </c:pt>
                <c:pt idx="29">
                  <c:v>373.36521458601396</c:v>
                </c:pt>
                <c:pt idx="30">
                  <c:v>459.07539015344236</c:v>
                </c:pt>
                <c:pt idx="31">
                  <c:v>261.20481431068009</c:v>
                </c:pt>
                <c:pt idx="32">
                  <c:v>322.36731358737882</c:v>
                </c:pt>
                <c:pt idx="33">
                  <c:v>299.26638642602541</c:v>
                </c:pt>
                <c:pt idx="34">
                  <c:v>412.89438376015403</c:v>
                </c:pt>
                <c:pt idx="35">
                  <c:v>507.17538589235505</c:v>
                </c:pt>
                <c:pt idx="36">
                  <c:v>298.78536021122915</c:v>
                </c:pt>
                <c:pt idx="37">
                  <c:v>274.43900454597207</c:v>
                </c:pt>
                <c:pt idx="38">
                  <c:v>379.47776546497801</c:v>
                </c:pt>
                <c:pt idx="39">
                  <c:v>466.60107058457669</c:v>
                </c:pt>
                <c:pt idx="40">
                  <c:v>267.42324900603489</c:v>
                </c:pt>
                <c:pt idx="41">
                  <c:v>330.16826829101626</c:v>
                </c:pt>
                <c:pt idx="42">
                  <c:v>306.95550957822468</c:v>
                </c:pt>
                <c:pt idx="43">
                  <c:v>423.74854692891859</c:v>
                </c:pt>
                <c:pt idx="44">
                  <c:v>520.66708240825756</c:v>
                </c:pt>
                <c:pt idx="45">
                  <c:v>471.81582526833904</c:v>
                </c:pt>
                <c:pt idx="46">
                  <c:v>578.52959110741813</c:v>
                </c:pt>
                <c:pt idx="47">
                  <c:v>330.43307551932469</c:v>
                </c:pt>
                <c:pt idx="48">
                  <c:v>306.8250860169785</c:v>
                </c:pt>
                <c:pt idx="49">
                  <c:v>423.84459427631589</c:v>
                </c:pt>
                <c:pt idx="50">
                  <c:v>520.95185551285772</c:v>
                </c:pt>
                <c:pt idx="51">
                  <c:v>355.24876637213407</c:v>
                </c:pt>
                <c:pt idx="52">
                  <c:v>332.49097458413689</c:v>
                </c:pt>
                <c:pt idx="53">
                  <c:v>458.32619016724038</c:v>
                </c:pt>
                <c:pt idx="54">
                  <c:v>562.77987417358713</c:v>
                </c:pt>
                <c:pt idx="55">
                  <c:v>494.94331555062229</c:v>
                </c:pt>
                <c:pt idx="56">
                  <c:v>606.74342232677418</c:v>
                </c:pt>
                <c:pt idx="57">
                  <c:v>379.08375813695784</c:v>
                </c:pt>
                <c:pt idx="58">
                  <c:v>340.85182089695491</c:v>
                </c:pt>
                <c:pt idx="59">
                  <c:v>449.39266613160902</c:v>
                </c:pt>
                <c:pt idx="60">
                  <c:v>556.98166695319685</c:v>
                </c:pt>
                <c:pt idx="61">
                  <c:v>400.9652148973542</c:v>
                </c:pt>
                <c:pt idx="62">
                  <c:v>363.30007613358407</c:v>
                </c:pt>
                <c:pt idx="63">
                  <c:v>479.67710565603028</c:v>
                </c:pt>
                <c:pt idx="64">
                  <c:v>595.10229076541032</c:v>
                </c:pt>
                <c:pt idx="65">
                  <c:v>423.79579587662056</c:v>
                </c:pt>
                <c:pt idx="66">
                  <c:v>386.69745558908312</c:v>
                </c:pt>
                <c:pt idx="67">
                  <c:v>510.91066939932148</c:v>
                </c:pt>
                <c:pt idx="68">
                  <c:v>634.17203879649367</c:v>
                </c:pt>
                <c:pt idx="69">
                  <c:v>243.34742452224435</c:v>
                </c:pt>
                <c:pt idx="70">
                  <c:v>319.51310086004077</c:v>
                </c:pt>
                <c:pt idx="71">
                  <c:v>420.59885005504668</c:v>
                </c:pt>
                <c:pt idx="72">
                  <c:v>383.07096544061903</c:v>
                </c:pt>
                <c:pt idx="73">
                  <c:v>505.95851136251872</c:v>
                </c:pt>
                <c:pt idx="74">
                  <c:v>627.8942128713519</c:v>
                </c:pt>
                <c:pt idx="75">
                  <c:v>266.12176359552905</c:v>
                </c:pt>
                <c:pt idx="76">
                  <c:v>350.00118384162084</c:v>
                </c:pt>
                <c:pt idx="77">
                  <c:v>461.37192491435388</c:v>
                </c:pt>
                <c:pt idx="78">
                  <c:v>424.83593763333351</c:v>
                </c:pt>
                <c:pt idx="79">
                  <c:v>561.43680605886925</c:v>
                </c:pt>
                <c:pt idx="80">
                  <c:v>697.08583007133882</c:v>
                </c:pt>
                <c:pt idx="81">
                  <c:v>291.80279558910286</c:v>
                </c:pt>
                <c:pt idx="82">
                  <c:v>383.39595974349004</c:v>
                </c:pt>
                <c:pt idx="83">
                  <c:v>505.05169269395026</c:v>
                </c:pt>
                <c:pt idx="84">
                  <c:v>469.50760274633717</c:v>
                </c:pt>
                <c:pt idx="85">
                  <c:v>270.36815131673393</c:v>
                </c:pt>
                <c:pt idx="86">
                  <c:v>355.519388159779</c:v>
                </c:pt>
                <c:pt idx="87">
                  <c:v>468.58588469511648</c:v>
                </c:pt>
                <c:pt idx="88">
                  <c:v>431.79636624359966</c:v>
                </c:pt>
                <c:pt idx="89">
                  <c:v>298.81249028859901</c:v>
                </c:pt>
                <c:pt idx="90">
                  <c:v>392.77943445541024</c:v>
                </c:pt>
                <c:pt idx="91">
                  <c:v>517.60020742243591</c:v>
                </c:pt>
                <c:pt idx="92">
                  <c:v>481.94428592338443</c:v>
                </c:pt>
                <c:pt idx="93">
                  <c:v>433.83597762652118</c:v>
                </c:pt>
                <c:pt idx="94">
                  <c:v>570.41102702523494</c:v>
                </c:pt>
                <c:pt idx="95">
                  <c:v>535.88870247864907</c:v>
                </c:pt>
                <c:pt idx="96">
                  <c:v>299.02067978974662</c:v>
                </c:pt>
                <c:pt idx="97">
                  <c:v>393.15747713804041</c:v>
                </c:pt>
                <c:pt idx="98">
                  <c:v>518.20472101370933</c:v>
                </c:pt>
                <c:pt idx="99">
                  <c:v>482.15356872510347</c:v>
                </c:pt>
                <c:pt idx="100">
                  <c:v>321.63244381161439</c:v>
                </c:pt>
                <c:pt idx="101">
                  <c:v>422.38102165273278</c:v>
                </c:pt>
                <c:pt idx="102">
                  <c:v>556.24397285216787</c:v>
                </c:pt>
                <c:pt idx="103">
                  <c:v>521.04301827791096</c:v>
                </c:pt>
                <c:pt idx="104">
                  <c:v>453.74009565988251</c:v>
                </c:pt>
                <c:pt idx="105">
                  <c:v>596.41875418308382</c:v>
                </c:pt>
                <c:pt idx="106">
                  <c:v>562.06799732317586</c:v>
                </c:pt>
                <c:pt idx="107">
                  <c:v>349.03467385291719</c:v>
                </c:pt>
                <c:pt idx="108">
                  <c:v>468.87406933417981</c:v>
                </c:pt>
                <c:pt idx="109">
                  <c:v>587.76162040237614</c:v>
                </c:pt>
                <c:pt idx="110">
                  <c:v>530.17365216152484</c:v>
                </c:pt>
                <c:pt idx="111">
                  <c:v>368.95708454136559</c:v>
                </c:pt>
                <c:pt idx="112">
                  <c:v>496.63266431042035</c:v>
                </c:pt>
                <c:pt idx="113">
                  <c:v>623.35639966640883</c:v>
                </c:pt>
                <c:pt idx="114">
                  <c:v>566.33522990179017</c:v>
                </c:pt>
                <c:pt idx="115">
                  <c:v>389.82861944868387</c:v>
                </c:pt>
                <c:pt idx="116">
                  <c:v>525.34038350553078</c:v>
                </c:pt>
                <c:pt idx="117">
                  <c:v>659.90030314931141</c:v>
                </c:pt>
                <c:pt idx="118">
                  <c:v>603.44593186092561</c:v>
                </c:pt>
                <c:pt idx="119">
                  <c:v>390.44466842957343</c:v>
                </c:pt>
                <c:pt idx="120">
                  <c:v>337.71740583175796</c:v>
                </c:pt>
                <c:pt idx="121">
                  <c:v>418.53307194944693</c:v>
                </c:pt>
                <c:pt idx="122">
                  <c:v>386.96309059919474</c:v>
                </c:pt>
                <c:pt idx="123">
                  <c:v>521.14918676770287</c:v>
                </c:pt>
                <c:pt idx="124">
                  <c:v>654.38343852314472</c:v>
                </c:pt>
                <c:pt idx="125">
                  <c:v>597.4995229078686</c:v>
                </c:pt>
                <c:pt idx="126">
                  <c:v>414.19311514096523</c:v>
                </c:pt>
                <c:pt idx="127">
                  <c:v>360.69777455713222</c:v>
                </c:pt>
                <c:pt idx="128">
                  <c:v>448.37010192663934</c:v>
                </c:pt>
                <c:pt idx="129">
                  <c:v>424.3078348325929</c:v>
                </c:pt>
                <c:pt idx="130">
                  <c:v>572.2072535047372</c:v>
                </c:pt>
                <c:pt idx="131">
                  <c:v>719.15482776381521</c:v>
                </c:pt>
                <c:pt idx="132">
                  <c:v>663.26280948194631</c:v>
                </c:pt>
                <c:pt idx="133">
                  <c:v>440.84825477264633</c:v>
                </c:pt>
                <c:pt idx="134">
                  <c:v>386.5848362027956</c:v>
                </c:pt>
                <c:pt idx="135">
                  <c:v>481.1138248241208</c:v>
                </c:pt>
                <c:pt idx="136">
                  <c:v>464.55927198628018</c:v>
                </c:pt>
                <c:pt idx="137">
                  <c:v>419.99244474563363</c:v>
                </c:pt>
                <c:pt idx="138">
                  <c:v>365.97265622068699</c:v>
                </c:pt>
                <c:pt idx="139">
                  <c:v>454.77548723193024</c:v>
                </c:pt>
                <c:pt idx="140">
                  <c:v>430.95654279248737</c:v>
                </c:pt>
                <c:pt idx="141">
                  <c:v>449.55004958962121</c:v>
                </c:pt>
                <c:pt idx="142">
                  <c:v>394.65245765208294</c:v>
                </c:pt>
                <c:pt idx="143">
                  <c:v>491.29147295111841</c:v>
                </c:pt>
                <c:pt idx="144">
                  <c:v>476.05277337591065</c:v>
                </c:pt>
                <c:pt idx="145">
                  <c:v>531.60395554578622</c:v>
                </c:pt>
                <c:pt idx="146">
                  <c:v>524.94550083481363</c:v>
                </c:pt>
                <c:pt idx="147">
                  <c:v>451.17202274021696</c:v>
                </c:pt>
                <c:pt idx="148">
                  <c:v>395.85970828813913</c:v>
                </c:pt>
                <c:pt idx="149">
                  <c:v>492.64970419293684</c:v>
                </c:pt>
                <c:pt idx="150">
                  <c:v>476.58179666430306</c:v>
                </c:pt>
                <c:pt idx="151">
                  <c:v>474.61873616617657</c:v>
                </c:pt>
                <c:pt idx="152">
                  <c:v>418.6480691546551</c:v>
                </c:pt>
                <c:pt idx="153">
                  <c:v>521.31520327529688</c:v>
                </c:pt>
                <c:pt idx="154">
                  <c:v>511.68247939483945</c:v>
                </c:pt>
                <c:pt idx="155">
                  <c:v>552.11623185011433</c:v>
                </c:pt>
                <c:pt idx="156">
                  <c:v>548.91869161783336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53-40A7-BAC3-C8C3B7C4C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8328976"/>
        <c:axId val="818331472"/>
      </c:scatterChart>
      <c:valAx>
        <c:axId val="818328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ALPHA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8331472"/>
        <c:crosses val="autoZero"/>
        <c:crossBetween val="midCat"/>
      </c:valAx>
      <c:valAx>
        <c:axId val="81833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RSE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8328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FTP_1!$F$1</c:f>
              <c:strCache>
                <c:ptCount val="1"/>
                <c:pt idx="0">
                  <c:v>CO2-RSE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FTP_1!$E$2:$E$158</c:f>
              <c:numCache>
                <c:formatCode>General</c:formatCode>
                <c:ptCount val="157"/>
                <c:pt idx="0">
                  <c:v>213.351179</c:v>
                </c:pt>
                <c:pt idx="1">
                  <c:v>271.56359300000003</c:v>
                </c:pt>
                <c:pt idx="2">
                  <c:v>235.87024299999999</c:v>
                </c:pt>
                <c:pt idx="3">
                  <c:v>300.84747299999998</c:v>
                </c:pt>
                <c:pt idx="4">
                  <c:v>259.118472</c:v>
                </c:pt>
                <c:pt idx="5">
                  <c:v>332.52328399999999</c:v>
                </c:pt>
                <c:pt idx="6">
                  <c:v>239.610455</c:v>
                </c:pt>
                <c:pt idx="7">
                  <c:v>304.90435300000001</c:v>
                </c:pt>
                <c:pt idx="8">
                  <c:v>266.01151599999997</c:v>
                </c:pt>
                <c:pt idx="9">
                  <c:v>341.494462</c:v>
                </c:pt>
                <c:pt idx="10">
                  <c:v>381.40389499999998</c:v>
                </c:pt>
                <c:pt idx="11">
                  <c:v>266.44933099999997</c:v>
                </c:pt>
                <c:pt idx="12">
                  <c:v>341.55790999999999</c:v>
                </c:pt>
                <c:pt idx="13">
                  <c:v>287.37071200000003</c:v>
                </c:pt>
                <c:pt idx="14">
                  <c:v>369.35771699999998</c:v>
                </c:pt>
                <c:pt idx="15">
                  <c:v>399.94703700000002</c:v>
                </c:pt>
                <c:pt idx="16">
                  <c:v>299.64027199999998</c:v>
                </c:pt>
                <c:pt idx="17">
                  <c:v>363.69812899999999</c:v>
                </c:pt>
                <c:pt idx="18">
                  <c:v>318.68699700000002</c:v>
                </c:pt>
                <c:pt idx="19">
                  <c:v>386.27533399999999</c:v>
                </c:pt>
                <c:pt idx="20">
                  <c:v>337.59602899999999</c:v>
                </c:pt>
                <c:pt idx="21">
                  <c:v>410.90610900000001</c:v>
                </c:pt>
                <c:pt idx="22">
                  <c:v>264.15188999999998</c:v>
                </c:pt>
                <c:pt idx="23">
                  <c:v>247.69477000000001</c:v>
                </c:pt>
                <c:pt idx="24">
                  <c:v>334.23138299999999</c:v>
                </c:pt>
                <c:pt idx="25">
                  <c:v>406.45403599999997</c:v>
                </c:pt>
                <c:pt idx="26">
                  <c:v>237.29702800000001</c:v>
                </c:pt>
                <c:pt idx="27">
                  <c:v>289.840734</c:v>
                </c:pt>
                <c:pt idx="28">
                  <c:v>273.55230799999998</c:v>
                </c:pt>
                <c:pt idx="29">
                  <c:v>370.822069</c:v>
                </c:pt>
                <c:pt idx="30">
                  <c:v>451.77830599999999</c:v>
                </c:pt>
                <c:pt idx="31">
                  <c:v>259.64230400000002</c:v>
                </c:pt>
                <c:pt idx="32">
                  <c:v>317.91967</c:v>
                </c:pt>
                <c:pt idx="33">
                  <c:v>301.46015999999997</c:v>
                </c:pt>
                <c:pt idx="34">
                  <c:v>412.51493599999998</c:v>
                </c:pt>
                <c:pt idx="35">
                  <c:v>502.286586</c:v>
                </c:pt>
                <c:pt idx="36">
                  <c:v>293.66331400000001</c:v>
                </c:pt>
                <c:pt idx="37">
                  <c:v>277.20852100000002</c:v>
                </c:pt>
                <c:pt idx="38">
                  <c:v>377.06175999999999</c:v>
                </c:pt>
                <c:pt idx="39">
                  <c:v>459.52932800000002</c:v>
                </c:pt>
                <c:pt idx="40">
                  <c:v>265.94533300000001</c:v>
                </c:pt>
                <c:pt idx="41">
                  <c:v>324.89443999999997</c:v>
                </c:pt>
                <c:pt idx="42">
                  <c:v>309.58935500000001</c:v>
                </c:pt>
                <c:pt idx="43">
                  <c:v>423.11845199999999</c:v>
                </c:pt>
                <c:pt idx="44">
                  <c:v>516.56284700000003</c:v>
                </c:pt>
                <c:pt idx="45">
                  <c:v>472.62609600000002</c:v>
                </c:pt>
                <c:pt idx="46">
                  <c:v>574.82851100000005</c:v>
                </c:pt>
                <c:pt idx="47">
                  <c:v>324.97970800000002</c:v>
                </c:pt>
                <c:pt idx="48">
                  <c:v>309.29530799999998</c:v>
                </c:pt>
                <c:pt idx="49">
                  <c:v>424.04286300000001</c:v>
                </c:pt>
                <c:pt idx="50">
                  <c:v>514.40993700000001</c:v>
                </c:pt>
                <c:pt idx="51">
                  <c:v>346.87917800000002</c:v>
                </c:pt>
                <c:pt idx="52">
                  <c:v>335.53814699999998</c:v>
                </c:pt>
                <c:pt idx="53">
                  <c:v>459.922887</c:v>
                </c:pt>
                <c:pt idx="54">
                  <c:v>561.37266299999999</c:v>
                </c:pt>
                <c:pt idx="55">
                  <c:v>495.08682299999998</c:v>
                </c:pt>
                <c:pt idx="56">
                  <c:v>602.82892300000003</c:v>
                </c:pt>
                <c:pt idx="57">
                  <c:v>372.59556099999998</c:v>
                </c:pt>
                <c:pt idx="58">
                  <c:v>346.162869</c:v>
                </c:pt>
                <c:pt idx="59">
                  <c:v>451.38122800000002</c:v>
                </c:pt>
                <c:pt idx="60">
                  <c:v>554.05878199999995</c:v>
                </c:pt>
                <c:pt idx="61">
                  <c:v>394.72116</c:v>
                </c:pt>
                <c:pt idx="62">
                  <c:v>367.79927400000003</c:v>
                </c:pt>
                <c:pt idx="63">
                  <c:v>479.85001899999997</c:v>
                </c:pt>
                <c:pt idx="64">
                  <c:v>590.15406299999995</c:v>
                </c:pt>
                <c:pt idx="65">
                  <c:v>417.82119699999998</c:v>
                </c:pt>
                <c:pt idx="66">
                  <c:v>391.35901899999999</c:v>
                </c:pt>
                <c:pt idx="67">
                  <c:v>510.80646300000001</c:v>
                </c:pt>
                <c:pt idx="68">
                  <c:v>628.19983300000001</c:v>
                </c:pt>
                <c:pt idx="69">
                  <c:v>248.068341</c:v>
                </c:pt>
                <c:pt idx="70">
                  <c:v>322.16657900000001</c:v>
                </c:pt>
                <c:pt idx="71">
                  <c:v>414.15662400000002</c:v>
                </c:pt>
                <c:pt idx="72">
                  <c:v>386.76280400000002</c:v>
                </c:pt>
                <c:pt idx="73">
                  <c:v>505.79611899999998</c:v>
                </c:pt>
                <c:pt idx="74">
                  <c:v>622.23944400000005</c:v>
                </c:pt>
                <c:pt idx="75">
                  <c:v>271.75068099999999</c:v>
                </c:pt>
                <c:pt idx="76">
                  <c:v>353.44651099999999</c:v>
                </c:pt>
                <c:pt idx="77">
                  <c:v>456.773934</c:v>
                </c:pt>
                <c:pt idx="78">
                  <c:v>429.56818199999998</c:v>
                </c:pt>
                <c:pt idx="79">
                  <c:v>561.79854899999998</c:v>
                </c:pt>
                <c:pt idx="80">
                  <c:v>692.82342500000004</c:v>
                </c:pt>
                <c:pt idx="81">
                  <c:v>297.40843100000001</c:v>
                </c:pt>
                <c:pt idx="82">
                  <c:v>387.01195999999999</c:v>
                </c:pt>
                <c:pt idx="83">
                  <c:v>497.28508399999998</c:v>
                </c:pt>
                <c:pt idx="84">
                  <c:v>477.22157199999998</c:v>
                </c:pt>
                <c:pt idx="85">
                  <c:v>275.48371800000001</c:v>
                </c:pt>
                <c:pt idx="86">
                  <c:v>358.19341800000001</c:v>
                </c:pt>
                <c:pt idx="87">
                  <c:v>462.252115</c:v>
                </c:pt>
                <c:pt idx="88">
                  <c:v>436.82935600000002</c:v>
                </c:pt>
                <c:pt idx="89">
                  <c:v>304.72173400000003</c:v>
                </c:pt>
                <c:pt idx="90">
                  <c:v>396.90722199999999</c:v>
                </c:pt>
                <c:pt idx="91">
                  <c:v>509.90367500000002</c:v>
                </c:pt>
                <c:pt idx="92">
                  <c:v>490.93437499999999</c:v>
                </c:pt>
                <c:pt idx="93">
                  <c:v>435.94275499999998</c:v>
                </c:pt>
                <c:pt idx="94">
                  <c:v>561.82315300000005</c:v>
                </c:pt>
                <c:pt idx="95">
                  <c:v>546.49482699999999</c:v>
                </c:pt>
                <c:pt idx="96">
                  <c:v>304.16200700000002</c:v>
                </c:pt>
                <c:pt idx="97">
                  <c:v>395.88565299999999</c:v>
                </c:pt>
                <c:pt idx="98">
                  <c:v>509.95925499999998</c:v>
                </c:pt>
                <c:pt idx="99">
                  <c:v>491.35038800000001</c:v>
                </c:pt>
                <c:pt idx="100">
                  <c:v>326.257654</c:v>
                </c:pt>
                <c:pt idx="101">
                  <c:v>425.10857700000003</c:v>
                </c:pt>
                <c:pt idx="102">
                  <c:v>546.60625100000004</c:v>
                </c:pt>
                <c:pt idx="103">
                  <c:v>532.09544000000005</c:v>
                </c:pt>
                <c:pt idx="104">
                  <c:v>454.328282</c:v>
                </c:pt>
                <c:pt idx="105">
                  <c:v>587.19697199999996</c:v>
                </c:pt>
                <c:pt idx="106">
                  <c:v>573.00094899999999</c:v>
                </c:pt>
                <c:pt idx="107">
                  <c:v>354.14446700000002</c:v>
                </c:pt>
                <c:pt idx="108">
                  <c:v>466.30241999999998</c:v>
                </c:pt>
                <c:pt idx="109">
                  <c:v>590.48423300000002</c:v>
                </c:pt>
                <c:pt idx="110">
                  <c:v>539.50915499999996</c:v>
                </c:pt>
                <c:pt idx="111">
                  <c:v>374.03551800000002</c:v>
                </c:pt>
                <c:pt idx="112">
                  <c:v>494.37611299999998</c:v>
                </c:pt>
                <c:pt idx="113">
                  <c:v>623.56577700000003</c:v>
                </c:pt>
                <c:pt idx="114">
                  <c:v>573.87638900000002</c:v>
                </c:pt>
                <c:pt idx="115">
                  <c:v>395.61626799999999</c:v>
                </c:pt>
                <c:pt idx="116">
                  <c:v>525.52846199999999</c:v>
                </c:pt>
                <c:pt idx="117">
                  <c:v>659.69786299999998</c:v>
                </c:pt>
                <c:pt idx="118">
                  <c:v>610.56972800000005</c:v>
                </c:pt>
                <c:pt idx="119">
                  <c:v>387.94992999999999</c:v>
                </c:pt>
                <c:pt idx="120">
                  <c:v>333.04011100000002</c:v>
                </c:pt>
                <c:pt idx="121">
                  <c:v>423.22992799999997</c:v>
                </c:pt>
                <c:pt idx="122">
                  <c:v>391.75614100000001</c:v>
                </c:pt>
                <c:pt idx="123">
                  <c:v>518.61795099999995</c:v>
                </c:pt>
                <c:pt idx="124">
                  <c:v>653.53715699999998</c:v>
                </c:pt>
                <c:pt idx="125">
                  <c:v>604.51538400000004</c:v>
                </c:pt>
                <c:pt idx="126">
                  <c:v>413.91466000000003</c:v>
                </c:pt>
                <c:pt idx="127">
                  <c:v>357.713345</c:v>
                </c:pt>
                <c:pt idx="128">
                  <c:v>454.05948100000001</c:v>
                </c:pt>
                <c:pt idx="129">
                  <c:v>432.16097200000002</c:v>
                </c:pt>
                <c:pt idx="130">
                  <c:v>570.35266100000001</c:v>
                </c:pt>
                <c:pt idx="131">
                  <c:v>716.41963399999997</c:v>
                </c:pt>
                <c:pt idx="132">
                  <c:v>671.69207200000005</c:v>
                </c:pt>
                <c:pt idx="133">
                  <c:v>440.31494099999998</c:v>
                </c:pt>
                <c:pt idx="134">
                  <c:v>383.01226200000002</c:v>
                </c:pt>
                <c:pt idx="135">
                  <c:v>485.64771400000001</c:v>
                </c:pt>
                <c:pt idx="136">
                  <c:v>471.10915499999999</c:v>
                </c:pt>
                <c:pt idx="137">
                  <c:v>419.12552399999998</c:v>
                </c:pt>
                <c:pt idx="138">
                  <c:v>362.817498</c:v>
                </c:pt>
                <c:pt idx="139">
                  <c:v>460.31551200000001</c:v>
                </c:pt>
                <c:pt idx="140">
                  <c:v>436.76051000000001</c:v>
                </c:pt>
                <c:pt idx="141">
                  <c:v>449.25105600000001</c:v>
                </c:pt>
                <c:pt idx="142">
                  <c:v>391.62848400000001</c:v>
                </c:pt>
                <c:pt idx="143">
                  <c:v>496.260536</c:v>
                </c:pt>
                <c:pt idx="144">
                  <c:v>482.991016</c:v>
                </c:pt>
                <c:pt idx="145">
                  <c:v>531.68678599999998</c:v>
                </c:pt>
                <c:pt idx="146">
                  <c:v>528.83628699999997</c:v>
                </c:pt>
                <c:pt idx="147">
                  <c:v>450.990116</c:v>
                </c:pt>
                <c:pt idx="148">
                  <c:v>392.83207900000002</c:v>
                </c:pt>
                <c:pt idx="149">
                  <c:v>497.989014</c:v>
                </c:pt>
                <c:pt idx="150">
                  <c:v>482.825401</c:v>
                </c:pt>
                <c:pt idx="151">
                  <c:v>473.78491500000001</c:v>
                </c:pt>
                <c:pt idx="152">
                  <c:v>414.92141800000002</c:v>
                </c:pt>
                <c:pt idx="153">
                  <c:v>524.98231399999997</c:v>
                </c:pt>
                <c:pt idx="154">
                  <c:v>517.28974300000004</c:v>
                </c:pt>
                <c:pt idx="155">
                  <c:v>551.61400800000001</c:v>
                </c:pt>
                <c:pt idx="156">
                  <c:v>552.83643300000006</c:v>
                </c:pt>
              </c:numCache>
            </c:numRef>
          </c:xVal>
          <c:yVal>
            <c:numRef>
              <c:f>FTP_1!$F$2:$F$158</c:f>
              <c:numCache>
                <c:formatCode>General</c:formatCode>
                <c:ptCount val="157"/>
                <c:pt idx="0">
                  <c:v>212.54640634229736</c:v>
                </c:pt>
                <c:pt idx="1">
                  <c:v>274.7635528888635</c:v>
                </c:pt>
                <c:pt idx="2">
                  <c:v>235.455560092512</c:v>
                </c:pt>
                <c:pt idx="3">
                  <c:v>304.52936789089625</c:v>
                </c:pt>
                <c:pt idx="4">
                  <c:v>261.27140676301588</c:v>
                </c:pt>
                <c:pt idx="5">
                  <c:v>337.20187581321824</c:v>
                </c:pt>
                <c:pt idx="6">
                  <c:v>239.30710368800354</c:v>
                </c:pt>
                <c:pt idx="7">
                  <c:v>309.51141512812404</c:v>
                </c:pt>
                <c:pt idx="8">
                  <c:v>267.90551657635996</c:v>
                </c:pt>
                <c:pt idx="9">
                  <c:v>345.94601230427264</c:v>
                </c:pt>
                <c:pt idx="10">
                  <c:v>386.17710635590089</c:v>
                </c:pt>
                <c:pt idx="11">
                  <c:v>267.69960271223272</c:v>
                </c:pt>
                <c:pt idx="12">
                  <c:v>345.89107904590759</c:v>
                </c:pt>
                <c:pt idx="13">
                  <c:v>290.42692217146907</c:v>
                </c:pt>
                <c:pt idx="14">
                  <c:v>374.49553672098801</c:v>
                </c:pt>
                <c:pt idx="15">
                  <c:v>405.23552388852585</c:v>
                </c:pt>
                <c:pt idx="16">
                  <c:v>299.903606546216</c:v>
                </c:pt>
                <c:pt idx="17">
                  <c:v>368.07626761934335</c:v>
                </c:pt>
                <c:pt idx="18">
                  <c:v>319.41329267492301</c:v>
                </c:pt>
                <c:pt idx="19">
                  <c:v>392.48356892792054</c:v>
                </c:pt>
                <c:pt idx="20">
                  <c:v>339.87210302250003</c:v>
                </c:pt>
                <c:pt idx="21">
                  <c:v>417.83999445536762</c:v>
                </c:pt>
                <c:pt idx="22">
                  <c:v>268.76944658165667</c:v>
                </c:pt>
                <c:pt idx="23">
                  <c:v>243.68472475348878</c:v>
                </c:pt>
                <c:pt idx="24">
                  <c:v>336.74273833216307</c:v>
                </c:pt>
                <c:pt idx="25">
                  <c:v>413.88208733481889</c:v>
                </c:pt>
                <c:pt idx="26">
                  <c:v>238.09503028653799</c:v>
                </c:pt>
                <c:pt idx="27">
                  <c:v>294.11503362437315</c:v>
                </c:pt>
                <c:pt idx="28">
                  <c:v>270.02220912961246</c:v>
                </c:pt>
                <c:pt idx="29">
                  <c:v>373.36521458601396</c:v>
                </c:pt>
                <c:pt idx="30">
                  <c:v>459.07539015344236</c:v>
                </c:pt>
                <c:pt idx="31">
                  <c:v>261.20481431068009</c:v>
                </c:pt>
                <c:pt idx="32">
                  <c:v>322.36731358737882</c:v>
                </c:pt>
                <c:pt idx="33">
                  <c:v>299.26638642602541</c:v>
                </c:pt>
                <c:pt idx="34">
                  <c:v>412.89438376015403</c:v>
                </c:pt>
                <c:pt idx="35">
                  <c:v>507.17538589235505</c:v>
                </c:pt>
                <c:pt idx="36">
                  <c:v>298.78536021122915</c:v>
                </c:pt>
                <c:pt idx="37">
                  <c:v>274.43900454597207</c:v>
                </c:pt>
                <c:pt idx="38">
                  <c:v>379.47776546497801</c:v>
                </c:pt>
                <c:pt idx="39">
                  <c:v>466.60107058457669</c:v>
                </c:pt>
                <c:pt idx="40">
                  <c:v>267.42324900603489</c:v>
                </c:pt>
                <c:pt idx="41">
                  <c:v>330.16826829101626</c:v>
                </c:pt>
                <c:pt idx="42">
                  <c:v>306.95550957822468</c:v>
                </c:pt>
                <c:pt idx="43">
                  <c:v>423.74854692891859</c:v>
                </c:pt>
                <c:pt idx="44">
                  <c:v>520.66708240825756</c:v>
                </c:pt>
                <c:pt idx="45">
                  <c:v>471.81582526833904</c:v>
                </c:pt>
                <c:pt idx="46">
                  <c:v>578.52959110741813</c:v>
                </c:pt>
                <c:pt idx="47">
                  <c:v>330.43307551932469</c:v>
                </c:pt>
                <c:pt idx="48">
                  <c:v>306.8250860169785</c:v>
                </c:pt>
                <c:pt idx="49">
                  <c:v>423.84459427631589</c:v>
                </c:pt>
                <c:pt idx="50">
                  <c:v>520.95185551285772</c:v>
                </c:pt>
                <c:pt idx="51">
                  <c:v>355.24876637213407</c:v>
                </c:pt>
                <c:pt idx="52">
                  <c:v>332.49097458413689</c:v>
                </c:pt>
                <c:pt idx="53">
                  <c:v>458.32619016724038</c:v>
                </c:pt>
                <c:pt idx="54">
                  <c:v>562.77987417358713</c:v>
                </c:pt>
                <c:pt idx="55">
                  <c:v>494.94331555062229</c:v>
                </c:pt>
                <c:pt idx="56">
                  <c:v>606.74342232677418</c:v>
                </c:pt>
                <c:pt idx="57">
                  <c:v>379.08375813695784</c:v>
                </c:pt>
                <c:pt idx="58">
                  <c:v>340.85182089695491</c:v>
                </c:pt>
                <c:pt idx="59">
                  <c:v>449.39266613160902</c:v>
                </c:pt>
                <c:pt idx="60">
                  <c:v>556.98166695319685</c:v>
                </c:pt>
                <c:pt idx="61">
                  <c:v>400.9652148973542</c:v>
                </c:pt>
                <c:pt idx="62">
                  <c:v>363.30007613358407</c:v>
                </c:pt>
                <c:pt idx="63">
                  <c:v>479.67710565603028</c:v>
                </c:pt>
                <c:pt idx="64">
                  <c:v>595.10229076541032</c:v>
                </c:pt>
                <c:pt idx="65">
                  <c:v>423.79579587662056</c:v>
                </c:pt>
                <c:pt idx="66">
                  <c:v>386.69745558908312</c:v>
                </c:pt>
                <c:pt idx="67">
                  <c:v>510.91066939932148</c:v>
                </c:pt>
                <c:pt idx="68">
                  <c:v>634.17203879649367</c:v>
                </c:pt>
                <c:pt idx="69">
                  <c:v>243.34742452224435</c:v>
                </c:pt>
                <c:pt idx="70">
                  <c:v>319.51310086004077</c:v>
                </c:pt>
                <c:pt idx="71">
                  <c:v>420.59885005504668</c:v>
                </c:pt>
                <c:pt idx="72">
                  <c:v>383.07096544061903</c:v>
                </c:pt>
                <c:pt idx="73">
                  <c:v>505.95851136251872</c:v>
                </c:pt>
                <c:pt idx="74">
                  <c:v>627.8942128713519</c:v>
                </c:pt>
                <c:pt idx="75">
                  <c:v>266.12176359552905</c:v>
                </c:pt>
                <c:pt idx="76">
                  <c:v>350.00118384162084</c:v>
                </c:pt>
                <c:pt idx="77">
                  <c:v>461.37192491435388</c:v>
                </c:pt>
                <c:pt idx="78">
                  <c:v>424.83593763333351</c:v>
                </c:pt>
                <c:pt idx="79">
                  <c:v>561.43680605886925</c:v>
                </c:pt>
                <c:pt idx="80">
                  <c:v>697.08583007133882</c:v>
                </c:pt>
                <c:pt idx="81">
                  <c:v>291.80279558910286</c:v>
                </c:pt>
                <c:pt idx="82">
                  <c:v>383.39595974349004</c:v>
                </c:pt>
                <c:pt idx="83">
                  <c:v>505.05169269395026</c:v>
                </c:pt>
                <c:pt idx="84">
                  <c:v>469.50760274633717</c:v>
                </c:pt>
                <c:pt idx="85">
                  <c:v>270.36815131673393</c:v>
                </c:pt>
                <c:pt idx="86">
                  <c:v>355.519388159779</c:v>
                </c:pt>
                <c:pt idx="87">
                  <c:v>468.58588469511648</c:v>
                </c:pt>
                <c:pt idx="88">
                  <c:v>431.79636624359966</c:v>
                </c:pt>
                <c:pt idx="89">
                  <c:v>298.81249028859901</c:v>
                </c:pt>
                <c:pt idx="90">
                  <c:v>392.77943445541024</c:v>
                </c:pt>
                <c:pt idx="91">
                  <c:v>517.60020742243591</c:v>
                </c:pt>
                <c:pt idx="92">
                  <c:v>481.94428592338443</c:v>
                </c:pt>
                <c:pt idx="93">
                  <c:v>433.83597762652118</c:v>
                </c:pt>
                <c:pt idx="94">
                  <c:v>570.41102702523494</c:v>
                </c:pt>
                <c:pt idx="95">
                  <c:v>535.88870247864907</c:v>
                </c:pt>
                <c:pt idx="96">
                  <c:v>299.02067978974662</c:v>
                </c:pt>
                <c:pt idx="97">
                  <c:v>393.15747713804041</c:v>
                </c:pt>
                <c:pt idx="98">
                  <c:v>518.20472101370933</c:v>
                </c:pt>
                <c:pt idx="99">
                  <c:v>482.15356872510347</c:v>
                </c:pt>
                <c:pt idx="100">
                  <c:v>321.63244381161439</c:v>
                </c:pt>
                <c:pt idx="101">
                  <c:v>422.38102165273278</c:v>
                </c:pt>
                <c:pt idx="102">
                  <c:v>556.24397285216787</c:v>
                </c:pt>
                <c:pt idx="103">
                  <c:v>521.04301827791096</c:v>
                </c:pt>
                <c:pt idx="104">
                  <c:v>453.74009565988251</c:v>
                </c:pt>
                <c:pt idx="105">
                  <c:v>596.41875418308382</c:v>
                </c:pt>
                <c:pt idx="106">
                  <c:v>562.06799732317586</c:v>
                </c:pt>
                <c:pt idx="107">
                  <c:v>349.03467385291719</c:v>
                </c:pt>
                <c:pt idx="108">
                  <c:v>468.87406933417981</c:v>
                </c:pt>
                <c:pt idx="109">
                  <c:v>587.76162040237614</c:v>
                </c:pt>
                <c:pt idx="110">
                  <c:v>530.17365216152484</c:v>
                </c:pt>
                <c:pt idx="111">
                  <c:v>368.95708454136559</c:v>
                </c:pt>
                <c:pt idx="112">
                  <c:v>496.63266431042035</c:v>
                </c:pt>
                <c:pt idx="113">
                  <c:v>623.35639966640883</c:v>
                </c:pt>
                <c:pt idx="114">
                  <c:v>566.33522990179017</c:v>
                </c:pt>
                <c:pt idx="115">
                  <c:v>389.82861944868387</c:v>
                </c:pt>
                <c:pt idx="116">
                  <c:v>525.34038350553078</c:v>
                </c:pt>
                <c:pt idx="117">
                  <c:v>659.90030314931141</c:v>
                </c:pt>
                <c:pt idx="118">
                  <c:v>603.44593186092561</c:v>
                </c:pt>
                <c:pt idx="119">
                  <c:v>390.44466842957343</c:v>
                </c:pt>
                <c:pt idx="120">
                  <c:v>337.71740583175796</c:v>
                </c:pt>
                <c:pt idx="121">
                  <c:v>418.53307194944693</c:v>
                </c:pt>
                <c:pt idx="122">
                  <c:v>386.96309059919474</c:v>
                </c:pt>
                <c:pt idx="123">
                  <c:v>521.14918676770287</c:v>
                </c:pt>
                <c:pt idx="124">
                  <c:v>654.38343852314472</c:v>
                </c:pt>
                <c:pt idx="125">
                  <c:v>597.4995229078686</c:v>
                </c:pt>
                <c:pt idx="126">
                  <c:v>414.19311514096523</c:v>
                </c:pt>
                <c:pt idx="127">
                  <c:v>360.69777455713222</c:v>
                </c:pt>
                <c:pt idx="128">
                  <c:v>448.37010192663934</c:v>
                </c:pt>
                <c:pt idx="129">
                  <c:v>424.3078348325929</c:v>
                </c:pt>
                <c:pt idx="130">
                  <c:v>572.2072535047372</c:v>
                </c:pt>
                <c:pt idx="131">
                  <c:v>719.15482776381521</c:v>
                </c:pt>
                <c:pt idx="132">
                  <c:v>663.26280948194631</c:v>
                </c:pt>
                <c:pt idx="133">
                  <c:v>440.84825477264633</c:v>
                </c:pt>
                <c:pt idx="134">
                  <c:v>386.5848362027956</c:v>
                </c:pt>
                <c:pt idx="135">
                  <c:v>481.1138248241208</c:v>
                </c:pt>
                <c:pt idx="136">
                  <c:v>464.55927198628018</c:v>
                </c:pt>
                <c:pt idx="137">
                  <c:v>419.99244474563363</c:v>
                </c:pt>
                <c:pt idx="138">
                  <c:v>365.97265622068699</c:v>
                </c:pt>
                <c:pt idx="139">
                  <c:v>454.77548723193024</c:v>
                </c:pt>
                <c:pt idx="140">
                  <c:v>430.95654279248737</c:v>
                </c:pt>
                <c:pt idx="141">
                  <c:v>449.55004958962121</c:v>
                </c:pt>
                <c:pt idx="142">
                  <c:v>394.65245765208294</c:v>
                </c:pt>
                <c:pt idx="143">
                  <c:v>491.29147295111841</c:v>
                </c:pt>
                <c:pt idx="144">
                  <c:v>476.05277337591065</c:v>
                </c:pt>
                <c:pt idx="145">
                  <c:v>531.60395554578622</c:v>
                </c:pt>
                <c:pt idx="146">
                  <c:v>524.94550083481363</c:v>
                </c:pt>
                <c:pt idx="147">
                  <c:v>451.17202274021696</c:v>
                </c:pt>
                <c:pt idx="148">
                  <c:v>395.85970828813913</c:v>
                </c:pt>
                <c:pt idx="149">
                  <c:v>492.64970419293684</c:v>
                </c:pt>
                <c:pt idx="150">
                  <c:v>476.58179666430306</c:v>
                </c:pt>
                <c:pt idx="151">
                  <c:v>474.61873616617657</c:v>
                </c:pt>
                <c:pt idx="152">
                  <c:v>418.6480691546551</c:v>
                </c:pt>
                <c:pt idx="153">
                  <c:v>521.31520327529688</c:v>
                </c:pt>
                <c:pt idx="154">
                  <c:v>511.68247939483945</c:v>
                </c:pt>
                <c:pt idx="155">
                  <c:v>552.11623185011433</c:v>
                </c:pt>
                <c:pt idx="156">
                  <c:v>548.91869161783336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DF-4F33-B7FC-7DFE8F4C3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857984"/>
        <c:axId val="1347852576"/>
      </c:scatterChart>
      <c:valAx>
        <c:axId val="1347857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ALPHA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7852576"/>
        <c:crosses val="autoZero"/>
        <c:crossBetween val="midCat"/>
      </c:valAx>
      <c:valAx>
        <c:axId val="1347852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RSE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7857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FTP_2!$F$1</c:f>
              <c:strCache>
                <c:ptCount val="1"/>
                <c:pt idx="0">
                  <c:v>CO2-RSE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FTP_2!$E$2:$E$158</c:f>
              <c:numCache>
                <c:formatCode>General</c:formatCode>
                <c:ptCount val="157"/>
                <c:pt idx="0">
                  <c:v>208.26545400000001</c:v>
                </c:pt>
                <c:pt idx="1">
                  <c:v>265.77746400000001</c:v>
                </c:pt>
                <c:pt idx="2">
                  <c:v>211.08391499999999</c:v>
                </c:pt>
                <c:pt idx="3">
                  <c:v>269.46799800000002</c:v>
                </c:pt>
                <c:pt idx="4">
                  <c:v>213.919363</c:v>
                </c:pt>
                <c:pt idx="5">
                  <c:v>273.154583</c:v>
                </c:pt>
                <c:pt idx="6">
                  <c:v>229.76704599999999</c:v>
                </c:pt>
                <c:pt idx="7">
                  <c:v>293.34265199999999</c:v>
                </c:pt>
                <c:pt idx="8">
                  <c:v>233.19515100000001</c:v>
                </c:pt>
                <c:pt idx="9">
                  <c:v>297.93579899999997</c:v>
                </c:pt>
                <c:pt idx="10">
                  <c:v>302.38627400000001</c:v>
                </c:pt>
                <c:pt idx="11">
                  <c:v>252.49749</c:v>
                </c:pt>
                <c:pt idx="12">
                  <c:v>322.39206300000001</c:v>
                </c:pt>
                <c:pt idx="13">
                  <c:v>255.09238199999999</c:v>
                </c:pt>
                <c:pt idx="14">
                  <c:v>325.83630399999998</c:v>
                </c:pt>
                <c:pt idx="15">
                  <c:v>330.06966799999998</c:v>
                </c:pt>
                <c:pt idx="16">
                  <c:v>301.83361300000001</c:v>
                </c:pt>
                <c:pt idx="17">
                  <c:v>365.29000100000002</c:v>
                </c:pt>
                <c:pt idx="18">
                  <c:v>304.25137699999999</c:v>
                </c:pt>
                <c:pt idx="19">
                  <c:v>368.19463100000002</c:v>
                </c:pt>
                <c:pt idx="20">
                  <c:v>306.71396900000002</c:v>
                </c:pt>
                <c:pt idx="21">
                  <c:v>371.18574000000001</c:v>
                </c:pt>
                <c:pt idx="22">
                  <c:v>278.01088499999997</c:v>
                </c:pt>
                <c:pt idx="23">
                  <c:v>242.92525599999999</c:v>
                </c:pt>
                <c:pt idx="24">
                  <c:v>328.84759200000002</c:v>
                </c:pt>
                <c:pt idx="25">
                  <c:v>398.23225200000002</c:v>
                </c:pt>
                <c:pt idx="26">
                  <c:v>232.47862599999999</c:v>
                </c:pt>
                <c:pt idx="27">
                  <c:v>281.35172299999999</c:v>
                </c:pt>
                <c:pt idx="28">
                  <c:v>246.32309799999999</c:v>
                </c:pt>
                <c:pt idx="29">
                  <c:v>333.409942</c:v>
                </c:pt>
                <c:pt idx="30">
                  <c:v>403.867097</c:v>
                </c:pt>
                <c:pt idx="31">
                  <c:v>235.21418199999999</c:v>
                </c:pt>
                <c:pt idx="32">
                  <c:v>284.65212200000002</c:v>
                </c:pt>
                <c:pt idx="33">
                  <c:v>249.698241</c:v>
                </c:pt>
                <c:pt idx="34">
                  <c:v>338.26728300000002</c:v>
                </c:pt>
                <c:pt idx="35">
                  <c:v>409.46136200000001</c:v>
                </c:pt>
                <c:pt idx="36">
                  <c:v>302.38356399999998</c:v>
                </c:pt>
                <c:pt idx="37">
                  <c:v>268.07932299999999</c:v>
                </c:pt>
                <c:pt idx="38">
                  <c:v>363.59871299999998</c:v>
                </c:pt>
                <c:pt idx="39">
                  <c:v>440.51397900000001</c:v>
                </c:pt>
                <c:pt idx="40">
                  <c:v>252.82146700000001</c:v>
                </c:pt>
                <c:pt idx="41">
                  <c:v>306.33700199999998</c:v>
                </c:pt>
                <c:pt idx="42">
                  <c:v>272.08921900000001</c:v>
                </c:pt>
                <c:pt idx="43">
                  <c:v>369.03095300000001</c:v>
                </c:pt>
                <c:pt idx="44">
                  <c:v>447.13806699999998</c:v>
                </c:pt>
                <c:pt idx="45">
                  <c:v>374.49655899999999</c:v>
                </c:pt>
                <c:pt idx="46">
                  <c:v>453.78840700000001</c:v>
                </c:pt>
                <c:pt idx="47">
                  <c:v>327.62418100000002</c:v>
                </c:pt>
                <c:pt idx="48">
                  <c:v>294.309439</c:v>
                </c:pt>
                <c:pt idx="49">
                  <c:v>399.37124999999997</c:v>
                </c:pt>
                <c:pt idx="50">
                  <c:v>484.20869499999998</c:v>
                </c:pt>
                <c:pt idx="51">
                  <c:v>330.62766800000003</c:v>
                </c:pt>
                <c:pt idx="52">
                  <c:v>297.67992199999998</c:v>
                </c:pt>
                <c:pt idx="53">
                  <c:v>403.61950300000001</c:v>
                </c:pt>
                <c:pt idx="54">
                  <c:v>489.38141200000001</c:v>
                </c:pt>
                <c:pt idx="55">
                  <c:v>407.91493000000003</c:v>
                </c:pt>
                <c:pt idx="56">
                  <c:v>494.62891500000001</c:v>
                </c:pt>
                <c:pt idx="57">
                  <c:v>397.05692800000003</c:v>
                </c:pt>
                <c:pt idx="58">
                  <c:v>349.41406499999999</c:v>
                </c:pt>
                <c:pt idx="59">
                  <c:v>451.49248999999998</c:v>
                </c:pt>
                <c:pt idx="60">
                  <c:v>554.41388500000005</c:v>
                </c:pt>
                <c:pt idx="61">
                  <c:v>399.95909</c:v>
                </c:pt>
                <c:pt idx="62">
                  <c:v>352.17042800000002</c:v>
                </c:pt>
                <c:pt idx="63">
                  <c:v>455.18907200000001</c:v>
                </c:pt>
                <c:pt idx="64">
                  <c:v>559.83977000000004</c:v>
                </c:pt>
                <c:pt idx="65">
                  <c:v>402.94182000000001</c:v>
                </c:pt>
                <c:pt idx="66">
                  <c:v>355.02331600000002</c:v>
                </c:pt>
                <c:pt idx="67">
                  <c:v>458.812996</c:v>
                </c:pt>
                <c:pt idx="68">
                  <c:v>564.43891699999995</c:v>
                </c:pt>
                <c:pt idx="69">
                  <c:v>263.375271</c:v>
                </c:pt>
                <c:pt idx="70">
                  <c:v>337.18350400000003</c:v>
                </c:pt>
                <c:pt idx="71">
                  <c:v>428.10327799999999</c:v>
                </c:pt>
                <c:pt idx="72">
                  <c:v>380.781857</c:v>
                </c:pt>
                <c:pt idx="73">
                  <c:v>492.49405400000001</c:v>
                </c:pt>
                <c:pt idx="74">
                  <c:v>606.41102699999999</c:v>
                </c:pt>
                <c:pt idx="75">
                  <c:v>266.42752100000001</c:v>
                </c:pt>
                <c:pt idx="76">
                  <c:v>341.28225400000002</c:v>
                </c:pt>
                <c:pt idx="77">
                  <c:v>433.41862099999997</c:v>
                </c:pt>
                <c:pt idx="78">
                  <c:v>386.07646199999999</c:v>
                </c:pt>
                <c:pt idx="79">
                  <c:v>499.766032</c:v>
                </c:pt>
                <c:pt idx="80">
                  <c:v>614.83167900000001</c:v>
                </c:pt>
                <c:pt idx="81">
                  <c:v>269.54745000000003</c:v>
                </c:pt>
                <c:pt idx="82">
                  <c:v>345.360345</c:v>
                </c:pt>
                <c:pt idx="83">
                  <c:v>438.90257500000001</c:v>
                </c:pt>
                <c:pt idx="84">
                  <c:v>391.682953</c:v>
                </c:pt>
                <c:pt idx="85">
                  <c:v>286.02538800000002</c:v>
                </c:pt>
                <c:pt idx="86">
                  <c:v>366.94800400000003</c:v>
                </c:pt>
                <c:pt idx="87">
                  <c:v>467.49500999999998</c:v>
                </c:pt>
                <c:pt idx="88">
                  <c:v>421.08254399999998</c:v>
                </c:pt>
                <c:pt idx="89">
                  <c:v>289.71176400000002</c:v>
                </c:pt>
                <c:pt idx="90">
                  <c:v>371.801242</c:v>
                </c:pt>
                <c:pt idx="91">
                  <c:v>473.93566800000002</c:v>
                </c:pt>
                <c:pt idx="92">
                  <c:v>427.21662600000002</c:v>
                </c:pt>
                <c:pt idx="93">
                  <c:v>376.67568699999998</c:v>
                </c:pt>
                <c:pt idx="94">
                  <c:v>480.211904</c:v>
                </c:pt>
                <c:pt idx="95">
                  <c:v>433.57674900000001</c:v>
                </c:pt>
                <c:pt idx="96">
                  <c:v>309.40090400000003</c:v>
                </c:pt>
                <c:pt idx="97">
                  <c:v>397.67825099999999</c:v>
                </c:pt>
                <c:pt idx="98">
                  <c:v>507.64575300000001</c:v>
                </c:pt>
                <c:pt idx="99">
                  <c:v>462.477147</c:v>
                </c:pt>
                <c:pt idx="100">
                  <c:v>312.18634400000002</c:v>
                </c:pt>
                <c:pt idx="101">
                  <c:v>401.31565399999999</c:v>
                </c:pt>
                <c:pt idx="102">
                  <c:v>512.91851099999997</c:v>
                </c:pt>
                <c:pt idx="103">
                  <c:v>467.327606</c:v>
                </c:pt>
                <c:pt idx="104">
                  <c:v>404.98818799999998</c:v>
                </c:pt>
                <c:pt idx="105">
                  <c:v>517.69000600000004</c:v>
                </c:pt>
                <c:pt idx="106">
                  <c:v>472.30924399999998</c:v>
                </c:pt>
                <c:pt idx="107">
                  <c:v>378.52637900000002</c:v>
                </c:pt>
                <c:pt idx="108">
                  <c:v>498.70719400000002</c:v>
                </c:pt>
                <c:pt idx="109">
                  <c:v>629.89798199999996</c:v>
                </c:pt>
                <c:pt idx="110">
                  <c:v>538.87602600000002</c:v>
                </c:pt>
                <c:pt idx="111">
                  <c:v>381.30021099999999</c:v>
                </c:pt>
                <c:pt idx="112">
                  <c:v>502.380246</c:v>
                </c:pt>
                <c:pt idx="113">
                  <c:v>634.168815</c:v>
                </c:pt>
                <c:pt idx="114">
                  <c:v>543.25832700000001</c:v>
                </c:pt>
                <c:pt idx="115">
                  <c:v>384.09155299999998</c:v>
                </c:pt>
                <c:pt idx="116">
                  <c:v>506.05434600000001</c:v>
                </c:pt>
                <c:pt idx="117">
                  <c:v>638.52131199999997</c:v>
                </c:pt>
                <c:pt idx="118">
                  <c:v>547.69759399999998</c:v>
                </c:pt>
                <c:pt idx="119">
                  <c:v>456.91089199999999</c:v>
                </c:pt>
                <c:pt idx="120">
                  <c:v>383.93769400000002</c:v>
                </c:pt>
                <c:pt idx="121">
                  <c:v>484.43885499999999</c:v>
                </c:pt>
                <c:pt idx="122">
                  <c:v>407.56641500000001</c:v>
                </c:pt>
                <c:pt idx="123">
                  <c:v>537.584833</c:v>
                </c:pt>
                <c:pt idx="124">
                  <c:v>677.56072700000004</c:v>
                </c:pt>
                <c:pt idx="125">
                  <c:v>588.35555399999998</c:v>
                </c:pt>
                <c:pt idx="126">
                  <c:v>460.64146499999998</c:v>
                </c:pt>
                <c:pt idx="127">
                  <c:v>387.52164800000003</c:v>
                </c:pt>
                <c:pt idx="128">
                  <c:v>488.78656899999999</c:v>
                </c:pt>
                <c:pt idx="129">
                  <c:v>412.60165899999998</c:v>
                </c:pt>
                <c:pt idx="130">
                  <c:v>544.14764700000001</c:v>
                </c:pt>
                <c:pt idx="131">
                  <c:v>685.60937999999999</c:v>
                </c:pt>
                <c:pt idx="132">
                  <c:v>596.09325799999999</c:v>
                </c:pt>
                <c:pt idx="133">
                  <c:v>464.43966999999998</c:v>
                </c:pt>
                <c:pt idx="134">
                  <c:v>391.15605499999998</c:v>
                </c:pt>
                <c:pt idx="135">
                  <c:v>493.16058099999998</c:v>
                </c:pt>
                <c:pt idx="136">
                  <c:v>417.72186399999998</c:v>
                </c:pt>
                <c:pt idx="137">
                  <c:v>483.21882399999998</c:v>
                </c:pt>
                <c:pt idx="138">
                  <c:v>409.18966499999999</c:v>
                </c:pt>
                <c:pt idx="139">
                  <c:v>515.67014600000005</c:v>
                </c:pt>
                <c:pt idx="140">
                  <c:v>444.67058400000002</c:v>
                </c:pt>
                <c:pt idx="141">
                  <c:v>487.59338300000002</c:v>
                </c:pt>
                <c:pt idx="142">
                  <c:v>413.35003799999998</c:v>
                </c:pt>
                <c:pt idx="143">
                  <c:v>520.82687999999996</c:v>
                </c:pt>
                <c:pt idx="144">
                  <c:v>450.58042399999999</c:v>
                </c:pt>
                <c:pt idx="145">
                  <c:v>525.98087799999996</c:v>
                </c:pt>
                <c:pt idx="146">
                  <c:v>456.53631300000001</c:v>
                </c:pt>
                <c:pt idx="147">
                  <c:v>510.03079100000002</c:v>
                </c:pt>
                <c:pt idx="148">
                  <c:v>434.75755800000002</c:v>
                </c:pt>
                <c:pt idx="149">
                  <c:v>547.26393700000006</c:v>
                </c:pt>
                <c:pt idx="150">
                  <c:v>482.54562099999998</c:v>
                </c:pt>
                <c:pt idx="151">
                  <c:v>513.38214900000003</c:v>
                </c:pt>
                <c:pt idx="152">
                  <c:v>437.92311100000001</c:v>
                </c:pt>
                <c:pt idx="153">
                  <c:v>551.22498800000005</c:v>
                </c:pt>
                <c:pt idx="154">
                  <c:v>487.07338199999998</c:v>
                </c:pt>
                <c:pt idx="155">
                  <c:v>555.22423900000001</c:v>
                </c:pt>
                <c:pt idx="156">
                  <c:v>491.63610399999999</c:v>
                </c:pt>
              </c:numCache>
            </c:numRef>
          </c:xVal>
          <c:yVal>
            <c:numRef>
              <c:f>FTP_2!$F$2:$F$158</c:f>
              <c:numCache>
                <c:formatCode>General</c:formatCode>
                <c:ptCount val="157"/>
                <c:pt idx="0">
                  <c:v>210.73824628839193</c:v>
                </c:pt>
                <c:pt idx="1">
                  <c:v>270.20073352870008</c:v>
                </c:pt>
                <c:pt idx="2">
                  <c:v>213.23118726626484</c:v>
                </c:pt>
                <c:pt idx="3">
                  <c:v>273.52822439098253</c:v>
                </c:pt>
                <c:pt idx="4">
                  <c:v>216.04405363253116</c:v>
                </c:pt>
                <c:pt idx="5">
                  <c:v>277.17564064165828</c:v>
                </c:pt>
                <c:pt idx="6">
                  <c:v>232.58033877566612</c:v>
                </c:pt>
                <c:pt idx="7">
                  <c:v>298.30602494875228</c:v>
                </c:pt>
                <c:pt idx="8">
                  <c:v>235.84711664639917</c:v>
                </c:pt>
                <c:pt idx="9">
                  <c:v>302.52657411595334</c:v>
                </c:pt>
                <c:pt idx="10">
                  <c:v>307.16498501493351</c:v>
                </c:pt>
                <c:pt idx="11">
                  <c:v>255.29887023468964</c:v>
                </c:pt>
                <c:pt idx="12">
                  <c:v>327.28775534055376</c:v>
                </c:pt>
                <c:pt idx="13">
                  <c:v>258.00346868229531</c:v>
                </c:pt>
                <c:pt idx="14">
                  <c:v>330.70768226051035</c:v>
                </c:pt>
                <c:pt idx="15">
                  <c:v>334.36265640459277</c:v>
                </c:pt>
                <c:pt idx="16">
                  <c:v>302.32127461552079</c:v>
                </c:pt>
                <c:pt idx="17">
                  <c:v>370.12292609447911</c:v>
                </c:pt>
                <c:pt idx="18">
                  <c:v>304.48288154600175</c:v>
                </c:pt>
                <c:pt idx="19">
                  <c:v>372.88064008525254</c:v>
                </c:pt>
                <c:pt idx="20">
                  <c:v>306.74895390942754</c:v>
                </c:pt>
                <c:pt idx="21">
                  <c:v>375.74281950897085</c:v>
                </c:pt>
                <c:pt idx="22">
                  <c:v>282.30542293748397</c:v>
                </c:pt>
                <c:pt idx="23">
                  <c:v>240.47626813097378</c:v>
                </c:pt>
                <c:pt idx="24">
                  <c:v>329.60899498958594</c:v>
                </c:pt>
                <c:pt idx="25">
                  <c:v>403.79306681338073</c:v>
                </c:pt>
                <c:pt idx="26">
                  <c:v>233.3274212281575</c:v>
                </c:pt>
                <c:pt idx="27">
                  <c:v>285.60699226642794</c:v>
                </c:pt>
                <c:pt idx="28">
                  <c:v>243.38648405105147</c:v>
                </c:pt>
                <c:pt idx="29">
                  <c:v>333.77103573627784</c:v>
                </c:pt>
                <c:pt idx="30">
                  <c:v>408.99829491558449</c:v>
                </c:pt>
                <c:pt idx="31">
                  <c:v>236.32300353218773</c:v>
                </c:pt>
                <c:pt idx="32">
                  <c:v>289.22848698376526</c:v>
                </c:pt>
                <c:pt idx="33">
                  <c:v>246.61662535952252</c:v>
                </c:pt>
                <c:pt idx="34">
                  <c:v>338.25300187136315</c:v>
                </c:pt>
                <c:pt idx="35">
                  <c:v>414.52344840618167</c:v>
                </c:pt>
                <c:pt idx="36">
                  <c:v>307.44752785468779</c:v>
                </c:pt>
                <c:pt idx="37">
                  <c:v>265.44996008463698</c:v>
                </c:pt>
                <c:pt idx="38">
                  <c:v>363.97748534241612</c:v>
                </c:pt>
                <c:pt idx="39">
                  <c:v>445.99055583218336</c:v>
                </c:pt>
                <c:pt idx="40">
                  <c:v>254.57206611546133</c:v>
                </c:pt>
                <c:pt idx="41">
                  <c:v>311.63845241235913</c:v>
                </c:pt>
                <c:pt idx="42">
                  <c:v>269.19362360360401</c:v>
                </c:pt>
                <c:pt idx="43">
                  <c:v>369.15180580608512</c:v>
                </c:pt>
                <c:pt idx="44">
                  <c:v>452.3570904164373</c:v>
                </c:pt>
                <c:pt idx="45">
                  <c:v>374.7439880015333</c:v>
                </c:pt>
                <c:pt idx="46">
                  <c:v>459.14148673247047</c:v>
                </c:pt>
                <c:pt idx="47">
                  <c:v>333.4660717436409</c:v>
                </c:pt>
                <c:pt idx="48">
                  <c:v>291.30009101004947</c:v>
                </c:pt>
                <c:pt idx="49">
                  <c:v>399.22241466699552</c:v>
                </c:pt>
                <c:pt idx="50">
                  <c:v>489.06448382273527</c:v>
                </c:pt>
                <c:pt idx="51">
                  <c:v>336.8637802064502</c:v>
                </c:pt>
                <c:pt idx="52">
                  <c:v>294.36235369383058</c:v>
                </c:pt>
                <c:pt idx="53">
                  <c:v>403.35767005930313</c:v>
                </c:pt>
                <c:pt idx="54">
                  <c:v>494.09389980548161</c:v>
                </c:pt>
                <c:pt idx="55">
                  <c:v>407.72797267573651</c:v>
                </c:pt>
                <c:pt idx="56">
                  <c:v>499.35836301235366</c:v>
                </c:pt>
                <c:pt idx="57">
                  <c:v>405.7867577511538</c:v>
                </c:pt>
                <c:pt idx="58">
                  <c:v>343.01243283653741</c:v>
                </c:pt>
                <c:pt idx="59">
                  <c:v>451.37306719917075</c:v>
                </c:pt>
                <c:pt idx="60">
                  <c:v>559.51679844411478</c:v>
                </c:pt>
                <c:pt idx="61">
                  <c:v>408.52965943716231</c:v>
                </c:pt>
                <c:pt idx="62">
                  <c:v>345.53170400319379</c:v>
                </c:pt>
                <c:pt idx="63">
                  <c:v>454.84610966229508</c:v>
                </c:pt>
                <c:pt idx="64">
                  <c:v>563.94361220370706</c:v>
                </c:pt>
                <c:pt idx="65">
                  <c:v>411.37702655611577</c:v>
                </c:pt>
                <c:pt idx="66">
                  <c:v>348.15544060279512</c:v>
                </c:pt>
                <c:pt idx="67">
                  <c:v>458.42361755836441</c:v>
                </c:pt>
                <c:pt idx="68">
                  <c:v>568.4748913962444</c:v>
                </c:pt>
                <c:pt idx="69">
                  <c:v>256.48240637511799</c:v>
                </c:pt>
                <c:pt idx="70">
                  <c:v>333.92857956152221</c:v>
                </c:pt>
                <c:pt idx="71">
                  <c:v>437.08338680682368</c:v>
                </c:pt>
                <c:pt idx="72">
                  <c:v>374.12960541750442</c:v>
                </c:pt>
                <c:pt idx="73">
                  <c:v>492.70211233187604</c:v>
                </c:pt>
                <c:pt idx="74">
                  <c:v>611.05771612855847</c:v>
                </c:pt>
                <c:pt idx="75">
                  <c:v>259.47101949740835</c:v>
                </c:pt>
                <c:pt idx="76">
                  <c:v>337.85606130377329</c:v>
                </c:pt>
                <c:pt idx="77">
                  <c:v>442.26269337568897</c:v>
                </c:pt>
                <c:pt idx="78">
                  <c:v>378.91755857750354</c:v>
                </c:pt>
                <c:pt idx="79">
                  <c:v>499.15916526069401</c:v>
                </c:pt>
                <c:pt idx="80">
                  <c:v>619.18386882619541</c:v>
                </c:pt>
                <c:pt idx="81">
                  <c:v>262.77955800809212</c:v>
                </c:pt>
                <c:pt idx="82">
                  <c:v>342.10346843441778</c:v>
                </c:pt>
                <c:pt idx="83">
                  <c:v>447.76192533294773</c:v>
                </c:pt>
                <c:pt idx="84">
                  <c:v>384.02543712589591</c:v>
                </c:pt>
                <c:pt idx="85">
                  <c:v>279.27581169253</c:v>
                </c:pt>
                <c:pt idx="86">
                  <c:v>363.76808367830955</c:v>
                </c:pt>
                <c:pt idx="87">
                  <c:v>476.31768932277794</c:v>
                </c:pt>
                <c:pt idx="88">
                  <c:v>413.19549496991817</c:v>
                </c:pt>
                <c:pt idx="89">
                  <c:v>283.10907201402591</c:v>
                </c:pt>
                <c:pt idx="90">
                  <c:v>368.67433670833185</c:v>
                </c:pt>
                <c:pt idx="91">
                  <c:v>482.65459929750227</c:v>
                </c:pt>
                <c:pt idx="92">
                  <c:v>419.08514390593814</c:v>
                </c:pt>
                <c:pt idx="93">
                  <c:v>373.99845147013338</c:v>
                </c:pt>
                <c:pt idx="94">
                  <c:v>489.40937100400583</c:v>
                </c:pt>
                <c:pt idx="95">
                  <c:v>425.39265457373733</c:v>
                </c:pt>
                <c:pt idx="96">
                  <c:v>302.9456559816914</c:v>
                </c:pt>
                <c:pt idx="97">
                  <c:v>394.48402676684606</c:v>
                </c:pt>
                <c:pt idx="98">
                  <c:v>516.42843081048136</c:v>
                </c:pt>
                <c:pt idx="99">
                  <c:v>453.13782349408098</c:v>
                </c:pt>
                <c:pt idx="100">
                  <c:v>306.07511626736914</c:v>
                </c:pt>
                <c:pt idx="101">
                  <c:v>398.41823158391867</c:v>
                </c:pt>
                <c:pt idx="102">
                  <c:v>521.43562833608053</c:v>
                </c:pt>
                <c:pt idx="103">
                  <c:v>457.80957524065184</c:v>
                </c:pt>
                <c:pt idx="104">
                  <c:v>402.58748362511704</c:v>
                </c:pt>
                <c:pt idx="105">
                  <c:v>526.67787308580546</c:v>
                </c:pt>
                <c:pt idx="106">
                  <c:v>462.71637421134847</c:v>
                </c:pt>
                <c:pt idx="107">
                  <c:v>373.96834658551006</c:v>
                </c:pt>
                <c:pt idx="108">
                  <c:v>501.16065257895139</c:v>
                </c:pt>
                <c:pt idx="109">
                  <c:v>628.13605545470364</c:v>
                </c:pt>
                <c:pt idx="110">
                  <c:v>532.50120030016217</c:v>
                </c:pt>
                <c:pt idx="111">
                  <c:v>376.4728054474017</c:v>
                </c:pt>
                <c:pt idx="112">
                  <c:v>504.61888273731091</c:v>
                </c:pt>
                <c:pt idx="113">
                  <c:v>632.54805690953106</c:v>
                </c:pt>
                <c:pt idx="114">
                  <c:v>536.68957123563746</c:v>
                </c:pt>
                <c:pt idx="115">
                  <c:v>379.08172974223811</c:v>
                </c:pt>
                <c:pt idx="116">
                  <c:v>508.18157832861544</c:v>
                </c:pt>
                <c:pt idx="117">
                  <c:v>637.06452379730354</c:v>
                </c:pt>
                <c:pt idx="118">
                  <c:v>540.98240760405781</c:v>
                </c:pt>
                <c:pt idx="119">
                  <c:v>455.94110207840305</c:v>
                </c:pt>
                <c:pt idx="120">
                  <c:v>387.03507454866917</c:v>
                </c:pt>
                <c:pt idx="121">
                  <c:v>478.24695198363656</c:v>
                </c:pt>
                <c:pt idx="122">
                  <c:v>402.71200750324545</c:v>
                </c:pt>
                <c:pt idx="123">
                  <c:v>540.11618604842499</c:v>
                </c:pt>
                <c:pt idx="124">
                  <c:v>677.30346147591558</c:v>
                </c:pt>
                <c:pt idx="125">
                  <c:v>581.48914984667124</c:v>
                </c:pt>
                <c:pt idx="126">
                  <c:v>460.75778557522136</c:v>
                </c:pt>
                <c:pt idx="127">
                  <c:v>391.26984151816453</c:v>
                </c:pt>
                <c:pt idx="128">
                  <c:v>483.31626883754143</c:v>
                </c:pt>
                <c:pt idx="129">
                  <c:v>407.47403912990598</c:v>
                </c:pt>
                <c:pt idx="130">
                  <c:v>546.5473174439046</c:v>
                </c:pt>
                <c:pt idx="131">
                  <c:v>685.4036926402141</c:v>
                </c:pt>
                <c:pt idx="132">
                  <c:v>589.19802760210337</c:v>
                </c:pt>
                <c:pt idx="133">
                  <c:v>465.89439446043309</c:v>
                </c:pt>
                <c:pt idx="134">
                  <c:v>395.82453387605329</c:v>
                </c:pt>
                <c:pt idx="135">
                  <c:v>488.70551107983965</c:v>
                </c:pt>
                <c:pt idx="136">
                  <c:v>412.55599614496003</c:v>
                </c:pt>
                <c:pt idx="137">
                  <c:v>483.2112290253632</c:v>
                </c:pt>
                <c:pt idx="138">
                  <c:v>412.57876682055985</c:v>
                </c:pt>
                <c:pt idx="139">
                  <c:v>510.05384318830534</c:v>
                </c:pt>
                <c:pt idx="140">
                  <c:v>438.81471055281077</c:v>
                </c:pt>
                <c:pt idx="141">
                  <c:v>489.13371263203373</c:v>
                </c:pt>
                <c:pt idx="142">
                  <c:v>417.83620296743288</c:v>
                </c:pt>
                <c:pt idx="143">
                  <c:v>516.26505063164632</c:v>
                </c:pt>
                <c:pt idx="144">
                  <c:v>444.67473487930107</c:v>
                </c:pt>
                <c:pt idx="145">
                  <c:v>522.89411980676641</c:v>
                </c:pt>
                <c:pt idx="146">
                  <c:v>450.95262093757054</c:v>
                </c:pt>
                <c:pt idx="147">
                  <c:v>511.35779494407257</c:v>
                </c:pt>
                <c:pt idx="148">
                  <c:v>438.99889806420003</c:v>
                </c:pt>
                <c:pt idx="149">
                  <c:v>542.73717336472339</c:v>
                </c:pt>
                <c:pt idx="150">
                  <c:v>475.79385257412525</c:v>
                </c:pt>
                <c:pt idx="151">
                  <c:v>516.05417269363136</c:v>
                </c:pt>
                <c:pt idx="152">
                  <c:v>443.19649021891053</c:v>
                </c:pt>
                <c:pt idx="153">
                  <c:v>547.65009399178496</c:v>
                </c:pt>
                <c:pt idx="154">
                  <c:v>480.44338586354883</c:v>
                </c:pt>
                <c:pt idx="155">
                  <c:v>552.79806184297229</c:v>
                </c:pt>
                <c:pt idx="156">
                  <c:v>485.32796637709822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76-4AB0-9653-5EFC8AB06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0609440"/>
        <c:axId val="730609856"/>
      </c:scatterChart>
      <c:valAx>
        <c:axId val="730609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ALPHA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609856"/>
        <c:crosses val="autoZero"/>
        <c:crossBetween val="midCat"/>
      </c:valAx>
      <c:valAx>
        <c:axId val="73060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RSE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609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FTP_2!$F$1</c:f>
              <c:strCache>
                <c:ptCount val="1"/>
                <c:pt idx="0">
                  <c:v>CO2-RSE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FTP_2!$E$2:$E$158</c:f>
              <c:numCache>
                <c:formatCode>General</c:formatCode>
                <c:ptCount val="157"/>
                <c:pt idx="0">
                  <c:v>208.26545400000001</c:v>
                </c:pt>
                <c:pt idx="1">
                  <c:v>265.77746400000001</c:v>
                </c:pt>
                <c:pt idx="2">
                  <c:v>211.08391499999999</c:v>
                </c:pt>
                <c:pt idx="3">
                  <c:v>269.46799800000002</c:v>
                </c:pt>
                <c:pt idx="4">
                  <c:v>213.919363</c:v>
                </c:pt>
                <c:pt idx="5">
                  <c:v>273.154583</c:v>
                </c:pt>
                <c:pt idx="6">
                  <c:v>229.76704599999999</c:v>
                </c:pt>
                <c:pt idx="7">
                  <c:v>293.34265199999999</c:v>
                </c:pt>
                <c:pt idx="8">
                  <c:v>233.19515100000001</c:v>
                </c:pt>
                <c:pt idx="9">
                  <c:v>297.93579899999997</c:v>
                </c:pt>
                <c:pt idx="10">
                  <c:v>302.38627400000001</c:v>
                </c:pt>
                <c:pt idx="11">
                  <c:v>252.49749</c:v>
                </c:pt>
                <c:pt idx="12">
                  <c:v>322.39206300000001</c:v>
                </c:pt>
                <c:pt idx="13">
                  <c:v>255.09238199999999</c:v>
                </c:pt>
                <c:pt idx="14">
                  <c:v>325.83630399999998</c:v>
                </c:pt>
                <c:pt idx="15">
                  <c:v>330.06966799999998</c:v>
                </c:pt>
                <c:pt idx="16">
                  <c:v>301.83361300000001</c:v>
                </c:pt>
                <c:pt idx="17">
                  <c:v>365.29000100000002</c:v>
                </c:pt>
                <c:pt idx="18">
                  <c:v>304.25137699999999</c:v>
                </c:pt>
                <c:pt idx="19">
                  <c:v>368.19463100000002</c:v>
                </c:pt>
                <c:pt idx="20">
                  <c:v>306.71396900000002</c:v>
                </c:pt>
                <c:pt idx="21">
                  <c:v>371.18574000000001</c:v>
                </c:pt>
                <c:pt idx="22">
                  <c:v>278.01088499999997</c:v>
                </c:pt>
                <c:pt idx="23">
                  <c:v>242.92525599999999</c:v>
                </c:pt>
                <c:pt idx="24">
                  <c:v>328.84759200000002</c:v>
                </c:pt>
                <c:pt idx="25">
                  <c:v>398.23225200000002</c:v>
                </c:pt>
                <c:pt idx="26">
                  <c:v>232.47862599999999</c:v>
                </c:pt>
                <c:pt idx="27">
                  <c:v>281.35172299999999</c:v>
                </c:pt>
                <c:pt idx="28">
                  <c:v>246.32309799999999</c:v>
                </c:pt>
                <c:pt idx="29">
                  <c:v>333.409942</c:v>
                </c:pt>
                <c:pt idx="30">
                  <c:v>403.867097</c:v>
                </c:pt>
                <c:pt idx="31">
                  <c:v>235.21418199999999</c:v>
                </c:pt>
                <c:pt idx="32">
                  <c:v>284.65212200000002</c:v>
                </c:pt>
                <c:pt idx="33">
                  <c:v>249.698241</c:v>
                </c:pt>
                <c:pt idx="34">
                  <c:v>338.26728300000002</c:v>
                </c:pt>
                <c:pt idx="35">
                  <c:v>409.46136200000001</c:v>
                </c:pt>
                <c:pt idx="36">
                  <c:v>302.38356399999998</c:v>
                </c:pt>
                <c:pt idx="37">
                  <c:v>268.07932299999999</c:v>
                </c:pt>
                <c:pt idx="38">
                  <c:v>363.59871299999998</c:v>
                </c:pt>
                <c:pt idx="39">
                  <c:v>440.51397900000001</c:v>
                </c:pt>
                <c:pt idx="40">
                  <c:v>252.82146700000001</c:v>
                </c:pt>
                <c:pt idx="41">
                  <c:v>306.33700199999998</c:v>
                </c:pt>
                <c:pt idx="42">
                  <c:v>272.08921900000001</c:v>
                </c:pt>
                <c:pt idx="43">
                  <c:v>369.03095300000001</c:v>
                </c:pt>
                <c:pt idx="44">
                  <c:v>447.13806699999998</c:v>
                </c:pt>
                <c:pt idx="45">
                  <c:v>374.49655899999999</c:v>
                </c:pt>
                <c:pt idx="46">
                  <c:v>453.78840700000001</c:v>
                </c:pt>
                <c:pt idx="47">
                  <c:v>327.62418100000002</c:v>
                </c:pt>
                <c:pt idx="48">
                  <c:v>294.309439</c:v>
                </c:pt>
                <c:pt idx="49">
                  <c:v>399.37124999999997</c:v>
                </c:pt>
                <c:pt idx="50">
                  <c:v>484.20869499999998</c:v>
                </c:pt>
                <c:pt idx="51">
                  <c:v>330.62766800000003</c:v>
                </c:pt>
                <c:pt idx="52">
                  <c:v>297.67992199999998</c:v>
                </c:pt>
                <c:pt idx="53">
                  <c:v>403.61950300000001</c:v>
                </c:pt>
                <c:pt idx="54">
                  <c:v>489.38141200000001</c:v>
                </c:pt>
                <c:pt idx="55">
                  <c:v>407.91493000000003</c:v>
                </c:pt>
                <c:pt idx="56">
                  <c:v>494.62891500000001</c:v>
                </c:pt>
                <c:pt idx="57">
                  <c:v>397.05692800000003</c:v>
                </c:pt>
                <c:pt idx="58">
                  <c:v>349.41406499999999</c:v>
                </c:pt>
                <c:pt idx="59">
                  <c:v>451.49248999999998</c:v>
                </c:pt>
                <c:pt idx="60">
                  <c:v>554.41388500000005</c:v>
                </c:pt>
                <c:pt idx="61">
                  <c:v>399.95909</c:v>
                </c:pt>
                <c:pt idx="62">
                  <c:v>352.17042800000002</c:v>
                </c:pt>
                <c:pt idx="63">
                  <c:v>455.18907200000001</c:v>
                </c:pt>
                <c:pt idx="64">
                  <c:v>559.83977000000004</c:v>
                </c:pt>
                <c:pt idx="65">
                  <c:v>402.94182000000001</c:v>
                </c:pt>
                <c:pt idx="66">
                  <c:v>355.02331600000002</c:v>
                </c:pt>
                <c:pt idx="67">
                  <c:v>458.812996</c:v>
                </c:pt>
                <c:pt idx="68">
                  <c:v>564.43891699999995</c:v>
                </c:pt>
                <c:pt idx="69">
                  <c:v>263.375271</c:v>
                </c:pt>
                <c:pt idx="70">
                  <c:v>337.18350400000003</c:v>
                </c:pt>
                <c:pt idx="71">
                  <c:v>428.10327799999999</c:v>
                </c:pt>
                <c:pt idx="72">
                  <c:v>380.781857</c:v>
                </c:pt>
                <c:pt idx="73">
                  <c:v>492.49405400000001</c:v>
                </c:pt>
                <c:pt idx="74">
                  <c:v>606.41102699999999</c:v>
                </c:pt>
                <c:pt idx="75">
                  <c:v>266.42752100000001</c:v>
                </c:pt>
                <c:pt idx="76">
                  <c:v>341.28225400000002</c:v>
                </c:pt>
                <c:pt idx="77">
                  <c:v>433.41862099999997</c:v>
                </c:pt>
                <c:pt idx="78">
                  <c:v>386.07646199999999</c:v>
                </c:pt>
                <c:pt idx="79">
                  <c:v>499.766032</c:v>
                </c:pt>
                <c:pt idx="80">
                  <c:v>614.83167900000001</c:v>
                </c:pt>
                <c:pt idx="81">
                  <c:v>269.54745000000003</c:v>
                </c:pt>
                <c:pt idx="82">
                  <c:v>345.360345</c:v>
                </c:pt>
                <c:pt idx="83">
                  <c:v>438.90257500000001</c:v>
                </c:pt>
                <c:pt idx="84">
                  <c:v>391.682953</c:v>
                </c:pt>
                <c:pt idx="85">
                  <c:v>286.02538800000002</c:v>
                </c:pt>
                <c:pt idx="86">
                  <c:v>366.94800400000003</c:v>
                </c:pt>
                <c:pt idx="87">
                  <c:v>467.49500999999998</c:v>
                </c:pt>
                <c:pt idx="88">
                  <c:v>421.08254399999998</c:v>
                </c:pt>
                <c:pt idx="89">
                  <c:v>289.71176400000002</c:v>
                </c:pt>
                <c:pt idx="90">
                  <c:v>371.801242</c:v>
                </c:pt>
                <c:pt idx="91">
                  <c:v>473.93566800000002</c:v>
                </c:pt>
                <c:pt idx="92">
                  <c:v>427.21662600000002</c:v>
                </c:pt>
                <c:pt idx="93">
                  <c:v>376.67568699999998</c:v>
                </c:pt>
                <c:pt idx="94">
                  <c:v>480.211904</c:v>
                </c:pt>
                <c:pt idx="95">
                  <c:v>433.57674900000001</c:v>
                </c:pt>
                <c:pt idx="96">
                  <c:v>309.40090400000003</c:v>
                </c:pt>
                <c:pt idx="97">
                  <c:v>397.67825099999999</c:v>
                </c:pt>
                <c:pt idx="98">
                  <c:v>507.64575300000001</c:v>
                </c:pt>
                <c:pt idx="99">
                  <c:v>462.477147</c:v>
                </c:pt>
                <c:pt idx="100">
                  <c:v>312.18634400000002</c:v>
                </c:pt>
                <c:pt idx="101">
                  <c:v>401.31565399999999</c:v>
                </c:pt>
                <c:pt idx="102">
                  <c:v>512.91851099999997</c:v>
                </c:pt>
                <c:pt idx="103">
                  <c:v>467.327606</c:v>
                </c:pt>
                <c:pt idx="104">
                  <c:v>404.98818799999998</c:v>
                </c:pt>
                <c:pt idx="105">
                  <c:v>517.69000600000004</c:v>
                </c:pt>
                <c:pt idx="106">
                  <c:v>472.30924399999998</c:v>
                </c:pt>
                <c:pt idx="107">
                  <c:v>378.52637900000002</c:v>
                </c:pt>
                <c:pt idx="108">
                  <c:v>498.70719400000002</c:v>
                </c:pt>
                <c:pt idx="109">
                  <c:v>629.89798199999996</c:v>
                </c:pt>
                <c:pt idx="110">
                  <c:v>538.87602600000002</c:v>
                </c:pt>
                <c:pt idx="111">
                  <c:v>381.30021099999999</c:v>
                </c:pt>
                <c:pt idx="112">
                  <c:v>502.380246</c:v>
                </c:pt>
                <c:pt idx="113">
                  <c:v>634.168815</c:v>
                </c:pt>
                <c:pt idx="114">
                  <c:v>543.25832700000001</c:v>
                </c:pt>
                <c:pt idx="115">
                  <c:v>384.09155299999998</c:v>
                </c:pt>
                <c:pt idx="116">
                  <c:v>506.05434600000001</c:v>
                </c:pt>
                <c:pt idx="117">
                  <c:v>638.52131199999997</c:v>
                </c:pt>
                <c:pt idx="118">
                  <c:v>547.69759399999998</c:v>
                </c:pt>
                <c:pt idx="119">
                  <c:v>456.91089199999999</c:v>
                </c:pt>
                <c:pt idx="120">
                  <c:v>383.93769400000002</c:v>
                </c:pt>
                <c:pt idx="121">
                  <c:v>484.43885499999999</c:v>
                </c:pt>
                <c:pt idx="122">
                  <c:v>407.56641500000001</c:v>
                </c:pt>
                <c:pt idx="123">
                  <c:v>537.584833</c:v>
                </c:pt>
                <c:pt idx="124">
                  <c:v>677.56072700000004</c:v>
                </c:pt>
                <c:pt idx="125">
                  <c:v>588.35555399999998</c:v>
                </c:pt>
                <c:pt idx="126">
                  <c:v>460.64146499999998</c:v>
                </c:pt>
                <c:pt idx="127">
                  <c:v>387.52164800000003</c:v>
                </c:pt>
                <c:pt idx="128">
                  <c:v>488.78656899999999</c:v>
                </c:pt>
                <c:pt idx="129">
                  <c:v>412.60165899999998</c:v>
                </c:pt>
                <c:pt idx="130">
                  <c:v>544.14764700000001</c:v>
                </c:pt>
                <c:pt idx="131">
                  <c:v>685.60937999999999</c:v>
                </c:pt>
                <c:pt idx="132">
                  <c:v>596.09325799999999</c:v>
                </c:pt>
                <c:pt idx="133">
                  <c:v>464.43966999999998</c:v>
                </c:pt>
                <c:pt idx="134">
                  <c:v>391.15605499999998</c:v>
                </c:pt>
                <c:pt idx="135">
                  <c:v>493.16058099999998</c:v>
                </c:pt>
                <c:pt idx="136">
                  <c:v>417.72186399999998</c:v>
                </c:pt>
                <c:pt idx="137">
                  <c:v>483.21882399999998</c:v>
                </c:pt>
                <c:pt idx="138">
                  <c:v>409.18966499999999</c:v>
                </c:pt>
                <c:pt idx="139">
                  <c:v>515.67014600000005</c:v>
                </c:pt>
                <c:pt idx="140">
                  <c:v>444.67058400000002</c:v>
                </c:pt>
                <c:pt idx="141">
                  <c:v>487.59338300000002</c:v>
                </c:pt>
                <c:pt idx="142">
                  <c:v>413.35003799999998</c:v>
                </c:pt>
                <c:pt idx="143">
                  <c:v>520.82687999999996</c:v>
                </c:pt>
                <c:pt idx="144">
                  <c:v>450.58042399999999</c:v>
                </c:pt>
                <c:pt idx="145">
                  <c:v>525.98087799999996</c:v>
                </c:pt>
                <c:pt idx="146">
                  <c:v>456.53631300000001</c:v>
                </c:pt>
                <c:pt idx="147">
                  <c:v>510.03079100000002</c:v>
                </c:pt>
                <c:pt idx="148">
                  <c:v>434.75755800000002</c:v>
                </c:pt>
                <c:pt idx="149">
                  <c:v>547.26393700000006</c:v>
                </c:pt>
                <c:pt idx="150">
                  <c:v>482.54562099999998</c:v>
                </c:pt>
                <c:pt idx="151">
                  <c:v>513.38214900000003</c:v>
                </c:pt>
                <c:pt idx="152">
                  <c:v>437.92311100000001</c:v>
                </c:pt>
                <c:pt idx="153">
                  <c:v>551.22498800000005</c:v>
                </c:pt>
                <c:pt idx="154">
                  <c:v>487.07338199999998</c:v>
                </c:pt>
                <c:pt idx="155">
                  <c:v>555.22423900000001</c:v>
                </c:pt>
                <c:pt idx="156">
                  <c:v>491.63610399999999</c:v>
                </c:pt>
              </c:numCache>
            </c:numRef>
          </c:xVal>
          <c:yVal>
            <c:numRef>
              <c:f>FTP_2!$F$2:$F$158</c:f>
              <c:numCache>
                <c:formatCode>General</c:formatCode>
                <c:ptCount val="157"/>
                <c:pt idx="0">
                  <c:v>210.73824628839193</c:v>
                </c:pt>
                <c:pt idx="1">
                  <c:v>270.20073352870008</c:v>
                </c:pt>
                <c:pt idx="2">
                  <c:v>213.23118726626484</c:v>
                </c:pt>
                <c:pt idx="3">
                  <c:v>273.52822439098253</c:v>
                </c:pt>
                <c:pt idx="4">
                  <c:v>216.04405363253116</c:v>
                </c:pt>
                <c:pt idx="5">
                  <c:v>277.17564064165828</c:v>
                </c:pt>
                <c:pt idx="6">
                  <c:v>232.58033877566612</c:v>
                </c:pt>
                <c:pt idx="7">
                  <c:v>298.30602494875228</c:v>
                </c:pt>
                <c:pt idx="8">
                  <c:v>235.84711664639917</c:v>
                </c:pt>
                <c:pt idx="9">
                  <c:v>302.52657411595334</c:v>
                </c:pt>
                <c:pt idx="10">
                  <c:v>307.16498501493351</c:v>
                </c:pt>
                <c:pt idx="11">
                  <c:v>255.29887023468964</c:v>
                </c:pt>
                <c:pt idx="12">
                  <c:v>327.28775534055376</c:v>
                </c:pt>
                <c:pt idx="13">
                  <c:v>258.00346868229531</c:v>
                </c:pt>
                <c:pt idx="14">
                  <c:v>330.70768226051035</c:v>
                </c:pt>
                <c:pt idx="15">
                  <c:v>334.36265640459277</c:v>
                </c:pt>
                <c:pt idx="16">
                  <c:v>302.32127461552079</c:v>
                </c:pt>
                <c:pt idx="17">
                  <c:v>370.12292609447911</c:v>
                </c:pt>
                <c:pt idx="18">
                  <c:v>304.48288154600175</c:v>
                </c:pt>
                <c:pt idx="19">
                  <c:v>372.88064008525254</c:v>
                </c:pt>
                <c:pt idx="20">
                  <c:v>306.74895390942754</c:v>
                </c:pt>
                <c:pt idx="21">
                  <c:v>375.74281950897085</c:v>
                </c:pt>
                <c:pt idx="22">
                  <c:v>282.30542293748397</c:v>
                </c:pt>
                <c:pt idx="23">
                  <c:v>240.47626813097378</c:v>
                </c:pt>
                <c:pt idx="24">
                  <c:v>329.60899498958594</c:v>
                </c:pt>
                <c:pt idx="25">
                  <c:v>403.79306681338073</c:v>
                </c:pt>
                <c:pt idx="26">
                  <c:v>233.3274212281575</c:v>
                </c:pt>
                <c:pt idx="27">
                  <c:v>285.60699226642794</c:v>
                </c:pt>
                <c:pt idx="28">
                  <c:v>243.38648405105147</c:v>
                </c:pt>
                <c:pt idx="29">
                  <c:v>333.77103573627784</c:v>
                </c:pt>
                <c:pt idx="30">
                  <c:v>408.99829491558449</c:v>
                </c:pt>
                <c:pt idx="31">
                  <c:v>236.32300353218773</c:v>
                </c:pt>
                <c:pt idx="32">
                  <c:v>289.22848698376526</c:v>
                </c:pt>
                <c:pt idx="33">
                  <c:v>246.61662535952252</c:v>
                </c:pt>
                <c:pt idx="34">
                  <c:v>338.25300187136315</c:v>
                </c:pt>
                <c:pt idx="35">
                  <c:v>414.52344840618167</c:v>
                </c:pt>
                <c:pt idx="36">
                  <c:v>307.44752785468779</c:v>
                </c:pt>
                <c:pt idx="37">
                  <c:v>265.44996008463698</c:v>
                </c:pt>
                <c:pt idx="38">
                  <c:v>363.97748534241612</c:v>
                </c:pt>
                <c:pt idx="39">
                  <c:v>445.99055583218336</c:v>
                </c:pt>
                <c:pt idx="40">
                  <c:v>254.57206611546133</c:v>
                </c:pt>
                <c:pt idx="41">
                  <c:v>311.63845241235913</c:v>
                </c:pt>
                <c:pt idx="42">
                  <c:v>269.19362360360401</c:v>
                </c:pt>
                <c:pt idx="43">
                  <c:v>369.15180580608512</c:v>
                </c:pt>
                <c:pt idx="44">
                  <c:v>452.3570904164373</c:v>
                </c:pt>
                <c:pt idx="45">
                  <c:v>374.7439880015333</c:v>
                </c:pt>
                <c:pt idx="46">
                  <c:v>459.14148673247047</c:v>
                </c:pt>
                <c:pt idx="47">
                  <c:v>333.4660717436409</c:v>
                </c:pt>
                <c:pt idx="48">
                  <c:v>291.30009101004947</c:v>
                </c:pt>
                <c:pt idx="49">
                  <c:v>399.22241466699552</c:v>
                </c:pt>
                <c:pt idx="50">
                  <c:v>489.06448382273527</c:v>
                </c:pt>
                <c:pt idx="51">
                  <c:v>336.8637802064502</c:v>
                </c:pt>
                <c:pt idx="52">
                  <c:v>294.36235369383058</c:v>
                </c:pt>
                <c:pt idx="53">
                  <c:v>403.35767005930313</c:v>
                </c:pt>
                <c:pt idx="54">
                  <c:v>494.09389980548161</c:v>
                </c:pt>
                <c:pt idx="55">
                  <c:v>407.72797267573651</c:v>
                </c:pt>
                <c:pt idx="56">
                  <c:v>499.35836301235366</c:v>
                </c:pt>
                <c:pt idx="57">
                  <c:v>405.7867577511538</c:v>
                </c:pt>
                <c:pt idx="58">
                  <c:v>343.01243283653741</c:v>
                </c:pt>
                <c:pt idx="59">
                  <c:v>451.37306719917075</c:v>
                </c:pt>
                <c:pt idx="60">
                  <c:v>559.51679844411478</c:v>
                </c:pt>
                <c:pt idx="61">
                  <c:v>408.52965943716231</c:v>
                </c:pt>
                <c:pt idx="62">
                  <c:v>345.53170400319379</c:v>
                </c:pt>
                <c:pt idx="63">
                  <c:v>454.84610966229508</c:v>
                </c:pt>
                <c:pt idx="64">
                  <c:v>563.94361220370706</c:v>
                </c:pt>
                <c:pt idx="65">
                  <c:v>411.37702655611577</c:v>
                </c:pt>
                <c:pt idx="66">
                  <c:v>348.15544060279512</c:v>
                </c:pt>
                <c:pt idx="67">
                  <c:v>458.42361755836441</c:v>
                </c:pt>
                <c:pt idx="68">
                  <c:v>568.4748913962444</c:v>
                </c:pt>
                <c:pt idx="69">
                  <c:v>256.48240637511799</c:v>
                </c:pt>
                <c:pt idx="70">
                  <c:v>333.92857956152221</c:v>
                </c:pt>
                <c:pt idx="71">
                  <c:v>437.08338680682368</c:v>
                </c:pt>
                <c:pt idx="72">
                  <c:v>374.12960541750442</c:v>
                </c:pt>
                <c:pt idx="73">
                  <c:v>492.70211233187604</c:v>
                </c:pt>
                <c:pt idx="74">
                  <c:v>611.05771612855847</c:v>
                </c:pt>
                <c:pt idx="75">
                  <c:v>259.47101949740835</c:v>
                </c:pt>
                <c:pt idx="76">
                  <c:v>337.85606130377329</c:v>
                </c:pt>
                <c:pt idx="77">
                  <c:v>442.26269337568897</c:v>
                </c:pt>
                <c:pt idx="78">
                  <c:v>378.91755857750354</c:v>
                </c:pt>
                <c:pt idx="79">
                  <c:v>499.15916526069401</c:v>
                </c:pt>
                <c:pt idx="80">
                  <c:v>619.18386882619541</c:v>
                </c:pt>
                <c:pt idx="81">
                  <c:v>262.77955800809212</c:v>
                </c:pt>
                <c:pt idx="82">
                  <c:v>342.10346843441778</c:v>
                </c:pt>
                <c:pt idx="83">
                  <c:v>447.76192533294773</c:v>
                </c:pt>
                <c:pt idx="84">
                  <c:v>384.02543712589591</c:v>
                </c:pt>
                <c:pt idx="85">
                  <c:v>279.27581169253</c:v>
                </c:pt>
                <c:pt idx="86">
                  <c:v>363.76808367830955</c:v>
                </c:pt>
                <c:pt idx="87">
                  <c:v>476.31768932277794</c:v>
                </c:pt>
                <c:pt idx="88">
                  <c:v>413.19549496991817</c:v>
                </c:pt>
                <c:pt idx="89">
                  <c:v>283.10907201402591</c:v>
                </c:pt>
                <c:pt idx="90">
                  <c:v>368.67433670833185</c:v>
                </c:pt>
                <c:pt idx="91">
                  <c:v>482.65459929750227</c:v>
                </c:pt>
                <c:pt idx="92">
                  <c:v>419.08514390593814</c:v>
                </c:pt>
                <c:pt idx="93">
                  <c:v>373.99845147013338</c:v>
                </c:pt>
                <c:pt idx="94">
                  <c:v>489.40937100400583</c:v>
                </c:pt>
                <c:pt idx="95">
                  <c:v>425.39265457373733</c:v>
                </c:pt>
                <c:pt idx="96">
                  <c:v>302.9456559816914</c:v>
                </c:pt>
                <c:pt idx="97">
                  <c:v>394.48402676684606</c:v>
                </c:pt>
                <c:pt idx="98">
                  <c:v>516.42843081048136</c:v>
                </c:pt>
                <c:pt idx="99">
                  <c:v>453.13782349408098</c:v>
                </c:pt>
                <c:pt idx="100">
                  <c:v>306.07511626736914</c:v>
                </c:pt>
                <c:pt idx="101">
                  <c:v>398.41823158391867</c:v>
                </c:pt>
                <c:pt idx="102">
                  <c:v>521.43562833608053</c:v>
                </c:pt>
                <c:pt idx="103">
                  <c:v>457.80957524065184</c:v>
                </c:pt>
                <c:pt idx="104">
                  <c:v>402.58748362511704</c:v>
                </c:pt>
                <c:pt idx="105">
                  <c:v>526.67787308580546</c:v>
                </c:pt>
                <c:pt idx="106">
                  <c:v>462.71637421134847</c:v>
                </c:pt>
                <c:pt idx="107">
                  <c:v>373.96834658551006</c:v>
                </c:pt>
                <c:pt idx="108">
                  <c:v>501.16065257895139</c:v>
                </c:pt>
                <c:pt idx="109">
                  <c:v>628.13605545470364</c:v>
                </c:pt>
                <c:pt idx="110">
                  <c:v>532.50120030016217</c:v>
                </c:pt>
                <c:pt idx="111">
                  <c:v>376.4728054474017</c:v>
                </c:pt>
                <c:pt idx="112">
                  <c:v>504.61888273731091</c:v>
                </c:pt>
                <c:pt idx="113">
                  <c:v>632.54805690953106</c:v>
                </c:pt>
                <c:pt idx="114">
                  <c:v>536.68957123563746</c:v>
                </c:pt>
                <c:pt idx="115">
                  <c:v>379.08172974223811</c:v>
                </c:pt>
                <c:pt idx="116">
                  <c:v>508.18157832861544</c:v>
                </c:pt>
                <c:pt idx="117">
                  <c:v>637.06452379730354</c:v>
                </c:pt>
                <c:pt idx="118">
                  <c:v>540.98240760405781</c:v>
                </c:pt>
                <c:pt idx="119">
                  <c:v>455.94110207840305</c:v>
                </c:pt>
                <c:pt idx="120">
                  <c:v>387.03507454866917</c:v>
                </c:pt>
                <c:pt idx="121">
                  <c:v>478.24695198363656</c:v>
                </c:pt>
                <c:pt idx="122">
                  <c:v>402.71200750324545</c:v>
                </c:pt>
                <c:pt idx="123">
                  <c:v>540.11618604842499</c:v>
                </c:pt>
                <c:pt idx="124">
                  <c:v>677.30346147591558</c:v>
                </c:pt>
                <c:pt idx="125">
                  <c:v>581.48914984667124</c:v>
                </c:pt>
                <c:pt idx="126">
                  <c:v>460.75778557522136</c:v>
                </c:pt>
                <c:pt idx="127">
                  <c:v>391.26984151816453</c:v>
                </c:pt>
                <c:pt idx="128">
                  <c:v>483.31626883754143</c:v>
                </c:pt>
                <c:pt idx="129">
                  <c:v>407.47403912990598</c:v>
                </c:pt>
                <c:pt idx="130">
                  <c:v>546.5473174439046</c:v>
                </c:pt>
                <c:pt idx="131">
                  <c:v>685.4036926402141</c:v>
                </c:pt>
                <c:pt idx="132">
                  <c:v>589.19802760210337</c:v>
                </c:pt>
                <c:pt idx="133">
                  <c:v>465.89439446043309</c:v>
                </c:pt>
                <c:pt idx="134">
                  <c:v>395.82453387605329</c:v>
                </c:pt>
                <c:pt idx="135">
                  <c:v>488.70551107983965</c:v>
                </c:pt>
                <c:pt idx="136">
                  <c:v>412.55599614496003</c:v>
                </c:pt>
                <c:pt idx="137">
                  <c:v>483.2112290253632</c:v>
                </c:pt>
                <c:pt idx="138">
                  <c:v>412.57876682055985</c:v>
                </c:pt>
                <c:pt idx="139">
                  <c:v>510.05384318830534</c:v>
                </c:pt>
                <c:pt idx="140">
                  <c:v>438.81471055281077</c:v>
                </c:pt>
                <c:pt idx="141">
                  <c:v>489.13371263203373</c:v>
                </c:pt>
                <c:pt idx="142">
                  <c:v>417.83620296743288</c:v>
                </c:pt>
                <c:pt idx="143">
                  <c:v>516.26505063164632</c:v>
                </c:pt>
                <c:pt idx="144">
                  <c:v>444.67473487930107</c:v>
                </c:pt>
                <c:pt idx="145">
                  <c:v>522.89411980676641</c:v>
                </c:pt>
                <c:pt idx="146">
                  <c:v>450.95262093757054</c:v>
                </c:pt>
                <c:pt idx="147">
                  <c:v>511.35779494407257</c:v>
                </c:pt>
                <c:pt idx="148">
                  <c:v>438.99889806420003</c:v>
                </c:pt>
                <c:pt idx="149">
                  <c:v>542.73717336472339</c:v>
                </c:pt>
                <c:pt idx="150">
                  <c:v>475.79385257412525</c:v>
                </c:pt>
                <c:pt idx="151">
                  <c:v>516.05417269363136</c:v>
                </c:pt>
                <c:pt idx="152">
                  <c:v>443.19649021891053</c:v>
                </c:pt>
                <c:pt idx="153">
                  <c:v>547.65009399178496</c:v>
                </c:pt>
                <c:pt idx="154">
                  <c:v>480.44338586354883</c:v>
                </c:pt>
                <c:pt idx="155">
                  <c:v>552.79806184297229</c:v>
                </c:pt>
                <c:pt idx="156">
                  <c:v>485.32796637709822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C0-4DBA-B6EE-BF7A0266B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5320464"/>
        <c:axId val="1792320432"/>
      </c:scatterChart>
      <c:valAx>
        <c:axId val="179532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ALPHA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2320432"/>
        <c:crosses val="autoZero"/>
        <c:crossBetween val="midCat"/>
      </c:valAx>
      <c:valAx>
        <c:axId val="179232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RSE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320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FTP_2!$F$1</c:f>
              <c:strCache>
                <c:ptCount val="1"/>
                <c:pt idx="0">
                  <c:v>CO2-RSE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FTP_2!$E$2:$E$158</c:f>
              <c:numCache>
                <c:formatCode>General</c:formatCode>
                <c:ptCount val="157"/>
                <c:pt idx="0">
                  <c:v>208.26545400000001</c:v>
                </c:pt>
                <c:pt idx="1">
                  <c:v>265.77746400000001</c:v>
                </c:pt>
                <c:pt idx="2">
                  <c:v>211.08391499999999</c:v>
                </c:pt>
                <c:pt idx="3">
                  <c:v>269.46799800000002</c:v>
                </c:pt>
                <c:pt idx="4">
                  <c:v>213.919363</c:v>
                </c:pt>
                <c:pt idx="5">
                  <c:v>273.154583</c:v>
                </c:pt>
                <c:pt idx="6">
                  <c:v>229.76704599999999</c:v>
                </c:pt>
                <c:pt idx="7">
                  <c:v>293.34265199999999</c:v>
                </c:pt>
                <c:pt idx="8">
                  <c:v>233.19515100000001</c:v>
                </c:pt>
                <c:pt idx="9">
                  <c:v>297.93579899999997</c:v>
                </c:pt>
                <c:pt idx="10">
                  <c:v>302.38627400000001</c:v>
                </c:pt>
                <c:pt idx="11">
                  <c:v>252.49749</c:v>
                </c:pt>
                <c:pt idx="12">
                  <c:v>322.39206300000001</c:v>
                </c:pt>
                <c:pt idx="13">
                  <c:v>255.09238199999999</c:v>
                </c:pt>
                <c:pt idx="14">
                  <c:v>325.83630399999998</c:v>
                </c:pt>
                <c:pt idx="15">
                  <c:v>330.06966799999998</c:v>
                </c:pt>
                <c:pt idx="16">
                  <c:v>301.83361300000001</c:v>
                </c:pt>
                <c:pt idx="17">
                  <c:v>365.29000100000002</c:v>
                </c:pt>
                <c:pt idx="18">
                  <c:v>304.25137699999999</c:v>
                </c:pt>
                <c:pt idx="19">
                  <c:v>368.19463100000002</c:v>
                </c:pt>
                <c:pt idx="20">
                  <c:v>306.71396900000002</c:v>
                </c:pt>
                <c:pt idx="21">
                  <c:v>371.18574000000001</c:v>
                </c:pt>
                <c:pt idx="22">
                  <c:v>278.01088499999997</c:v>
                </c:pt>
                <c:pt idx="23">
                  <c:v>242.92525599999999</c:v>
                </c:pt>
                <c:pt idx="24">
                  <c:v>328.84759200000002</c:v>
                </c:pt>
                <c:pt idx="25">
                  <c:v>398.23225200000002</c:v>
                </c:pt>
                <c:pt idx="26">
                  <c:v>232.47862599999999</c:v>
                </c:pt>
                <c:pt idx="27">
                  <c:v>281.35172299999999</c:v>
                </c:pt>
                <c:pt idx="28">
                  <c:v>246.32309799999999</c:v>
                </c:pt>
                <c:pt idx="29">
                  <c:v>333.409942</c:v>
                </c:pt>
                <c:pt idx="30">
                  <c:v>403.867097</c:v>
                </c:pt>
                <c:pt idx="31">
                  <c:v>235.21418199999999</c:v>
                </c:pt>
                <c:pt idx="32">
                  <c:v>284.65212200000002</c:v>
                </c:pt>
                <c:pt idx="33">
                  <c:v>249.698241</c:v>
                </c:pt>
                <c:pt idx="34">
                  <c:v>338.26728300000002</c:v>
                </c:pt>
                <c:pt idx="35">
                  <c:v>409.46136200000001</c:v>
                </c:pt>
                <c:pt idx="36">
                  <c:v>302.38356399999998</c:v>
                </c:pt>
                <c:pt idx="37">
                  <c:v>268.07932299999999</c:v>
                </c:pt>
                <c:pt idx="38">
                  <c:v>363.59871299999998</c:v>
                </c:pt>
                <c:pt idx="39">
                  <c:v>440.51397900000001</c:v>
                </c:pt>
                <c:pt idx="40">
                  <c:v>252.82146700000001</c:v>
                </c:pt>
                <c:pt idx="41">
                  <c:v>306.33700199999998</c:v>
                </c:pt>
                <c:pt idx="42">
                  <c:v>272.08921900000001</c:v>
                </c:pt>
                <c:pt idx="43">
                  <c:v>369.03095300000001</c:v>
                </c:pt>
                <c:pt idx="44">
                  <c:v>447.13806699999998</c:v>
                </c:pt>
                <c:pt idx="45">
                  <c:v>374.49655899999999</c:v>
                </c:pt>
                <c:pt idx="46">
                  <c:v>453.78840700000001</c:v>
                </c:pt>
                <c:pt idx="47">
                  <c:v>327.62418100000002</c:v>
                </c:pt>
                <c:pt idx="48">
                  <c:v>294.309439</c:v>
                </c:pt>
                <c:pt idx="49">
                  <c:v>399.37124999999997</c:v>
                </c:pt>
                <c:pt idx="50">
                  <c:v>484.20869499999998</c:v>
                </c:pt>
                <c:pt idx="51">
                  <c:v>330.62766800000003</c:v>
                </c:pt>
                <c:pt idx="52">
                  <c:v>297.67992199999998</c:v>
                </c:pt>
                <c:pt idx="53">
                  <c:v>403.61950300000001</c:v>
                </c:pt>
                <c:pt idx="54">
                  <c:v>489.38141200000001</c:v>
                </c:pt>
                <c:pt idx="55">
                  <c:v>407.91493000000003</c:v>
                </c:pt>
                <c:pt idx="56">
                  <c:v>494.62891500000001</c:v>
                </c:pt>
                <c:pt idx="57">
                  <c:v>397.05692800000003</c:v>
                </c:pt>
                <c:pt idx="58">
                  <c:v>349.41406499999999</c:v>
                </c:pt>
                <c:pt idx="59">
                  <c:v>451.49248999999998</c:v>
                </c:pt>
                <c:pt idx="60">
                  <c:v>554.41388500000005</c:v>
                </c:pt>
                <c:pt idx="61">
                  <c:v>399.95909</c:v>
                </c:pt>
                <c:pt idx="62">
                  <c:v>352.17042800000002</c:v>
                </c:pt>
                <c:pt idx="63">
                  <c:v>455.18907200000001</c:v>
                </c:pt>
                <c:pt idx="64">
                  <c:v>559.83977000000004</c:v>
                </c:pt>
                <c:pt idx="65">
                  <c:v>402.94182000000001</c:v>
                </c:pt>
                <c:pt idx="66">
                  <c:v>355.02331600000002</c:v>
                </c:pt>
                <c:pt idx="67">
                  <c:v>458.812996</c:v>
                </c:pt>
                <c:pt idx="68">
                  <c:v>564.43891699999995</c:v>
                </c:pt>
                <c:pt idx="69">
                  <c:v>263.375271</c:v>
                </c:pt>
                <c:pt idx="70">
                  <c:v>337.18350400000003</c:v>
                </c:pt>
                <c:pt idx="71">
                  <c:v>428.10327799999999</c:v>
                </c:pt>
                <c:pt idx="72">
                  <c:v>380.781857</c:v>
                </c:pt>
                <c:pt idx="73">
                  <c:v>492.49405400000001</c:v>
                </c:pt>
                <c:pt idx="74">
                  <c:v>606.41102699999999</c:v>
                </c:pt>
                <c:pt idx="75">
                  <c:v>266.42752100000001</c:v>
                </c:pt>
                <c:pt idx="76">
                  <c:v>341.28225400000002</c:v>
                </c:pt>
                <c:pt idx="77">
                  <c:v>433.41862099999997</c:v>
                </c:pt>
                <c:pt idx="78">
                  <c:v>386.07646199999999</c:v>
                </c:pt>
                <c:pt idx="79">
                  <c:v>499.766032</c:v>
                </c:pt>
                <c:pt idx="80">
                  <c:v>614.83167900000001</c:v>
                </c:pt>
                <c:pt idx="81">
                  <c:v>269.54745000000003</c:v>
                </c:pt>
                <c:pt idx="82">
                  <c:v>345.360345</c:v>
                </c:pt>
                <c:pt idx="83">
                  <c:v>438.90257500000001</c:v>
                </c:pt>
                <c:pt idx="84">
                  <c:v>391.682953</c:v>
                </c:pt>
                <c:pt idx="85">
                  <c:v>286.02538800000002</c:v>
                </c:pt>
                <c:pt idx="86">
                  <c:v>366.94800400000003</c:v>
                </c:pt>
                <c:pt idx="87">
                  <c:v>467.49500999999998</c:v>
                </c:pt>
                <c:pt idx="88">
                  <c:v>421.08254399999998</c:v>
                </c:pt>
                <c:pt idx="89">
                  <c:v>289.71176400000002</c:v>
                </c:pt>
                <c:pt idx="90">
                  <c:v>371.801242</c:v>
                </c:pt>
                <c:pt idx="91">
                  <c:v>473.93566800000002</c:v>
                </c:pt>
                <c:pt idx="92">
                  <c:v>427.21662600000002</c:v>
                </c:pt>
                <c:pt idx="93">
                  <c:v>376.67568699999998</c:v>
                </c:pt>
                <c:pt idx="94">
                  <c:v>480.211904</c:v>
                </c:pt>
                <c:pt idx="95">
                  <c:v>433.57674900000001</c:v>
                </c:pt>
                <c:pt idx="96">
                  <c:v>309.40090400000003</c:v>
                </c:pt>
                <c:pt idx="97">
                  <c:v>397.67825099999999</c:v>
                </c:pt>
                <c:pt idx="98">
                  <c:v>507.64575300000001</c:v>
                </c:pt>
                <c:pt idx="99">
                  <c:v>462.477147</c:v>
                </c:pt>
                <c:pt idx="100">
                  <c:v>312.18634400000002</c:v>
                </c:pt>
                <c:pt idx="101">
                  <c:v>401.31565399999999</c:v>
                </c:pt>
                <c:pt idx="102">
                  <c:v>512.91851099999997</c:v>
                </c:pt>
                <c:pt idx="103">
                  <c:v>467.327606</c:v>
                </c:pt>
                <c:pt idx="104">
                  <c:v>404.98818799999998</c:v>
                </c:pt>
                <c:pt idx="105">
                  <c:v>517.69000600000004</c:v>
                </c:pt>
                <c:pt idx="106">
                  <c:v>472.30924399999998</c:v>
                </c:pt>
                <c:pt idx="107">
                  <c:v>378.52637900000002</c:v>
                </c:pt>
                <c:pt idx="108">
                  <c:v>498.70719400000002</c:v>
                </c:pt>
                <c:pt idx="109">
                  <c:v>629.89798199999996</c:v>
                </c:pt>
                <c:pt idx="110">
                  <c:v>538.87602600000002</c:v>
                </c:pt>
                <c:pt idx="111">
                  <c:v>381.30021099999999</c:v>
                </c:pt>
                <c:pt idx="112">
                  <c:v>502.380246</c:v>
                </c:pt>
                <c:pt idx="113">
                  <c:v>634.168815</c:v>
                </c:pt>
                <c:pt idx="114">
                  <c:v>543.25832700000001</c:v>
                </c:pt>
                <c:pt idx="115">
                  <c:v>384.09155299999998</c:v>
                </c:pt>
                <c:pt idx="116">
                  <c:v>506.05434600000001</c:v>
                </c:pt>
                <c:pt idx="117">
                  <c:v>638.52131199999997</c:v>
                </c:pt>
                <c:pt idx="118">
                  <c:v>547.69759399999998</c:v>
                </c:pt>
                <c:pt idx="119">
                  <c:v>456.91089199999999</c:v>
                </c:pt>
                <c:pt idx="120">
                  <c:v>383.93769400000002</c:v>
                </c:pt>
                <c:pt idx="121">
                  <c:v>484.43885499999999</c:v>
                </c:pt>
                <c:pt idx="122">
                  <c:v>407.56641500000001</c:v>
                </c:pt>
                <c:pt idx="123">
                  <c:v>537.584833</c:v>
                </c:pt>
                <c:pt idx="124">
                  <c:v>677.56072700000004</c:v>
                </c:pt>
                <c:pt idx="125">
                  <c:v>588.35555399999998</c:v>
                </c:pt>
                <c:pt idx="126">
                  <c:v>460.64146499999998</c:v>
                </c:pt>
                <c:pt idx="127">
                  <c:v>387.52164800000003</c:v>
                </c:pt>
                <c:pt idx="128">
                  <c:v>488.78656899999999</c:v>
                </c:pt>
                <c:pt idx="129">
                  <c:v>412.60165899999998</c:v>
                </c:pt>
                <c:pt idx="130">
                  <c:v>544.14764700000001</c:v>
                </c:pt>
                <c:pt idx="131">
                  <c:v>685.60937999999999</c:v>
                </c:pt>
                <c:pt idx="132">
                  <c:v>596.09325799999999</c:v>
                </c:pt>
                <c:pt idx="133">
                  <c:v>464.43966999999998</c:v>
                </c:pt>
                <c:pt idx="134">
                  <c:v>391.15605499999998</c:v>
                </c:pt>
                <c:pt idx="135">
                  <c:v>493.16058099999998</c:v>
                </c:pt>
                <c:pt idx="136">
                  <c:v>417.72186399999998</c:v>
                </c:pt>
                <c:pt idx="137">
                  <c:v>483.21882399999998</c:v>
                </c:pt>
                <c:pt idx="138">
                  <c:v>409.18966499999999</c:v>
                </c:pt>
                <c:pt idx="139">
                  <c:v>515.67014600000005</c:v>
                </c:pt>
                <c:pt idx="140">
                  <c:v>444.67058400000002</c:v>
                </c:pt>
                <c:pt idx="141">
                  <c:v>487.59338300000002</c:v>
                </c:pt>
                <c:pt idx="142">
                  <c:v>413.35003799999998</c:v>
                </c:pt>
                <c:pt idx="143">
                  <c:v>520.82687999999996</c:v>
                </c:pt>
                <c:pt idx="144">
                  <c:v>450.58042399999999</c:v>
                </c:pt>
                <c:pt idx="145">
                  <c:v>525.98087799999996</c:v>
                </c:pt>
                <c:pt idx="146">
                  <c:v>456.53631300000001</c:v>
                </c:pt>
                <c:pt idx="147">
                  <c:v>510.03079100000002</c:v>
                </c:pt>
                <c:pt idx="148">
                  <c:v>434.75755800000002</c:v>
                </c:pt>
                <c:pt idx="149">
                  <c:v>547.26393700000006</c:v>
                </c:pt>
                <c:pt idx="150">
                  <c:v>482.54562099999998</c:v>
                </c:pt>
                <c:pt idx="151">
                  <c:v>513.38214900000003</c:v>
                </c:pt>
                <c:pt idx="152">
                  <c:v>437.92311100000001</c:v>
                </c:pt>
                <c:pt idx="153">
                  <c:v>551.22498800000005</c:v>
                </c:pt>
                <c:pt idx="154">
                  <c:v>487.07338199999998</c:v>
                </c:pt>
                <c:pt idx="155">
                  <c:v>555.22423900000001</c:v>
                </c:pt>
                <c:pt idx="156">
                  <c:v>491.63610399999999</c:v>
                </c:pt>
              </c:numCache>
            </c:numRef>
          </c:xVal>
          <c:yVal>
            <c:numRef>
              <c:f>FTP_2!$F$2:$F$158</c:f>
              <c:numCache>
                <c:formatCode>General</c:formatCode>
                <c:ptCount val="157"/>
                <c:pt idx="0">
                  <c:v>210.73824628839193</c:v>
                </c:pt>
                <c:pt idx="1">
                  <c:v>270.20073352870008</c:v>
                </c:pt>
                <c:pt idx="2">
                  <c:v>213.23118726626484</c:v>
                </c:pt>
                <c:pt idx="3">
                  <c:v>273.52822439098253</c:v>
                </c:pt>
                <c:pt idx="4">
                  <c:v>216.04405363253116</c:v>
                </c:pt>
                <c:pt idx="5">
                  <c:v>277.17564064165828</c:v>
                </c:pt>
                <c:pt idx="6">
                  <c:v>232.58033877566612</c:v>
                </c:pt>
                <c:pt idx="7">
                  <c:v>298.30602494875228</c:v>
                </c:pt>
                <c:pt idx="8">
                  <c:v>235.84711664639917</c:v>
                </c:pt>
                <c:pt idx="9">
                  <c:v>302.52657411595334</c:v>
                </c:pt>
                <c:pt idx="10">
                  <c:v>307.16498501493351</c:v>
                </c:pt>
                <c:pt idx="11">
                  <c:v>255.29887023468964</c:v>
                </c:pt>
                <c:pt idx="12">
                  <c:v>327.28775534055376</c:v>
                </c:pt>
                <c:pt idx="13">
                  <c:v>258.00346868229531</c:v>
                </c:pt>
                <c:pt idx="14">
                  <c:v>330.70768226051035</c:v>
                </c:pt>
                <c:pt idx="15">
                  <c:v>334.36265640459277</c:v>
                </c:pt>
                <c:pt idx="16">
                  <c:v>302.32127461552079</c:v>
                </c:pt>
                <c:pt idx="17">
                  <c:v>370.12292609447911</c:v>
                </c:pt>
                <c:pt idx="18">
                  <c:v>304.48288154600175</c:v>
                </c:pt>
                <c:pt idx="19">
                  <c:v>372.88064008525254</c:v>
                </c:pt>
                <c:pt idx="20">
                  <c:v>306.74895390942754</c:v>
                </c:pt>
                <c:pt idx="21">
                  <c:v>375.74281950897085</c:v>
                </c:pt>
                <c:pt idx="22">
                  <c:v>282.30542293748397</c:v>
                </c:pt>
                <c:pt idx="23">
                  <c:v>240.47626813097378</c:v>
                </c:pt>
                <c:pt idx="24">
                  <c:v>329.60899498958594</c:v>
                </c:pt>
                <c:pt idx="25">
                  <c:v>403.79306681338073</c:v>
                </c:pt>
                <c:pt idx="26">
                  <c:v>233.3274212281575</c:v>
                </c:pt>
                <c:pt idx="27">
                  <c:v>285.60699226642794</c:v>
                </c:pt>
                <c:pt idx="28">
                  <c:v>243.38648405105147</c:v>
                </c:pt>
                <c:pt idx="29">
                  <c:v>333.77103573627784</c:v>
                </c:pt>
                <c:pt idx="30">
                  <c:v>408.99829491558449</c:v>
                </c:pt>
                <c:pt idx="31">
                  <c:v>236.32300353218773</c:v>
                </c:pt>
                <c:pt idx="32">
                  <c:v>289.22848698376526</c:v>
                </c:pt>
                <c:pt idx="33">
                  <c:v>246.61662535952252</c:v>
                </c:pt>
                <c:pt idx="34">
                  <c:v>338.25300187136315</c:v>
                </c:pt>
                <c:pt idx="35">
                  <c:v>414.52344840618167</c:v>
                </c:pt>
                <c:pt idx="36">
                  <c:v>307.44752785468779</c:v>
                </c:pt>
                <c:pt idx="37">
                  <c:v>265.44996008463698</c:v>
                </c:pt>
                <c:pt idx="38">
                  <c:v>363.97748534241612</c:v>
                </c:pt>
                <c:pt idx="39">
                  <c:v>445.99055583218336</c:v>
                </c:pt>
                <c:pt idx="40">
                  <c:v>254.57206611546133</c:v>
                </c:pt>
                <c:pt idx="41">
                  <c:v>311.63845241235913</c:v>
                </c:pt>
                <c:pt idx="42">
                  <c:v>269.19362360360401</c:v>
                </c:pt>
                <c:pt idx="43">
                  <c:v>369.15180580608512</c:v>
                </c:pt>
                <c:pt idx="44">
                  <c:v>452.3570904164373</c:v>
                </c:pt>
                <c:pt idx="45">
                  <c:v>374.7439880015333</c:v>
                </c:pt>
                <c:pt idx="46">
                  <c:v>459.14148673247047</c:v>
                </c:pt>
                <c:pt idx="47">
                  <c:v>333.4660717436409</c:v>
                </c:pt>
                <c:pt idx="48">
                  <c:v>291.30009101004947</c:v>
                </c:pt>
                <c:pt idx="49">
                  <c:v>399.22241466699552</c:v>
                </c:pt>
                <c:pt idx="50">
                  <c:v>489.06448382273527</c:v>
                </c:pt>
                <c:pt idx="51">
                  <c:v>336.8637802064502</c:v>
                </c:pt>
                <c:pt idx="52">
                  <c:v>294.36235369383058</c:v>
                </c:pt>
                <c:pt idx="53">
                  <c:v>403.35767005930313</c:v>
                </c:pt>
                <c:pt idx="54">
                  <c:v>494.09389980548161</c:v>
                </c:pt>
                <c:pt idx="55">
                  <c:v>407.72797267573651</c:v>
                </c:pt>
                <c:pt idx="56">
                  <c:v>499.35836301235366</c:v>
                </c:pt>
                <c:pt idx="57">
                  <c:v>405.7867577511538</c:v>
                </c:pt>
                <c:pt idx="58">
                  <c:v>343.01243283653741</c:v>
                </c:pt>
                <c:pt idx="59">
                  <c:v>451.37306719917075</c:v>
                </c:pt>
                <c:pt idx="60">
                  <c:v>559.51679844411478</c:v>
                </c:pt>
                <c:pt idx="61">
                  <c:v>408.52965943716231</c:v>
                </c:pt>
                <c:pt idx="62">
                  <c:v>345.53170400319379</c:v>
                </c:pt>
                <c:pt idx="63">
                  <c:v>454.84610966229508</c:v>
                </c:pt>
                <c:pt idx="64">
                  <c:v>563.94361220370706</c:v>
                </c:pt>
                <c:pt idx="65">
                  <c:v>411.37702655611577</c:v>
                </c:pt>
                <c:pt idx="66">
                  <c:v>348.15544060279512</c:v>
                </c:pt>
                <c:pt idx="67">
                  <c:v>458.42361755836441</c:v>
                </c:pt>
                <c:pt idx="68">
                  <c:v>568.4748913962444</c:v>
                </c:pt>
                <c:pt idx="69">
                  <c:v>256.48240637511799</c:v>
                </c:pt>
                <c:pt idx="70">
                  <c:v>333.92857956152221</c:v>
                </c:pt>
                <c:pt idx="71">
                  <c:v>437.08338680682368</c:v>
                </c:pt>
                <c:pt idx="72">
                  <c:v>374.12960541750442</c:v>
                </c:pt>
                <c:pt idx="73">
                  <c:v>492.70211233187604</c:v>
                </c:pt>
                <c:pt idx="74">
                  <c:v>611.05771612855847</c:v>
                </c:pt>
                <c:pt idx="75">
                  <c:v>259.47101949740835</c:v>
                </c:pt>
                <c:pt idx="76">
                  <c:v>337.85606130377329</c:v>
                </c:pt>
                <c:pt idx="77">
                  <c:v>442.26269337568897</c:v>
                </c:pt>
                <c:pt idx="78">
                  <c:v>378.91755857750354</c:v>
                </c:pt>
                <c:pt idx="79">
                  <c:v>499.15916526069401</c:v>
                </c:pt>
                <c:pt idx="80">
                  <c:v>619.18386882619541</c:v>
                </c:pt>
                <c:pt idx="81">
                  <c:v>262.77955800809212</c:v>
                </c:pt>
                <c:pt idx="82">
                  <c:v>342.10346843441778</c:v>
                </c:pt>
                <c:pt idx="83">
                  <c:v>447.76192533294773</c:v>
                </c:pt>
                <c:pt idx="84">
                  <c:v>384.02543712589591</c:v>
                </c:pt>
                <c:pt idx="85">
                  <c:v>279.27581169253</c:v>
                </c:pt>
                <c:pt idx="86">
                  <c:v>363.76808367830955</c:v>
                </c:pt>
                <c:pt idx="87">
                  <c:v>476.31768932277794</c:v>
                </c:pt>
                <c:pt idx="88">
                  <c:v>413.19549496991817</c:v>
                </c:pt>
                <c:pt idx="89">
                  <c:v>283.10907201402591</c:v>
                </c:pt>
                <c:pt idx="90">
                  <c:v>368.67433670833185</c:v>
                </c:pt>
                <c:pt idx="91">
                  <c:v>482.65459929750227</c:v>
                </c:pt>
                <c:pt idx="92">
                  <c:v>419.08514390593814</c:v>
                </c:pt>
                <c:pt idx="93">
                  <c:v>373.99845147013338</c:v>
                </c:pt>
                <c:pt idx="94">
                  <c:v>489.40937100400583</c:v>
                </c:pt>
                <c:pt idx="95">
                  <c:v>425.39265457373733</c:v>
                </c:pt>
                <c:pt idx="96">
                  <c:v>302.9456559816914</c:v>
                </c:pt>
                <c:pt idx="97">
                  <c:v>394.48402676684606</c:v>
                </c:pt>
                <c:pt idx="98">
                  <c:v>516.42843081048136</c:v>
                </c:pt>
                <c:pt idx="99">
                  <c:v>453.13782349408098</c:v>
                </c:pt>
                <c:pt idx="100">
                  <c:v>306.07511626736914</c:v>
                </c:pt>
                <c:pt idx="101">
                  <c:v>398.41823158391867</c:v>
                </c:pt>
                <c:pt idx="102">
                  <c:v>521.43562833608053</c:v>
                </c:pt>
                <c:pt idx="103">
                  <c:v>457.80957524065184</c:v>
                </c:pt>
                <c:pt idx="104">
                  <c:v>402.58748362511704</c:v>
                </c:pt>
                <c:pt idx="105">
                  <c:v>526.67787308580546</c:v>
                </c:pt>
                <c:pt idx="106">
                  <c:v>462.71637421134847</c:v>
                </c:pt>
                <c:pt idx="107">
                  <c:v>373.96834658551006</c:v>
                </c:pt>
                <c:pt idx="108">
                  <c:v>501.16065257895139</c:v>
                </c:pt>
                <c:pt idx="109">
                  <c:v>628.13605545470364</c:v>
                </c:pt>
                <c:pt idx="110">
                  <c:v>532.50120030016217</c:v>
                </c:pt>
                <c:pt idx="111">
                  <c:v>376.4728054474017</c:v>
                </c:pt>
                <c:pt idx="112">
                  <c:v>504.61888273731091</c:v>
                </c:pt>
                <c:pt idx="113">
                  <c:v>632.54805690953106</c:v>
                </c:pt>
                <c:pt idx="114">
                  <c:v>536.68957123563746</c:v>
                </c:pt>
                <c:pt idx="115">
                  <c:v>379.08172974223811</c:v>
                </c:pt>
                <c:pt idx="116">
                  <c:v>508.18157832861544</c:v>
                </c:pt>
                <c:pt idx="117">
                  <c:v>637.06452379730354</c:v>
                </c:pt>
                <c:pt idx="118">
                  <c:v>540.98240760405781</c:v>
                </c:pt>
                <c:pt idx="119">
                  <c:v>455.94110207840305</c:v>
                </c:pt>
                <c:pt idx="120">
                  <c:v>387.03507454866917</c:v>
                </c:pt>
                <c:pt idx="121">
                  <c:v>478.24695198363656</c:v>
                </c:pt>
                <c:pt idx="122">
                  <c:v>402.71200750324545</c:v>
                </c:pt>
                <c:pt idx="123">
                  <c:v>540.11618604842499</c:v>
                </c:pt>
                <c:pt idx="124">
                  <c:v>677.30346147591558</c:v>
                </c:pt>
                <c:pt idx="125">
                  <c:v>581.48914984667124</c:v>
                </c:pt>
                <c:pt idx="126">
                  <c:v>460.75778557522136</c:v>
                </c:pt>
                <c:pt idx="127">
                  <c:v>391.26984151816453</c:v>
                </c:pt>
                <c:pt idx="128">
                  <c:v>483.31626883754143</c:v>
                </c:pt>
                <c:pt idx="129">
                  <c:v>407.47403912990598</c:v>
                </c:pt>
                <c:pt idx="130">
                  <c:v>546.5473174439046</c:v>
                </c:pt>
                <c:pt idx="131">
                  <c:v>685.4036926402141</c:v>
                </c:pt>
                <c:pt idx="132">
                  <c:v>589.19802760210337</c:v>
                </c:pt>
                <c:pt idx="133">
                  <c:v>465.89439446043309</c:v>
                </c:pt>
                <c:pt idx="134">
                  <c:v>395.82453387605329</c:v>
                </c:pt>
                <c:pt idx="135">
                  <c:v>488.70551107983965</c:v>
                </c:pt>
                <c:pt idx="136">
                  <c:v>412.55599614496003</c:v>
                </c:pt>
                <c:pt idx="137">
                  <c:v>483.2112290253632</c:v>
                </c:pt>
                <c:pt idx="138">
                  <c:v>412.57876682055985</c:v>
                </c:pt>
                <c:pt idx="139">
                  <c:v>510.05384318830534</c:v>
                </c:pt>
                <c:pt idx="140">
                  <c:v>438.81471055281077</c:v>
                </c:pt>
                <c:pt idx="141">
                  <c:v>489.13371263203373</c:v>
                </c:pt>
                <c:pt idx="142">
                  <c:v>417.83620296743288</c:v>
                </c:pt>
                <c:pt idx="143">
                  <c:v>516.26505063164632</c:v>
                </c:pt>
                <c:pt idx="144">
                  <c:v>444.67473487930107</c:v>
                </c:pt>
                <c:pt idx="145">
                  <c:v>522.89411980676641</c:v>
                </c:pt>
                <c:pt idx="146">
                  <c:v>450.95262093757054</c:v>
                </c:pt>
                <c:pt idx="147">
                  <c:v>511.35779494407257</c:v>
                </c:pt>
                <c:pt idx="148">
                  <c:v>438.99889806420003</c:v>
                </c:pt>
                <c:pt idx="149">
                  <c:v>542.73717336472339</c:v>
                </c:pt>
                <c:pt idx="150">
                  <c:v>475.79385257412525</c:v>
                </c:pt>
                <c:pt idx="151">
                  <c:v>516.05417269363136</c:v>
                </c:pt>
                <c:pt idx="152">
                  <c:v>443.19649021891053</c:v>
                </c:pt>
                <c:pt idx="153">
                  <c:v>547.65009399178496</c:v>
                </c:pt>
                <c:pt idx="154">
                  <c:v>480.44338586354883</c:v>
                </c:pt>
                <c:pt idx="155">
                  <c:v>552.79806184297229</c:v>
                </c:pt>
                <c:pt idx="156">
                  <c:v>485.32796637709822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D3-4521-BBB7-76A685BA34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1918144"/>
        <c:axId val="1451926464"/>
      </c:scatterChart>
      <c:valAx>
        <c:axId val="1451918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ALPHA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1926464"/>
        <c:crosses val="autoZero"/>
        <c:crossBetween val="midCat"/>
      </c:valAx>
      <c:valAx>
        <c:axId val="145192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RSE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1918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FTP_2!$F$1</c:f>
              <c:strCache>
                <c:ptCount val="1"/>
                <c:pt idx="0">
                  <c:v>CO2-RSE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FTP_2!$E$2:$E$158</c:f>
              <c:numCache>
                <c:formatCode>General</c:formatCode>
                <c:ptCount val="157"/>
                <c:pt idx="0">
                  <c:v>208.26545400000001</c:v>
                </c:pt>
                <c:pt idx="1">
                  <c:v>265.77746400000001</c:v>
                </c:pt>
                <c:pt idx="2">
                  <c:v>211.08391499999999</c:v>
                </c:pt>
                <c:pt idx="3">
                  <c:v>269.46799800000002</c:v>
                </c:pt>
                <c:pt idx="4">
                  <c:v>213.919363</c:v>
                </c:pt>
                <c:pt idx="5">
                  <c:v>273.154583</c:v>
                </c:pt>
                <c:pt idx="6">
                  <c:v>229.76704599999999</c:v>
                </c:pt>
                <c:pt idx="7">
                  <c:v>293.34265199999999</c:v>
                </c:pt>
                <c:pt idx="8">
                  <c:v>233.19515100000001</c:v>
                </c:pt>
                <c:pt idx="9">
                  <c:v>297.93579899999997</c:v>
                </c:pt>
                <c:pt idx="10">
                  <c:v>302.38627400000001</c:v>
                </c:pt>
                <c:pt idx="11">
                  <c:v>252.49749</c:v>
                </c:pt>
                <c:pt idx="12">
                  <c:v>322.39206300000001</c:v>
                </c:pt>
                <c:pt idx="13">
                  <c:v>255.09238199999999</c:v>
                </c:pt>
                <c:pt idx="14">
                  <c:v>325.83630399999998</c:v>
                </c:pt>
                <c:pt idx="15">
                  <c:v>330.06966799999998</c:v>
                </c:pt>
                <c:pt idx="16">
                  <c:v>301.83361300000001</c:v>
                </c:pt>
                <c:pt idx="17">
                  <c:v>365.29000100000002</c:v>
                </c:pt>
                <c:pt idx="18">
                  <c:v>304.25137699999999</c:v>
                </c:pt>
                <c:pt idx="19">
                  <c:v>368.19463100000002</c:v>
                </c:pt>
                <c:pt idx="20">
                  <c:v>306.71396900000002</c:v>
                </c:pt>
                <c:pt idx="21">
                  <c:v>371.18574000000001</c:v>
                </c:pt>
                <c:pt idx="22">
                  <c:v>278.01088499999997</c:v>
                </c:pt>
                <c:pt idx="23">
                  <c:v>242.92525599999999</c:v>
                </c:pt>
                <c:pt idx="24">
                  <c:v>328.84759200000002</c:v>
                </c:pt>
                <c:pt idx="25">
                  <c:v>398.23225200000002</c:v>
                </c:pt>
                <c:pt idx="26">
                  <c:v>232.47862599999999</c:v>
                </c:pt>
                <c:pt idx="27">
                  <c:v>281.35172299999999</c:v>
                </c:pt>
                <c:pt idx="28">
                  <c:v>246.32309799999999</c:v>
                </c:pt>
                <c:pt idx="29">
                  <c:v>333.409942</c:v>
                </c:pt>
                <c:pt idx="30">
                  <c:v>403.867097</c:v>
                </c:pt>
                <c:pt idx="31">
                  <c:v>235.21418199999999</c:v>
                </c:pt>
                <c:pt idx="32">
                  <c:v>284.65212200000002</c:v>
                </c:pt>
                <c:pt idx="33">
                  <c:v>249.698241</c:v>
                </c:pt>
                <c:pt idx="34">
                  <c:v>338.26728300000002</c:v>
                </c:pt>
                <c:pt idx="35">
                  <c:v>409.46136200000001</c:v>
                </c:pt>
                <c:pt idx="36">
                  <c:v>302.38356399999998</c:v>
                </c:pt>
                <c:pt idx="37">
                  <c:v>268.07932299999999</c:v>
                </c:pt>
                <c:pt idx="38">
                  <c:v>363.59871299999998</c:v>
                </c:pt>
                <c:pt idx="39">
                  <c:v>440.51397900000001</c:v>
                </c:pt>
                <c:pt idx="40">
                  <c:v>252.82146700000001</c:v>
                </c:pt>
                <c:pt idx="41">
                  <c:v>306.33700199999998</c:v>
                </c:pt>
                <c:pt idx="42">
                  <c:v>272.08921900000001</c:v>
                </c:pt>
                <c:pt idx="43">
                  <c:v>369.03095300000001</c:v>
                </c:pt>
                <c:pt idx="44">
                  <c:v>447.13806699999998</c:v>
                </c:pt>
                <c:pt idx="45">
                  <c:v>374.49655899999999</c:v>
                </c:pt>
                <c:pt idx="46">
                  <c:v>453.78840700000001</c:v>
                </c:pt>
                <c:pt idx="47">
                  <c:v>327.62418100000002</c:v>
                </c:pt>
                <c:pt idx="48">
                  <c:v>294.309439</c:v>
                </c:pt>
                <c:pt idx="49">
                  <c:v>399.37124999999997</c:v>
                </c:pt>
                <c:pt idx="50">
                  <c:v>484.20869499999998</c:v>
                </c:pt>
                <c:pt idx="51">
                  <c:v>330.62766800000003</c:v>
                </c:pt>
                <c:pt idx="52">
                  <c:v>297.67992199999998</c:v>
                </c:pt>
                <c:pt idx="53">
                  <c:v>403.61950300000001</c:v>
                </c:pt>
                <c:pt idx="54">
                  <c:v>489.38141200000001</c:v>
                </c:pt>
                <c:pt idx="55">
                  <c:v>407.91493000000003</c:v>
                </c:pt>
                <c:pt idx="56">
                  <c:v>494.62891500000001</c:v>
                </c:pt>
                <c:pt idx="57">
                  <c:v>397.05692800000003</c:v>
                </c:pt>
                <c:pt idx="58">
                  <c:v>349.41406499999999</c:v>
                </c:pt>
                <c:pt idx="59">
                  <c:v>451.49248999999998</c:v>
                </c:pt>
                <c:pt idx="60">
                  <c:v>554.41388500000005</c:v>
                </c:pt>
                <c:pt idx="61">
                  <c:v>399.95909</c:v>
                </c:pt>
                <c:pt idx="62">
                  <c:v>352.17042800000002</c:v>
                </c:pt>
                <c:pt idx="63">
                  <c:v>455.18907200000001</c:v>
                </c:pt>
                <c:pt idx="64">
                  <c:v>559.83977000000004</c:v>
                </c:pt>
                <c:pt idx="65">
                  <c:v>402.94182000000001</c:v>
                </c:pt>
                <c:pt idx="66">
                  <c:v>355.02331600000002</c:v>
                </c:pt>
                <c:pt idx="67">
                  <c:v>458.812996</c:v>
                </c:pt>
                <c:pt idx="68">
                  <c:v>564.43891699999995</c:v>
                </c:pt>
                <c:pt idx="69">
                  <c:v>263.375271</c:v>
                </c:pt>
                <c:pt idx="70">
                  <c:v>337.18350400000003</c:v>
                </c:pt>
                <c:pt idx="71">
                  <c:v>428.10327799999999</c:v>
                </c:pt>
                <c:pt idx="72">
                  <c:v>380.781857</c:v>
                </c:pt>
                <c:pt idx="73">
                  <c:v>492.49405400000001</c:v>
                </c:pt>
                <c:pt idx="74">
                  <c:v>606.41102699999999</c:v>
                </c:pt>
                <c:pt idx="75">
                  <c:v>266.42752100000001</c:v>
                </c:pt>
                <c:pt idx="76">
                  <c:v>341.28225400000002</c:v>
                </c:pt>
                <c:pt idx="77">
                  <c:v>433.41862099999997</c:v>
                </c:pt>
                <c:pt idx="78">
                  <c:v>386.07646199999999</c:v>
                </c:pt>
                <c:pt idx="79">
                  <c:v>499.766032</c:v>
                </c:pt>
                <c:pt idx="80">
                  <c:v>614.83167900000001</c:v>
                </c:pt>
                <c:pt idx="81">
                  <c:v>269.54745000000003</c:v>
                </c:pt>
                <c:pt idx="82">
                  <c:v>345.360345</c:v>
                </c:pt>
                <c:pt idx="83">
                  <c:v>438.90257500000001</c:v>
                </c:pt>
                <c:pt idx="84">
                  <c:v>391.682953</c:v>
                </c:pt>
                <c:pt idx="85">
                  <c:v>286.02538800000002</c:v>
                </c:pt>
                <c:pt idx="86">
                  <c:v>366.94800400000003</c:v>
                </c:pt>
                <c:pt idx="87">
                  <c:v>467.49500999999998</c:v>
                </c:pt>
                <c:pt idx="88">
                  <c:v>421.08254399999998</c:v>
                </c:pt>
                <c:pt idx="89">
                  <c:v>289.71176400000002</c:v>
                </c:pt>
                <c:pt idx="90">
                  <c:v>371.801242</c:v>
                </c:pt>
                <c:pt idx="91">
                  <c:v>473.93566800000002</c:v>
                </c:pt>
                <c:pt idx="92">
                  <c:v>427.21662600000002</c:v>
                </c:pt>
                <c:pt idx="93">
                  <c:v>376.67568699999998</c:v>
                </c:pt>
                <c:pt idx="94">
                  <c:v>480.211904</c:v>
                </c:pt>
                <c:pt idx="95">
                  <c:v>433.57674900000001</c:v>
                </c:pt>
                <c:pt idx="96">
                  <c:v>309.40090400000003</c:v>
                </c:pt>
                <c:pt idx="97">
                  <c:v>397.67825099999999</c:v>
                </c:pt>
                <c:pt idx="98">
                  <c:v>507.64575300000001</c:v>
                </c:pt>
                <c:pt idx="99">
                  <c:v>462.477147</c:v>
                </c:pt>
                <c:pt idx="100">
                  <c:v>312.18634400000002</c:v>
                </c:pt>
                <c:pt idx="101">
                  <c:v>401.31565399999999</c:v>
                </c:pt>
                <c:pt idx="102">
                  <c:v>512.91851099999997</c:v>
                </c:pt>
                <c:pt idx="103">
                  <c:v>467.327606</c:v>
                </c:pt>
                <c:pt idx="104">
                  <c:v>404.98818799999998</c:v>
                </c:pt>
                <c:pt idx="105">
                  <c:v>517.69000600000004</c:v>
                </c:pt>
                <c:pt idx="106">
                  <c:v>472.30924399999998</c:v>
                </c:pt>
                <c:pt idx="107">
                  <c:v>378.52637900000002</c:v>
                </c:pt>
                <c:pt idx="108">
                  <c:v>498.70719400000002</c:v>
                </c:pt>
                <c:pt idx="109">
                  <c:v>629.89798199999996</c:v>
                </c:pt>
                <c:pt idx="110">
                  <c:v>538.87602600000002</c:v>
                </c:pt>
                <c:pt idx="111">
                  <c:v>381.30021099999999</c:v>
                </c:pt>
                <c:pt idx="112">
                  <c:v>502.380246</c:v>
                </c:pt>
                <c:pt idx="113">
                  <c:v>634.168815</c:v>
                </c:pt>
                <c:pt idx="114">
                  <c:v>543.25832700000001</c:v>
                </c:pt>
                <c:pt idx="115">
                  <c:v>384.09155299999998</c:v>
                </c:pt>
                <c:pt idx="116">
                  <c:v>506.05434600000001</c:v>
                </c:pt>
                <c:pt idx="117">
                  <c:v>638.52131199999997</c:v>
                </c:pt>
                <c:pt idx="118">
                  <c:v>547.69759399999998</c:v>
                </c:pt>
                <c:pt idx="119">
                  <c:v>456.91089199999999</c:v>
                </c:pt>
                <c:pt idx="120">
                  <c:v>383.93769400000002</c:v>
                </c:pt>
                <c:pt idx="121">
                  <c:v>484.43885499999999</c:v>
                </c:pt>
                <c:pt idx="122">
                  <c:v>407.56641500000001</c:v>
                </c:pt>
                <c:pt idx="123">
                  <c:v>537.584833</c:v>
                </c:pt>
                <c:pt idx="124">
                  <c:v>677.56072700000004</c:v>
                </c:pt>
                <c:pt idx="125">
                  <c:v>588.35555399999998</c:v>
                </c:pt>
                <c:pt idx="126">
                  <c:v>460.64146499999998</c:v>
                </c:pt>
                <c:pt idx="127">
                  <c:v>387.52164800000003</c:v>
                </c:pt>
                <c:pt idx="128">
                  <c:v>488.78656899999999</c:v>
                </c:pt>
                <c:pt idx="129">
                  <c:v>412.60165899999998</c:v>
                </c:pt>
                <c:pt idx="130">
                  <c:v>544.14764700000001</c:v>
                </c:pt>
                <c:pt idx="131">
                  <c:v>685.60937999999999</c:v>
                </c:pt>
                <c:pt idx="132">
                  <c:v>596.09325799999999</c:v>
                </c:pt>
                <c:pt idx="133">
                  <c:v>464.43966999999998</c:v>
                </c:pt>
                <c:pt idx="134">
                  <c:v>391.15605499999998</c:v>
                </c:pt>
                <c:pt idx="135">
                  <c:v>493.16058099999998</c:v>
                </c:pt>
                <c:pt idx="136">
                  <c:v>417.72186399999998</c:v>
                </c:pt>
                <c:pt idx="137">
                  <c:v>483.21882399999998</c:v>
                </c:pt>
                <c:pt idx="138">
                  <c:v>409.18966499999999</c:v>
                </c:pt>
                <c:pt idx="139">
                  <c:v>515.67014600000005</c:v>
                </c:pt>
                <c:pt idx="140">
                  <c:v>444.67058400000002</c:v>
                </c:pt>
                <c:pt idx="141">
                  <c:v>487.59338300000002</c:v>
                </c:pt>
                <c:pt idx="142">
                  <c:v>413.35003799999998</c:v>
                </c:pt>
                <c:pt idx="143">
                  <c:v>520.82687999999996</c:v>
                </c:pt>
                <c:pt idx="144">
                  <c:v>450.58042399999999</c:v>
                </c:pt>
                <c:pt idx="145">
                  <c:v>525.98087799999996</c:v>
                </c:pt>
                <c:pt idx="146">
                  <c:v>456.53631300000001</c:v>
                </c:pt>
                <c:pt idx="147">
                  <c:v>510.03079100000002</c:v>
                </c:pt>
                <c:pt idx="148">
                  <c:v>434.75755800000002</c:v>
                </c:pt>
                <c:pt idx="149">
                  <c:v>547.26393700000006</c:v>
                </c:pt>
                <c:pt idx="150">
                  <c:v>482.54562099999998</c:v>
                </c:pt>
                <c:pt idx="151">
                  <c:v>513.38214900000003</c:v>
                </c:pt>
                <c:pt idx="152">
                  <c:v>437.92311100000001</c:v>
                </c:pt>
                <c:pt idx="153">
                  <c:v>551.22498800000005</c:v>
                </c:pt>
                <c:pt idx="154">
                  <c:v>487.07338199999998</c:v>
                </c:pt>
                <c:pt idx="155">
                  <c:v>555.22423900000001</c:v>
                </c:pt>
                <c:pt idx="156">
                  <c:v>491.63610399999999</c:v>
                </c:pt>
              </c:numCache>
            </c:numRef>
          </c:xVal>
          <c:yVal>
            <c:numRef>
              <c:f>FTP_2!$F$2:$F$158</c:f>
              <c:numCache>
                <c:formatCode>General</c:formatCode>
                <c:ptCount val="157"/>
                <c:pt idx="0">
                  <c:v>210.73824628839193</c:v>
                </c:pt>
                <c:pt idx="1">
                  <c:v>270.20073352870008</c:v>
                </c:pt>
                <c:pt idx="2">
                  <c:v>213.23118726626484</c:v>
                </c:pt>
                <c:pt idx="3">
                  <c:v>273.52822439098253</c:v>
                </c:pt>
                <c:pt idx="4">
                  <c:v>216.04405363253116</c:v>
                </c:pt>
                <c:pt idx="5">
                  <c:v>277.17564064165828</c:v>
                </c:pt>
                <c:pt idx="6">
                  <c:v>232.58033877566612</c:v>
                </c:pt>
                <c:pt idx="7">
                  <c:v>298.30602494875228</c:v>
                </c:pt>
                <c:pt idx="8">
                  <c:v>235.84711664639917</c:v>
                </c:pt>
                <c:pt idx="9">
                  <c:v>302.52657411595334</c:v>
                </c:pt>
                <c:pt idx="10">
                  <c:v>307.16498501493351</c:v>
                </c:pt>
                <c:pt idx="11">
                  <c:v>255.29887023468964</c:v>
                </c:pt>
                <c:pt idx="12">
                  <c:v>327.28775534055376</c:v>
                </c:pt>
                <c:pt idx="13">
                  <c:v>258.00346868229531</c:v>
                </c:pt>
                <c:pt idx="14">
                  <c:v>330.70768226051035</c:v>
                </c:pt>
                <c:pt idx="15">
                  <c:v>334.36265640459277</c:v>
                </c:pt>
                <c:pt idx="16">
                  <c:v>302.32127461552079</c:v>
                </c:pt>
                <c:pt idx="17">
                  <c:v>370.12292609447911</c:v>
                </c:pt>
                <c:pt idx="18">
                  <c:v>304.48288154600175</c:v>
                </c:pt>
                <c:pt idx="19">
                  <c:v>372.88064008525254</c:v>
                </c:pt>
                <c:pt idx="20">
                  <c:v>306.74895390942754</c:v>
                </c:pt>
                <c:pt idx="21">
                  <c:v>375.74281950897085</c:v>
                </c:pt>
                <c:pt idx="22">
                  <c:v>282.30542293748397</c:v>
                </c:pt>
                <c:pt idx="23">
                  <c:v>240.47626813097378</c:v>
                </c:pt>
                <c:pt idx="24">
                  <c:v>329.60899498958594</c:v>
                </c:pt>
                <c:pt idx="25">
                  <c:v>403.79306681338073</c:v>
                </c:pt>
                <c:pt idx="26">
                  <c:v>233.3274212281575</c:v>
                </c:pt>
                <c:pt idx="27">
                  <c:v>285.60699226642794</c:v>
                </c:pt>
                <c:pt idx="28">
                  <c:v>243.38648405105147</c:v>
                </c:pt>
                <c:pt idx="29">
                  <c:v>333.77103573627784</c:v>
                </c:pt>
                <c:pt idx="30">
                  <c:v>408.99829491558449</c:v>
                </c:pt>
                <c:pt idx="31">
                  <c:v>236.32300353218773</c:v>
                </c:pt>
                <c:pt idx="32">
                  <c:v>289.22848698376526</c:v>
                </c:pt>
                <c:pt idx="33">
                  <c:v>246.61662535952252</c:v>
                </c:pt>
                <c:pt idx="34">
                  <c:v>338.25300187136315</c:v>
                </c:pt>
                <c:pt idx="35">
                  <c:v>414.52344840618167</c:v>
                </c:pt>
                <c:pt idx="36">
                  <c:v>307.44752785468779</c:v>
                </c:pt>
                <c:pt idx="37">
                  <c:v>265.44996008463698</c:v>
                </c:pt>
                <c:pt idx="38">
                  <c:v>363.97748534241612</c:v>
                </c:pt>
                <c:pt idx="39">
                  <c:v>445.99055583218336</c:v>
                </c:pt>
                <c:pt idx="40">
                  <c:v>254.57206611546133</c:v>
                </c:pt>
                <c:pt idx="41">
                  <c:v>311.63845241235913</c:v>
                </c:pt>
                <c:pt idx="42">
                  <c:v>269.19362360360401</c:v>
                </c:pt>
                <c:pt idx="43">
                  <c:v>369.15180580608512</c:v>
                </c:pt>
                <c:pt idx="44">
                  <c:v>452.3570904164373</c:v>
                </c:pt>
                <c:pt idx="45">
                  <c:v>374.7439880015333</c:v>
                </c:pt>
                <c:pt idx="46">
                  <c:v>459.14148673247047</c:v>
                </c:pt>
                <c:pt idx="47">
                  <c:v>333.4660717436409</c:v>
                </c:pt>
                <c:pt idx="48">
                  <c:v>291.30009101004947</c:v>
                </c:pt>
                <c:pt idx="49">
                  <c:v>399.22241466699552</c:v>
                </c:pt>
                <c:pt idx="50">
                  <c:v>489.06448382273527</c:v>
                </c:pt>
                <c:pt idx="51">
                  <c:v>336.8637802064502</c:v>
                </c:pt>
                <c:pt idx="52">
                  <c:v>294.36235369383058</c:v>
                </c:pt>
                <c:pt idx="53">
                  <c:v>403.35767005930313</c:v>
                </c:pt>
                <c:pt idx="54">
                  <c:v>494.09389980548161</c:v>
                </c:pt>
                <c:pt idx="55">
                  <c:v>407.72797267573651</c:v>
                </c:pt>
                <c:pt idx="56">
                  <c:v>499.35836301235366</c:v>
                </c:pt>
                <c:pt idx="57">
                  <c:v>405.7867577511538</c:v>
                </c:pt>
                <c:pt idx="58">
                  <c:v>343.01243283653741</c:v>
                </c:pt>
                <c:pt idx="59">
                  <c:v>451.37306719917075</c:v>
                </c:pt>
                <c:pt idx="60">
                  <c:v>559.51679844411478</c:v>
                </c:pt>
                <c:pt idx="61">
                  <c:v>408.52965943716231</c:v>
                </c:pt>
                <c:pt idx="62">
                  <c:v>345.53170400319379</c:v>
                </c:pt>
                <c:pt idx="63">
                  <c:v>454.84610966229508</c:v>
                </c:pt>
                <c:pt idx="64">
                  <c:v>563.94361220370706</c:v>
                </c:pt>
                <c:pt idx="65">
                  <c:v>411.37702655611577</c:v>
                </c:pt>
                <c:pt idx="66">
                  <c:v>348.15544060279512</c:v>
                </c:pt>
                <c:pt idx="67">
                  <c:v>458.42361755836441</c:v>
                </c:pt>
                <c:pt idx="68">
                  <c:v>568.4748913962444</c:v>
                </c:pt>
                <c:pt idx="69">
                  <c:v>256.48240637511799</c:v>
                </c:pt>
                <c:pt idx="70">
                  <c:v>333.92857956152221</c:v>
                </c:pt>
                <c:pt idx="71">
                  <c:v>437.08338680682368</c:v>
                </c:pt>
                <c:pt idx="72">
                  <c:v>374.12960541750442</c:v>
                </c:pt>
                <c:pt idx="73">
                  <c:v>492.70211233187604</c:v>
                </c:pt>
                <c:pt idx="74">
                  <c:v>611.05771612855847</c:v>
                </c:pt>
                <c:pt idx="75">
                  <c:v>259.47101949740835</c:v>
                </c:pt>
                <c:pt idx="76">
                  <c:v>337.85606130377329</c:v>
                </c:pt>
                <c:pt idx="77">
                  <c:v>442.26269337568897</c:v>
                </c:pt>
                <c:pt idx="78">
                  <c:v>378.91755857750354</c:v>
                </c:pt>
                <c:pt idx="79">
                  <c:v>499.15916526069401</c:v>
                </c:pt>
                <c:pt idx="80">
                  <c:v>619.18386882619541</c:v>
                </c:pt>
                <c:pt idx="81">
                  <c:v>262.77955800809212</c:v>
                </c:pt>
                <c:pt idx="82">
                  <c:v>342.10346843441778</c:v>
                </c:pt>
                <c:pt idx="83">
                  <c:v>447.76192533294773</c:v>
                </c:pt>
                <c:pt idx="84">
                  <c:v>384.02543712589591</c:v>
                </c:pt>
                <c:pt idx="85">
                  <c:v>279.27581169253</c:v>
                </c:pt>
                <c:pt idx="86">
                  <c:v>363.76808367830955</c:v>
                </c:pt>
                <c:pt idx="87">
                  <c:v>476.31768932277794</c:v>
                </c:pt>
                <c:pt idx="88">
                  <c:v>413.19549496991817</c:v>
                </c:pt>
                <c:pt idx="89">
                  <c:v>283.10907201402591</c:v>
                </c:pt>
                <c:pt idx="90">
                  <c:v>368.67433670833185</c:v>
                </c:pt>
                <c:pt idx="91">
                  <c:v>482.65459929750227</c:v>
                </c:pt>
                <c:pt idx="92">
                  <c:v>419.08514390593814</c:v>
                </c:pt>
                <c:pt idx="93">
                  <c:v>373.99845147013338</c:v>
                </c:pt>
                <c:pt idx="94">
                  <c:v>489.40937100400583</c:v>
                </c:pt>
                <c:pt idx="95">
                  <c:v>425.39265457373733</c:v>
                </c:pt>
                <c:pt idx="96">
                  <c:v>302.9456559816914</c:v>
                </c:pt>
                <c:pt idx="97">
                  <c:v>394.48402676684606</c:v>
                </c:pt>
                <c:pt idx="98">
                  <c:v>516.42843081048136</c:v>
                </c:pt>
                <c:pt idx="99">
                  <c:v>453.13782349408098</c:v>
                </c:pt>
                <c:pt idx="100">
                  <c:v>306.07511626736914</c:v>
                </c:pt>
                <c:pt idx="101">
                  <c:v>398.41823158391867</c:v>
                </c:pt>
                <c:pt idx="102">
                  <c:v>521.43562833608053</c:v>
                </c:pt>
                <c:pt idx="103">
                  <c:v>457.80957524065184</c:v>
                </c:pt>
                <c:pt idx="104">
                  <c:v>402.58748362511704</c:v>
                </c:pt>
                <c:pt idx="105">
                  <c:v>526.67787308580546</c:v>
                </c:pt>
                <c:pt idx="106">
                  <c:v>462.71637421134847</c:v>
                </c:pt>
                <c:pt idx="107">
                  <c:v>373.96834658551006</c:v>
                </c:pt>
                <c:pt idx="108">
                  <c:v>501.16065257895139</c:v>
                </c:pt>
                <c:pt idx="109">
                  <c:v>628.13605545470364</c:v>
                </c:pt>
                <c:pt idx="110">
                  <c:v>532.50120030016217</c:v>
                </c:pt>
                <c:pt idx="111">
                  <c:v>376.4728054474017</c:v>
                </c:pt>
                <c:pt idx="112">
                  <c:v>504.61888273731091</c:v>
                </c:pt>
                <c:pt idx="113">
                  <c:v>632.54805690953106</c:v>
                </c:pt>
                <c:pt idx="114">
                  <c:v>536.68957123563746</c:v>
                </c:pt>
                <c:pt idx="115">
                  <c:v>379.08172974223811</c:v>
                </c:pt>
                <c:pt idx="116">
                  <c:v>508.18157832861544</c:v>
                </c:pt>
                <c:pt idx="117">
                  <c:v>637.06452379730354</c:v>
                </c:pt>
                <c:pt idx="118">
                  <c:v>540.98240760405781</c:v>
                </c:pt>
                <c:pt idx="119">
                  <c:v>455.94110207840305</c:v>
                </c:pt>
                <c:pt idx="120">
                  <c:v>387.03507454866917</c:v>
                </c:pt>
                <c:pt idx="121">
                  <c:v>478.24695198363656</c:v>
                </c:pt>
                <c:pt idx="122">
                  <c:v>402.71200750324545</c:v>
                </c:pt>
                <c:pt idx="123">
                  <c:v>540.11618604842499</c:v>
                </c:pt>
                <c:pt idx="124">
                  <c:v>677.30346147591558</c:v>
                </c:pt>
                <c:pt idx="125">
                  <c:v>581.48914984667124</c:v>
                </c:pt>
                <c:pt idx="126">
                  <c:v>460.75778557522136</c:v>
                </c:pt>
                <c:pt idx="127">
                  <c:v>391.26984151816453</c:v>
                </c:pt>
                <c:pt idx="128">
                  <c:v>483.31626883754143</c:v>
                </c:pt>
                <c:pt idx="129">
                  <c:v>407.47403912990598</c:v>
                </c:pt>
                <c:pt idx="130">
                  <c:v>546.5473174439046</c:v>
                </c:pt>
                <c:pt idx="131">
                  <c:v>685.4036926402141</c:v>
                </c:pt>
                <c:pt idx="132">
                  <c:v>589.19802760210337</c:v>
                </c:pt>
                <c:pt idx="133">
                  <c:v>465.89439446043309</c:v>
                </c:pt>
                <c:pt idx="134">
                  <c:v>395.82453387605329</c:v>
                </c:pt>
                <c:pt idx="135">
                  <c:v>488.70551107983965</c:v>
                </c:pt>
                <c:pt idx="136">
                  <c:v>412.55599614496003</c:v>
                </c:pt>
                <c:pt idx="137">
                  <c:v>483.2112290253632</c:v>
                </c:pt>
                <c:pt idx="138">
                  <c:v>412.57876682055985</c:v>
                </c:pt>
                <c:pt idx="139">
                  <c:v>510.05384318830534</c:v>
                </c:pt>
                <c:pt idx="140">
                  <c:v>438.81471055281077</c:v>
                </c:pt>
                <c:pt idx="141">
                  <c:v>489.13371263203373</c:v>
                </c:pt>
                <c:pt idx="142">
                  <c:v>417.83620296743288</c:v>
                </c:pt>
                <c:pt idx="143">
                  <c:v>516.26505063164632</c:v>
                </c:pt>
                <c:pt idx="144">
                  <c:v>444.67473487930107</c:v>
                </c:pt>
                <c:pt idx="145">
                  <c:v>522.89411980676641</c:v>
                </c:pt>
                <c:pt idx="146">
                  <c:v>450.95262093757054</c:v>
                </c:pt>
                <c:pt idx="147">
                  <c:v>511.35779494407257</c:v>
                </c:pt>
                <c:pt idx="148">
                  <c:v>438.99889806420003</c:v>
                </c:pt>
                <c:pt idx="149">
                  <c:v>542.73717336472339</c:v>
                </c:pt>
                <c:pt idx="150">
                  <c:v>475.79385257412525</c:v>
                </c:pt>
                <c:pt idx="151">
                  <c:v>516.05417269363136</c:v>
                </c:pt>
                <c:pt idx="152">
                  <c:v>443.19649021891053</c:v>
                </c:pt>
                <c:pt idx="153">
                  <c:v>547.65009399178496</c:v>
                </c:pt>
                <c:pt idx="154">
                  <c:v>480.44338586354883</c:v>
                </c:pt>
                <c:pt idx="155">
                  <c:v>552.79806184297229</c:v>
                </c:pt>
                <c:pt idx="156">
                  <c:v>485.32796637709822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2A-4F07-8C4D-B694B102F2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021824"/>
        <c:axId val="1787014752"/>
      </c:scatterChart>
      <c:valAx>
        <c:axId val="178702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ALPHA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014752"/>
        <c:crosses val="autoZero"/>
        <c:crossBetween val="midCat"/>
      </c:valAx>
      <c:valAx>
        <c:axId val="178701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RSE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021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FTP_3!$F$1</c:f>
              <c:strCache>
                <c:ptCount val="1"/>
                <c:pt idx="0">
                  <c:v>CO2-RSE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FTP_3!$E$2:$E$158</c:f>
              <c:numCache>
                <c:formatCode>General</c:formatCode>
                <c:ptCount val="157"/>
                <c:pt idx="0">
                  <c:v>184.308471</c:v>
                </c:pt>
                <c:pt idx="1">
                  <c:v>234.70326399999999</c:v>
                </c:pt>
                <c:pt idx="2">
                  <c:v>203.81251900000001</c:v>
                </c:pt>
                <c:pt idx="3">
                  <c:v>260.27217999999999</c:v>
                </c:pt>
                <c:pt idx="4">
                  <c:v>224.11834300000001</c:v>
                </c:pt>
                <c:pt idx="5">
                  <c:v>288.26369899999997</c:v>
                </c:pt>
                <c:pt idx="6">
                  <c:v>206.94424799999999</c:v>
                </c:pt>
                <c:pt idx="7">
                  <c:v>263.68446999999998</c:v>
                </c:pt>
                <c:pt idx="8">
                  <c:v>229.89937800000001</c:v>
                </c:pt>
                <c:pt idx="9">
                  <c:v>295.51166799999999</c:v>
                </c:pt>
                <c:pt idx="10">
                  <c:v>330.223007</c:v>
                </c:pt>
                <c:pt idx="11">
                  <c:v>230.464652</c:v>
                </c:pt>
                <c:pt idx="12">
                  <c:v>295.56814400000002</c:v>
                </c:pt>
                <c:pt idx="13">
                  <c:v>248.66253699999999</c:v>
                </c:pt>
                <c:pt idx="14">
                  <c:v>319.74232599999999</c:v>
                </c:pt>
                <c:pt idx="15">
                  <c:v>346.35650600000002</c:v>
                </c:pt>
                <c:pt idx="16">
                  <c:v>258.80839900000001</c:v>
                </c:pt>
                <c:pt idx="17">
                  <c:v>314.17019099999999</c:v>
                </c:pt>
                <c:pt idx="18">
                  <c:v>275.37372699999997</c:v>
                </c:pt>
                <c:pt idx="19">
                  <c:v>333.81296200000003</c:v>
                </c:pt>
                <c:pt idx="20">
                  <c:v>291.82120099999997</c:v>
                </c:pt>
                <c:pt idx="21">
                  <c:v>355.21818100000002</c:v>
                </c:pt>
                <c:pt idx="22">
                  <c:v>227.506327</c:v>
                </c:pt>
                <c:pt idx="23">
                  <c:v>213.986546</c:v>
                </c:pt>
                <c:pt idx="24">
                  <c:v>289.04737299999999</c:v>
                </c:pt>
                <c:pt idx="25">
                  <c:v>351.33673599999997</c:v>
                </c:pt>
                <c:pt idx="26">
                  <c:v>204.53858399999999</c:v>
                </c:pt>
                <c:pt idx="27">
                  <c:v>249.84020899999999</c:v>
                </c:pt>
                <c:pt idx="28">
                  <c:v>236.46918099999999</c:v>
                </c:pt>
                <c:pt idx="29">
                  <c:v>320.71207099999998</c:v>
                </c:pt>
                <c:pt idx="30">
                  <c:v>390.771863</c:v>
                </c:pt>
                <c:pt idx="31">
                  <c:v>223.96966800000001</c:v>
                </c:pt>
                <c:pt idx="32">
                  <c:v>274.25801799999999</c:v>
                </c:pt>
                <c:pt idx="33">
                  <c:v>260.74353200000002</c:v>
                </c:pt>
                <c:pt idx="34">
                  <c:v>356.93543799999998</c:v>
                </c:pt>
                <c:pt idx="35">
                  <c:v>434.70418100000001</c:v>
                </c:pt>
                <c:pt idx="36">
                  <c:v>253.169826</c:v>
                </c:pt>
                <c:pt idx="37">
                  <c:v>239.63905199999999</c:v>
                </c:pt>
                <c:pt idx="38">
                  <c:v>326.11449699999997</c:v>
                </c:pt>
                <c:pt idx="39">
                  <c:v>397.48624799999999</c:v>
                </c:pt>
                <c:pt idx="40">
                  <c:v>229.45623499999999</c:v>
                </c:pt>
                <c:pt idx="41">
                  <c:v>280.33085299999999</c:v>
                </c:pt>
                <c:pt idx="42">
                  <c:v>267.79895399999998</c:v>
                </c:pt>
                <c:pt idx="43">
                  <c:v>366.18531100000001</c:v>
                </c:pt>
                <c:pt idx="44">
                  <c:v>447.09058900000002</c:v>
                </c:pt>
                <c:pt idx="45">
                  <c:v>409.23869000000002</c:v>
                </c:pt>
                <c:pt idx="46">
                  <c:v>497.76824499999998</c:v>
                </c:pt>
                <c:pt idx="47">
                  <c:v>280.39252299999998</c:v>
                </c:pt>
                <c:pt idx="48">
                  <c:v>267.64426900000001</c:v>
                </c:pt>
                <c:pt idx="49">
                  <c:v>366.95459499999998</c:v>
                </c:pt>
                <c:pt idx="50">
                  <c:v>445.17819300000002</c:v>
                </c:pt>
                <c:pt idx="51">
                  <c:v>299.43648300000001</c:v>
                </c:pt>
                <c:pt idx="52">
                  <c:v>290.35941300000002</c:v>
                </c:pt>
                <c:pt idx="53">
                  <c:v>398.175725</c:v>
                </c:pt>
                <c:pt idx="54">
                  <c:v>485.99391100000003</c:v>
                </c:pt>
                <c:pt idx="55">
                  <c:v>428.74710099999999</c:v>
                </c:pt>
                <c:pt idx="56">
                  <c:v>522.097217</c:v>
                </c:pt>
                <c:pt idx="57">
                  <c:v>320.84239600000001</c:v>
                </c:pt>
                <c:pt idx="58">
                  <c:v>298.922595</c:v>
                </c:pt>
                <c:pt idx="59">
                  <c:v>389.91685000000001</c:v>
                </c:pt>
                <c:pt idx="60">
                  <c:v>478.69466999999997</c:v>
                </c:pt>
                <c:pt idx="61">
                  <c:v>339.49633399999999</c:v>
                </c:pt>
                <c:pt idx="62">
                  <c:v>317.62344100000001</c:v>
                </c:pt>
                <c:pt idx="63">
                  <c:v>414.682321</c:v>
                </c:pt>
                <c:pt idx="64">
                  <c:v>510.10170699999998</c:v>
                </c:pt>
                <c:pt idx="65">
                  <c:v>360.11041799999998</c:v>
                </c:pt>
                <c:pt idx="66">
                  <c:v>338.26325400000002</c:v>
                </c:pt>
                <c:pt idx="67">
                  <c:v>441.62375100000003</c:v>
                </c:pt>
                <c:pt idx="68">
                  <c:v>543.17779800000005</c:v>
                </c:pt>
                <c:pt idx="69">
                  <c:v>213.58148600000001</c:v>
                </c:pt>
                <c:pt idx="70">
                  <c:v>277.42273699999998</c:v>
                </c:pt>
                <c:pt idx="71">
                  <c:v>356.89342399999998</c:v>
                </c:pt>
                <c:pt idx="72">
                  <c:v>334.25223699999998</c:v>
                </c:pt>
                <c:pt idx="73">
                  <c:v>437.22932900000001</c:v>
                </c:pt>
                <c:pt idx="74">
                  <c:v>537.96975699999996</c:v>
                </c:pt>
                <c:pt idx="75">
                  <c:v>234.17506800000001</c:v>
                </c:pt>
                <c:pt idx="76">
                  <c:v>304.63094999999998</c:v>
                </c:pt>
                <c:pt idx="77">
                  <c:v>393.96785799999998</c:v>
                </c:pt>
                <c:pt idx="78">
                  <c:v>371.49308300000001</c:v>
                </c:pt>
                <c:pt idx="79">
                  <c:v>485.93411900000001</c:v>
                </c:pt>
                <c:pt idx="80">
                  <c:v>599.39995299999998</c:v>
                </c:pt>
                <c:pt idx="81">
                  <c:v>256.49363599999998</c:v>
                </c:pt>
                <c:pt idx="82">
                  <c:v>333.81957199999999</c:v>
                </c:pt>
                <c:pt idx="83">
                  <c:v>429.21117600000002</c:v>
                </c:pt>
                <c:pt idx="84">
                  <c:v>412.90676300000001</c:v>
                </c:pt>
                <c:pt idx="85">
                  <c:v>237.40732499999999</c:v>
                </c:pt>
                <c:pt idx="86">
                  <c:v>308.75208199999997</c:v>
                </c:pt>
                <c:pt idx="87">
                  <c:v>398.73758900000001</c:v>
                </c:pt>
                <c:pt idx="88">
                  <c:v>377.78041400000001</c:v>
                </c:pt>
                <c:pt idx="89">
                  <c:v>262.83172500000001</c:v>
                </c:pt>
                <c:pt idx="90">
                  <c:v>342.42026600000003</c:v>
                </c:pt>
                <c:pt idx="91">
                  <c:v>440.53680700000001</c:v>
                </c:pt>
                <c:pt idx="92">
                  <c:v>424.84375499999999</c:v>
                </c:pt>
                <c:pt idx="93">
                  <c:v>376.355255</c:v>
                </c:pt>
                <c:pt idx="94">
                  <c:v>485.44896599999998</c:v>
                </c:pt>
                <c:pt idx="95">
                  <c:v>473.15429</c:v>
                </c:pt>
                <c:pt idx="96">
                  <c:v>262.34972800000003</c:v>
                </c:pt>
                <c:pt idx="97">
                  <c:v>341.53937500000001</c:v>
                </c:pt>
                <c:pt idx="98">
                  <c:v>440.18855300000001</c:v>
                </c:pt>
                <c:pt idx="99">
                  <c:v>425.15968299999997</c:v>
                </c:pt>
                <c:pt idx="100">
                  <c:v>281.57469099999997</c:v>
                </c:pt>
                <c:pt idx="101">
                  <c:v>366.95916299999999</c:v>
                </c:pt>
                <c:pt idx="102">
                  <c:v>472.06246700000003</c:v>
                </c:pt>
                <c:pt idx="103">
                  <c:v>460.61158999999998</c:v>
                </c:pt>
                <c:pt idx="104">
                  <c:v>392.35990900000002</c:v>
                </c:pt>
                <c:pt idx="105">
                  <c:v>507.38333499999999</c:v>
                </c:pt>
                <c:pt idx="106">
                  <c:v>496.18782099999999</c:v>
                </c:pt>
                <c:pt idx="107">
                  <c:v>304.75024000000002</c:v>
                </c:pt>
                <c:pt idx="108">
                  <c:v>401.374977</c:v>
                </c:pt>
                <c:pt idx="109">
                  <c:v>508.558989</c:v>
                </c:pt>
                <c:pt idx="110">
                  <c:v>466.08816999999999</c:v>
                </c:pt>
                <c:pt idx="111">
                  <c:v>322.04014699999999</c:v>
                </c:pt>
                <c:pt idx="112">
                  <c:v>425.79231800000002</c:v>
                </c:pt>
                <c:pt idx="113">
                  <c:v>537.33620199999996</c:v>
                </c:pt>
                <c:pt idx="114">
                  <c:v>495.97380199999998</c:v>
                </c:pt>
                <c:pt idx="115">
                  <c:v>340.80422099999998</c:v>
                </c:pt>
                <c:pt idx="116">
                  <c:v>452.85969599999999</c:v>
                </c:pt>
                <c:pt idx="117">
                  <c:v>568.756799</c:v>
                </c:pt>
                <c:pt idx="118">
                  <c:v>527.89513099999999</c:v>
                </c:pt>
                <c:pt idx="119">
                  <c:v>332.26610399999998</c:v>
                </c:pt>
                <c:pt idx="120">
                  <c:v>285.40189400000003</c:v>
                </c:pt>
                <c:pt idx="121">
                  <c:v>362.88122800000002</c:v>
                </c:pt>
                <c:pt idx="122">
                  <c:v>337.45102500000002</c:v>
                </c:pt>
                <c:pt idx="123">
                  <c:v>446.85220500000003</c:v>
                </c:pt>
                <c:pt idx="124">
                  <c:v>563.36379199999999</c:v>
                </c:pt>
                <c:pt idx="125">
                  <c:v>522.60230100000001</c:v>
                </c:pt>
                <c:pt idx="126">
                  <c:v>354.85306400000002</c:v>
                </c:pt>
                <c:pt idx="127">
                  <c:v>306.86846300000002</c:v>
                </c:pt>
                <c:pt idx="128">
                  <c:v>389.70811700000002</c:v>
                </c:pt>
                <c:pt idx="129">
                  <c:v>372.56885399999999</c:v>
                </c:pt>
                <c:pt idx="130">
                  <c:v>491.82351499999999</c:v>
                </c:pt>
                <c:pt idx="131">
                  <c:v>618.05496500000004</c:v>
                </c:pt>
                <c:pt idx="132">
                  <c:v>581.01327600000002</c:v>
                </c:pt>
                <c:pt idx="133">
                  <c:v>377.81478600000003</c:v>
                </c:pt>
                <c:pt idx="134">
                  <c:v>328.87489599999998</c:v>
                </c:pt>
                <c:pt idx="135">
                  <c:v>417.175703</c:v>
                </c:pt>
                <c:pt idx="136">
                  <c:v>406.458822</c:v>
                </c:pt>
                <c:pt idx="137">
                  <c:v>359.35299199999997</c:v>
                </c:pt>
                <c:pt idx="138">
                  <c:v>311.274272</c:v>
                </c:pt>
                <c:pt idx="139">
                  <c:v>395.114465</c:v>
                </c:pt>
                <c:pt idx="140">
                  <c:v>376.58281699999998</c:v>
                </c:pt>
                <c:pt idx="141">
                  <c:v>385.55840799999999</c:v>
                </c:pt>
                <c:pt idx="142">
                  <c:v>336.33798100000001</c:v>
                </c:pt>
                <c:pt idx="143">
                  <c:v>426.36528900000002</c:v>
                </c:pt>
                <c:pt idx="144">
                  <c:v>416.785774</c:v>
                </c:pt>
                <c:pt idx="145">
                  <c:v>457.19116200000002</c:v>
                </c:pt>
                <c:pt idx="146">
                  <c:v>456.66071199999999</c:v>
                </c:pt>
                <c:pt idx="147">
                  <c:v>387.053158</c:v>
                </c:pt>
                <c:pt idx="148">
                  <c:v>337.348659</c:v>
                </c:pt>
                <c:pt idx="149">
                  <c:v>427.83891899999998</c:v>
                </c:pt>
                <c:pt idx="150">
                  <c:v>416.63242000000002</c:v>
                </c:pt>
                <c:pt idx="151">
                  <c:v>406.88026400000001</c:v>
                </c:pt>
                <c:pt idx="152">
                  <c:v>356.56077399999998</c:v>
                </c:pt>
                <c:pt idx="153">
                  <c:v>451.331323</c:v>
                </c:pt>
                <c:pt idx="154">
                  <c:v>446.95052600000002</c:v>
                </c:pt>
                <c:pt idx="155">
                  <c:v>474.49339099999997</c:v>
                </c:pt>
                <c:pt idx="156">
                  <c:v>477.53289599999999</c:v>
                </c:pt>
              </c:numCache>
            </c:numRef>
          </c:xVal>
          <c:yVal>
            <c:numRef>
              <c:f>FTP_3!$F$2:$F$158</c:f>
              <c:numCache>
                <c:formatCode>General</c:formatCode>
                <c:ptCount val="157"/>
                <c:pt idx="0">
                  <c:v>183.61401326079456</c:v>
                </c:pt>
                <c:pt idx="1">
                  <c:v>237.41588308229473</c:v>
                </c:pt>
                <c:pt idx="2">
                  <c:v>203.5664927216896</c:v>
                </c:pt>
                <c:pt idx="3">
                  <c:v>263.32760731157845</c:v>
                </c:pt>
                <c:pt idx="4">
                  <c:v>226.05613376694706</c:v>
                </c:pt>
                <c:pt idx="5">
                  <c:v>291.77649312522459</c:v>
                </c:pt>
                <c:pt idx="6">
                  <c:v>206.87784535687021</c:v>
                </c:pt>
                <c:pt idx="7">
                  <c:v>267.63270794224326</c:v>
                </c:pt>
                <c:pt idx="8">
                  <c:v>231.77312812199176</c:v>
                </c:pt>
                <c:pt idx="9">
                  <c:v>299.33855615695188</c:v>
                </c:pt>
                <c:pt idx="10">
                  <c:v>334.35824807368488</c:v>
                </c:pt>
                <c:pt idx="11">
                  <c:v>231.55576775859276</c:v>
                </c:pt>
                <c:pt idx="12">
                  <c:v>299.26362310783867</c:v>
                </c:pt>
                <c:pt idx="13">
                  <c:v>251.3305573834821</c:v>
                </c:pt>
                <c:pt idx="14">
                  <c:v>324.1463368199183</c:v>
                </c:pt>
                <c:pt idx="15">
                  <c:v>350.89308761438673</c:v>
                </c:pt>
                <c:pt idx="16">
                  <c:v>258.97019842185858</c:v>
                </c:pt>
                <c:pt idx="17">
                  <c:v>317.88743567452877</c:v>
                </c:pt>
                <c:pt idx="18">
                  <c:v>275.95168212841651</c:v>
                </c:pt>
                <c:pt idx="19">
                  <c:v>339.12552278707864</c:v>
                </c:pt>
                <c:pt idx="20">
                  <c:v>293.76162676048051</c:v>
                </c:pt>
                <c:pt idx="21">
                  <c:v>361.19207082513452</c:v>
                </c:pt>
                <c:pt idx="22">
                  <c:v>231.41979987509538</c:v>
                </c:pt>
                <c:pt idx="23">
                  <c:v>210.53992636350389</c:v>
                </c:pt>
                <c:pt idx="24">
                  <c:v>291.01792736812104</c:v>
                </c:pt>
                <c:pt idx="25">
                  <c:v>357.7394780658625</c:v>
                </c:pt>
                <c:pt idx="26">
                  <c:v>205.13429119062349</c:v>
                </c:pt>
                <c:pt idx="27">
                  <c:v>253.48264465202178</c:v>
                </c:pt>
                <c:pt idx="28">
                  <c:v>233.47202820859323</c:v>
                </c:pt>
                <c:pt idx="29">
                  <c:v>322.88889636579341</c:v>
                </c:pt>
                <c:pt idx="30">
                  <c:v>397.05950302402073</c:v>
                </c:pt>
                <c:pt idx="31">
                  <c:v>225.26486397562078</c:v>
                </c:pt>
                <c:pt idx="32">
                  <c:v>278.08265101331062</c:v>
                </c:pt>
                <c:pt idx="33">
                  <c:v>258.94129163804507</c:v>
                </c:pt>
                <c:pt idx="34">
                  <c:v>357.29702694782821</c:v>
                </c:pt>
                <c:pt idx="35">
                  <c:v>438.91668956654132</c:v>
                </c:pt>
                <c:pt idx="36">
                  <c:v>257.51759279813035</c:v>
                </c:pt>
                <c:pt idx="37">
                  <c:v>237.28025484151598</c:v>
                </c:pt>
                <c:pt idx="38">
                  <c:v>328.1877449919424</c:v>
                </c:pt>
                <c:pt idx="39">
                  <c:v>403.60053664452488</c:v>
                </c:pt>
                <c:pt idx="40">
                  <c:v>230.62313309351453</c:v>
                </c:pt>
                <c:pt idx="41">
                  <c:v>284.82472163871631</c:v>
                </c:pt>
                <c:pt idx="42">
                  <c:v>265.58082033143103</c:v>
                </c:pt>
                <c:pt idx="43">
                  <c:v>366.70415865623806</c:v>
                </c:pt>
                <c:pt idx="44">
                  <c:v>450.63015712080437</c:v>
                </c:pt>
                <c:pt idx="45">
                  <c:v>408.5344160225581</c:v>
                </c:pt>
                <c:pt idx="46">
                  <c:v>500.97362129910823</c:v>
                </c:pt>
                <c:pt idx="47">
                  <c:v>285.02947602681218</c:v>
                </c:pt>
                <c:pt idx="48">
                  <c:v>265.43467362517492</c:v>
                </c:pt>
                <c:pt idx="49">
                  <c:v>366.77165292141069</c:v>
                </c:pt>
                <c:pt idx="50">
                  <c:v>450.87568552883431</c:v>
                </c:pt>
                <c:pt idx="51">
                  <c:v>306.61315020829988</c:v>
                </c:pt>
                <c:pt idx="52">
                  <c:v>287.76342529365945</c:v>
                </c:pt>
                <c:pt idx="53">
                  <c:v>396.7622907206806</c:v>
                </c:pt>
                <c:pt idx="54">
                  <c:v>487.25122843709204</c:v>
                </c:pt>
                <c:pt idx="55">
                  <c:v>428.61696560233935</c:v>
                </c:pt>
                <c:pt idx="56">
                  <c:v>525.49080842773856</c:v>
                </c:pt>
                <c:pt idx="57">
                  <c:v>326.26520344312587</c:v>
                </c:pt>
                <c:pt idx="58">
                  <c:v>294.35800806139946</c:v>
                </c:pt>
                <c:pt idx="59">
                  <c:v>388.17598021040567</c:v>
                </c:pt>
                <c:pt idx="60">
                  <c:v>481.1946502167163</c:v>
                </c:pt>
                <c:pt idx="61">
                  <c:v>345.30393086861437</c:v>
                </c:pt>
                <c:pt idx="62">
                  <c:v>313.8934538115526</c:v>
                </c:pt>
                <c:pt idx="63">
                  <c:v>414.5219914101458</c:v>
                </c:pt>
                <c:pt idx="64">
                  <c:v>514.35122686604348</c:v>
                </c:pt>
                <c:pt idx="65">
                  <c:v>365.17111921960907</c:v>
                </c:pt>
                <c:pt idx="66">
                  <c:v>334.25736048721171</c:v>
                </c:pt>
                <c:pt idx="67">
                  <c:v>441.69646353539207</c:v>
                </c:pt>
                <c:pt idx="68">
                  <c:v>548.33626444087679</c:v>
                </c:pt>
                <c:pt idx="69">
                  <c:v>209.49439016551906</c:v>
                </c:pt>
                <c:pt idx="70">
                  <c:v>275.18631789638562</c:v>
                </c:pt>
                <c:pt idx="71">
                  <c:v>362.38214834751642</c:v>
                </c:pt>
                <c:pt idx="72">
                  <c:v>331.0883250747047</c:v>
                </c:pt>
                <c:pt idx="73">
                  <c:v>437.39319873582485</c:v>
                </c:pt>
                <c:pt idx="74">
                  <c:v>542.89877025424948</c:v>
                </c:pt>
                <c:pt idx="75">
                  <c:v>229.3225181542997</c:v>
                </c:pt>
                <c:pt idx="76">
                  <c:v>301.71859624960354</c:v>
                </c:pt>
                <c:pt idx="77">
                  <c:v>397.85329385331738</c:v>
                </c:pt>
                <c:pt idx="78">
                  <c:v>367.42872764866866</c:v>
                </c:pt>
                <c:pt idx="79">
                  <c:v>485.65209084656613</c:v>
                </c:pt>
                <c:pt idx="80">
                  <c:v>603.07615190176807</c:v>
                </c:pt>
                <c:pt idx="81">
                  <c:v>251.68780772744276</c:v>
                </c:pt>
                <c:pt idx="82">
                  <c:v>330.78803618718382</c:v>
                </c:pt>
                <c:pt idx="83">
                  <c:v>435.86160094348065</c:v>
                </c:pt>
                <c:pt idx="84">
                  <c:v>406.30629180699498</c:v>
                </c:pt>
                <c:pt idx="85">
                  <c:v>232.98481080210166</c:v>
                </c:pt>
                <c:pt idx="86">
                  <c:v>306.49885539232525</c:v>
                </c:pt>
                <c:pt idx="87">
                  <c:v>404.12417498926538</c:v>
                </c:pt>
                <c:pt idx="88">
                  <c:v>373.47288727143075</c:v>
                </c:pt>
                <c:pt idx="89">
                  <c:v>257.73797759909246</c:v>
                </c:pt>
                <c:pt idx="90">
                  <c:v>338.91390832010148</c:v>
                </c:pt>
                <c:pt idx="91">
                  <c:v>446.75507609142215</c:v>
                </c:pt>
                <c:pt idx="92">
                  <c:v>417.09722502291663</c:v>
                </c:pt>
                <c:pt idx="93">
                  <c:v>374.64280494990214</c:v>
                </c:pt>
                <c:pt idx="94">
                  <c:v>492.69982089560335</c:v>
                </c:pt>
                <c:pt idx="95">
                  <c:v>464.03540647642694</c:v>
                </c:pt>
                <c:pt idx="96">
                  <c:v>257.88932174433114</c:v>
                </c:pt>
                <c:pt idx="97">
                  <c:v>339.22548319391171</c:v>
                </c:pt>
                <c:pt idx="98">
                  <c:v>447.28029193666111</c:v>
                </c:pt>
                <c:pt idx="99">
                  <c:v>417.27153977380374</c:v>
                </c:pt>
                <c:pt idx="100">
                  <c:v>277.55752439312249</c:v>
                </c:pt>
                <c:pt idx="101">
                  <c:v>364.64010044079214</c:v>
                </c:pt>
                <c:pt idx="102">
                  <c:v>480.35679531432692</c:v>
                </c:pt>
                <c:pt idx="103">
                  <c:v>451.0931206384663</c:v>
                </c:pt>
                <c:pt idx="104">
                  <c:v>391.91875477006124</c:v>
                </c:pt>
                <c:pt idx="105">
                  <c:v>515.29733577438151</c:v>
                </c:pt>
                <c:pt idx="106">
                  <c:v>486.77873858551766</c:v>
                </c:pt>
                <c:pt idx="107">
                  <c:v>300.3716083880293</c:v>
                </c:pt>
                <c:pt idx="108">
                  <c:v>403.64625030490492</c:v>
                </c:pt>
                <c:pt idx="109">
                  <c:v>506.12159007908519</c:v>
                </c:pt>
                <c:pt idx="110">
                  <c:v>458.01491729101639</c:v>
                </c:pt>
                <c:pt idx="111">
                  <c:v>317.70769445112103</c:v>
                </c:pt>
                <c:pt idx="112">
                  <c:v>427.79290181758375</c:v>
                </c:pt>
                <c:pt idx="113">
                  <c:v>537.07880704135096</c:v>
                </c:pt>
                <c:pt idx="114">
                  <c:v>489.46885257794668</c:v>
                </c:pt>
                <c:pt idx="115">
                  <c:v>335.87224143971889</c:v>
                </c:pt>
                <c:pt idx="116">
                  <c:v>452.76801425576872</c:v>
                </c:pt>
                <c:pt idx="117">
                  <c:v>568.86448492912302</c:v>
                </c:pt>
                <c:pt idx="118">
                  <c:v>521.75124879038333</c:v>
                </c:pt>
                <c:pt idx="119">
                  <c:v>334.39804853917849</c:v>
                </c:pt>
                <c:pt idx="120">
                  <c:v>289.46129355515279</c:v>
                </c:pt>
                <c:pt idx="121">
                  <c:v>358.82832783092368</c:v>
                </c:pt>
                <c:pt idx="122">
                  <c:v>333.36682791439137</c:v>
                </c:pt>
                <c:pt idx="123">
                  <c:v>449.12837134338105</c:v>
                </c:pt>
                <c:pt idx="124">
                  <c:v>564.09061262967521</c:v>
                </c:pt>
                <c:pt idx="125">
                  <c:v>516.59731195052098</c:v>
                </c:pt>
                <c:pt idx="126">
                  <c:v>355.04881563402779</c:v>
                </c:pt>
                <c:pt idx="127">
                  <c:v>309.45136056481181</c:v>
                </c:pt>
                <c:pt idx="128">
                  <c:v>384.77763960897141</c:v>
                </c:pt>
                <c:pt idx="129">
                  <c:v>365.85835103599794</c:v>
                </c:pt>
                <c:pt idx="130">
                  <c:v>493.53838400176494</c:v>
                </c:pt>
                <c:pt idx="131">
                  <c:v>620.41911482483647</c:v>
                </c:pt>
                <c:pt idx="132">
                  <c:v>573.79507121384529</c:v>
                </c:pt>
                <c:pt idx="133">
                  <c:v>378.23674431323951</c:v>
                </c:pt>
                <c:pt idx="134">
                  <c:v>331.9785891588333</c:v>
                </c:pt>
                <c:pt idx="135">
                  <c:v>413.26411297138156</c:v>
                </c:pt>
                <c:pt idx="136">
                  <c:v>400.88703574196694</c:v>
                </c:pt>
                <c:pt idx="137">
                  <c:v>360.08907772685927</c:v>
                </c:pt>
                <c:pt idx="138">
                  <c:v>314.02693510224321</c:v>
                </c:pt>
                <c:pt idx="139">
                  <c:v>390.34696214188693</c:v>
                </c:pt>
                <c:pt idx="140">
                  <c:v>371.63235817420383</c:v>
                </c:pt>
                <c:pt idx="141">
                  <c:v>385.78240350221427</c:v>
                </c:pt>
                <c:pt idx="142">
                  <c:v>338.96517506595217</c:v>
                </c:pt>
                <c:pt idx="143">
                  <c:v>422.09576755518304</c:v>
                </c:pt>
                <c:pt idx="144">
                  <c:v>410.85797655156711</c:v>
                </c:pt>
                <c:pt idx="145">
                  <c:v>457.15841667050347</c:v>
                </c:pt>
                <c:pt idx="146">
                  <c:v>453.39743863095481</c:v>
                </c:pt>
                <c:pt idx="147">
                  <c:v>387.19419722018705</c:v>
                </c:pt>
                <c:pt idx="148">
                  <c:v>340.00666695498052</c:v>
                </c:pt>
                <c:pt idx="149">
                  <c:v>423.27968675849712</c:v>
                </c:pt>
                <c:pt idx="150">
                  <c:v>411.31197873966318</c:v>
                </c:pt>
                <c:pt idx="151">
                  <c:v>407.56751910275148</c:v>
                </c:pt>
                <c:pt idx="152">
                  <c:v>359.81367447881047</c:v>
                </c:pt>
                <c:pt idx="153">
                  <c:v>448.1946183695174</c:v>
                </c:pt>
                <c:pt idx="154">
                  <c:v>441.83452007373381</c:v>
                </c:pt>
                <c:pt idx="155">
                  <c:v>474.97358706292641</c:v>
                </c:pt>
                <c:pt idx="156">
                  <c:v>474.22109849019324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EA-43CE-A741-AFCF7FE56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7456336"/>
        <c:axId val="1107455088"/>
      </c:scatterChart>
      <c:valAx>
        <c:axId val="1107456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ALPHA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7455088"/>
        <c:crosses val="autoZero"/>
        <c:crossBetween val="midCat"/>
      </c:valAx>
      <c:valAx>
        <c:axId val="110745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RSE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7456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FTP_3!$F$1</c:f>
              <c:strCache>
                <c:ptCount val="1"/>
                <c:pt idx="0">
                  <c:v>CO2-RSE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FTP_3!$E$2:$E$158</c:f>
              <c:numCache>
                <c:formatCode>General</c:formatCode>
                <c:ptCount val="157"/>
                <c:pt idx="0">
                  <c:v>184.308471</c:v>
                </c:pt>
                <c:pt idx="1">
                  <c:v>234.70326399999999</c:v>
                </c:pt>
                <c:pt idx="2">
                  <c:v>203.81251900000001</c:v>
                </c:pt>
                <c:pt idx="3">
                  <c:v>260.27217999999999</c:v>
                </c:pt>
                <c:pt idx="4">
                  <c:v>224.11834300000001</c:v>
                </c:pt>
                <c:pt idx="5">
                  <c:v>288.26369899999997</c:v>
                </c:pt>
                <c:pt idx="6">
                  <c:v>206.94424799999999</c:v>
                </c:pt>
                <c:pt idx="7">
                  <c:v>263.68446999999998</c:v>
                </c:pt>
                <c:pt idx="8">
                  <c:v>229.89937800000001</c:v>
                </c:pt>
                <c:pt idx="9">
                  <c:v>295.51166799999999</c:v>
                </c:pt>
                <c:pt idx="10">
                  <c:v>330.223007</c:v>
                </c:pt>
                <c:pt idx="11">
                  <c:v>230.464652</c:v>
                </c:pt>
                <c:pt idx="12">
                  <c:v>295.56814400000002</c:v>
                </c:pt>
                <c:pt idx="13">
                  <c:v>248.66253699999999</c:v>
                </c:pt>
                <c:pt idx="14">
                  <c:v>319.74232599999999</c:v>
                </c:pt>
                <c:pt idx="15">
                  <c:v>346.35650600000002</c:v>
                </c:pt>
                <c:pt idx="16">
                  <c:v>258.80839900000001</c:v>
                </c:pt>
                <c:pt idx="17">
                  <c:v>314.17019099999999</c:v>
                </c:pt>
                <c:pt idx="18">
                  <c:v>275.37372699999997</c:v>
                </c:pt>
                <c:pt idx="19">
                  <c:v>333.81296200000003</c:v>
                </c:pt>
                <c:pt idx="20">
                  <c:v>291.82120099999997</c:v>
                </c:pt>
                <c:pt idx="21">
                  <c:v>355.21818100000002</c:v>
                </c:pt>
                <c:pt idx="22">
                  <c:v>227.506327</c:v>
                </c:pt>
                <c:pt idx="23">
                  <c:v>213.986546</c:v>
                </c:pt>
                <c:pt idx="24">
                  <c:v>289.04737299999999</c:v>
                </c:pt>
                <c:pt idx="25">
                  <c:v>351.33673599999997</c:v>
                </c:pt>
                <c:pt idx="26">
                  <c:v>204.53858399999999</c:v>
                </c:pt>
                <c:pt idx="27">
                  <c:v>249.84020899999999</c:v>
                </c:pt>
                <c:pt idx="28">
                  <c:v>236.46918099999999</c:v>
                </c:pt>
                <c:pt idx="29">
                  <c:v>320.71207099999998</c:v>
                </c:pt>
                <c:pt idx="30">
                  <c:v>390.771863</c:v>
                </c:pt>
                <c:pt idx="31">
                  <c:v>223.96966800000001</c:v>
                </c:pt>
                <c:pt idx="32">
                  <c:v>274.25801799999999</c:v>
                </c:pt>
                <c:pt idx="33">
                  <c:v>260.74353200000002</c:v>
                </c:pt>
                <c:pt idx="34">
                  <c:v>356.93543799999998</c:v>
                </c:pt>
                <c:pt idx="35">
                  <c:v>434.70418100000001</c:v>
                </c:pt>
                <c:pt idx="36">
                  <c:v>253.169826</c:v>
                </c:pt>
                <c:pt idx="37">
                  <c:v>239.63905199999999</c:v>
                </c:pt>
                <c:pt idx="38">
                  <c:v>326.11449699999997</c:v>
                </c:pt>
                <c:pt idx="39">
                  <c:v>397.48624799999999</c:v>
                </c:pt>
                <c:pt idx="40">
                  <c:v>229.45623499999999</c:v>
                </c:pt>
                <c:pt idx="41">
                  <c:v>280.33085299999999</c:v>
                </c:pt>
                <c:pt idx="42">
                  <c:v>267.79895399999998</c:v>
                </c:pt>
                <c:pt idx="43">
                  <c:v>366.18531100000001</c:v>
                </c:pt>
                <c:pt idx="44">
                  <c:v>447.09058900000002</c:v>
                </c:pt>
                <c:pt idx="45">
                  <c:v>409.23869000000002</c:v>
                </c:pt>
                <c:pt idx="46">
                  <c:v>497.76824499999998</c:v>
                </c:pt>
                <c:pt idx="47">
                  <c:v>280.39252299999998</c:v>
                </c:pt>
                <c:pt idx="48">
                  <c:v>267.64426900000001</c:v>
                </c:pt>
                <c:pt idx="49">
                  <c:v>366.95459499999998</c:v>
                </c:pt>
                <c:pt idx="50">
                  <c:v>445.17819300000002</c:v>
                </c:pt>
                <c:pt idx="51">
                  <c:v>299.43648300000001</c:v>
                </c:pt>
                <c:pt idx="52">
                  <c:v>290.35941300000002</c:v>
                </c:pt>
                <c:pt idx="53">
                  <c:v>398.175725</c:v>
                </c:pt>
                <c:pt idx="54">
                  <c:v>485.99391100000003</c:v>
                </c:pt>
                <c:pt idx="55">
                  <c:v>428.74710099999999</c:v>
                </c:pt>
                <c:pt idx="56">
                  <c:v>522.097217</c:v>
                </c:pt>
                <c:pt idx="57">
                  <c:v>320.84239600000001</c:v>
                </c:pt>
                <c:pt idx="58">
                  <c:v>298.922595</c:v>
                </c:pt>
                <c:pt idx="59">
                  <c:v>389.91685000000001</c:v>
                </c:pt>
                <c:pt idx="60">
                  <c:v>478.69466999999997</c:v>
                </c:pt>
                <c:pt idx="61">
                  <c:v>339.49633399999999</c:v>
                </c:pt>
                <c:pt idx="62">
                  <c:v>317.62344100000001</c:v>
                </c:pt>
                <c:pt idx="63">
                  <c:v>414.682321</c:v>
                </c:pt>
                <c:pt idx="64">
                  <c:v>510.10170699999998</c:v>
                </c:pt>
                <c:pt idx="65">
                  <c:v>360.11041799999998</c:v>
                </c:pt>
                <c:pt idx="66">
                  <c:v>338.26325400000002</c:v>
                </c:pt>
                <c:pt idx="67">
                  <c:v>441.62375100000003</c:v>
                </c:pt>
                <c:pt idx="68">
                  <c:v>543.17779800000005</c:v>
                </c:pt>
                <c:pt idx="69">
                  <c:v>213.58148600000001</c:v>
                </c:pt>
                <c:pt idx="70">
                  <c:v>277.42273699999998</c:v>
                </c:pt>
                <c:pt idx="71">
                  <c:v>356.89342399999998</c:v>
                </c:pt>
                <c:pt idx="72">
                  <c:v>334.25223699999998</c:v>
                </c:pt>
                <c:pt idx="73">
                  <c:v>437.22932900000001</c:v>
                </c:pt>
                <c:pt idx="74">
                  <c:v>537.96975699999996</c:v>
                </c:pt>
                <c:pt idx="75">
                  <c:v>234.17506800000001</c:v>
                </c:pt>
                <c:pt idx="76">
                  <c:v>304.63094999999998</c:v>
                </c:pt>
                <c:pt idx="77">
                  <c:v>393.96785799999998</c:v>
                </c:pt>
                <c:pt idx="78">
                  <c:v>371.49308300000001</c:v>
                </c:pt>
                <c:pt idx="79">
                  <c:v>485.93411900000001</c:v>
                </c:pt>
                <c:pt idx="80">
                  <c:v>599.39995299999998</c:v>
                </c:pt>
                <c:pt idx="81">
                  <c:v>256.49363599999998</c:v>
                </c:pt>
                <c:pt idx="82">
                  <c:v>333.81957199999999</c:v>
                </c:pt>
                <c:pt idx="83">
                  <c:v>429.21117600000002</c:v>
                </c:pt>
                <c:pt idx="84">
                  <c:v>412.90676300000001</c:v>
                </c:pt>
                <c:pt idx="85">
                  <c:v>237.40732499999999</c:v>
                </c:pt>
                <c:pt idx="86">
                  <c:v>308.75208199999997</c:v>
                </c:pt>
                <c:pt idx="87">
                  <c:v>398.73758900000001</c:v>
                </c:pt>
                <c:pt idx="88">
                  <c:v>377.78041400000001</c:v>
                </c:pt>
                <c:pt idx="89">
                  <c:v>262.83172500000001</c:v>
                </c:pt>
                <c:pt idx="90">
                  <c:v>342.42026600000003</c:v>
                </c:pt>
                <c:pt idx="91">
                  <c:v>440.53680700000001</c:v>
                </c:pt>
                <c:pt idx="92">
                  <c:v>424.84375499999999</c:v>
                </c:pt>
                <c:pt idx="93">
                  <c:v>376.355255</c:v>
                </c:pt>
                <c:pt idx="94">
                  <c:v>485.44896599999998</c:v>
                </c:pt>
                <c:pt idx="95">
                  <c:v>473.15429</c:v>
                </c:pt>
                <c:pt idx="96">
                  <c:v>262.34972800000003</c:v>
                </c:pt>
                <c:pt idx="97">
                  <c:v>341.53937500000001</c:v>
                </c:pt>
                <c:pt idx="98">
                  <c:v>440.18855300000001</c:v>
                </c:pt>
                <c:pt idx="99">
                  <c:v>425.15968299999997</c:v>
                </c:pt>
                <c:pt idx="100">
                  <c:v>281.57469099999997</c:v>
                </c:pt>
                <c:pt idx="101">
                  <c:v>366.95916299999999</c:v>
                </c:pt>
                <c:pt idx="102">
                  <c:v>472.06246700000003</c:v>
                </c:pt>
                <c:pt idx="103">
                  <c:v>460.61158999999998</c:v>
                </c:pt>
                <c:pt idx="104">
                  <c:v>392.35990900000002</c:v>
                </c:pt>
                <c:pt idx="105">
                  <c:v>507.38333499999999</c:v>
                </c:pt>
                <c:pt idx="106">
                  <c:v>496.18782099999999</c:v>
                </c:pt>
                <c:pt idx="107">
                  <c:v>304.75024000000002</c:v>
                </c:pt>
                <c:pt idx="108">
                  <c:v>401.374977</c:v>
                </c:pt>
                <c:pt idx="109">
                  <c:v>508.558989</c:v>
                </c:pt>
                <c:pt idx="110">
                  <c:v>466.08816999999999</c:v>
                </c:pt>
                <c:pt idx="111">
                  <c:v>322.04014699999999</c:v>
                </c:pt>
                <c:pt idx="112">
                  <c:v>425.79231800000002</c:v>
                </c:pt>
                <c:pt idx="113">
                  <c:v>537.33620199999996</c:v>
                </c:pt>
                <c:pt idx="114">
                  <c:v>495.97380199999998</c:v>
                </c:pt>
                <c:pt idx="115">
                  <c:v>340.80422099999998</c:v>
                </c:pt>
                <c:pt idx="116">
                  <c:v>452.85969599999999</c:v>
                </c:pt>
                <c:pt idx="117">
                  <c:v>568.756799</c:v>
                </c:pt>
                <c:pt idx="118">
                  <c:v>527.89513099999999</c:v>
                </c:pt>
                <c:pt idx="119">
                  <c:v>332.26610399999998</c:v>
                </c:pt>
                <c:pt idx="120">
                  <c:v>285.40189400000003</c:v>
                </c:pt>
                <c:pt idx="121">
                  <c:v>362.88122800000002</c:v>
                </c:pt>
                <c:pt idx="122">
                  <c:v>337.45102500000002</c:v>
                </c:pt>
                <c:pt idx="123">
                  <c:v>446.85220500000003</c:v>
                </c:pt>
                <c:pt idx="124">
                  <c:v>563.36379199999999</c:v>
                </c:pt>
                <c:pt idx="125">
                  <c:v>522.60230100000001</c:v>
                </c:pt>
                <c:pt idx="126">
                  <c:v>354.85306400000002</c:v>
                </c:pt>
                <c:pt idx="127">
                  <c:v>306.86846300000002</c:v>
                </c:pt>
                <c:pt idx="128">
                  <c:v>389.70811700000002</c:v>
                </c:pt>
                <c:pt idx="129">
                  <c:v>372.56885399999999</c:v>
                </c:pt>
                <c:pt idx="130">
                  <c:v>491.82351499999999</c:v>
                </c:pt>
                <c:pt idx="131">
                  <c:v>618.05496500000004</c:v>
                </c:pt>
                <c:pt idx="132">
                  <c:v>581.01327600000002</c:v>
                </c:pt>
                <c:pt idx="133">
                  <c:v>377.81478600000003</c:v>
                </c:pt>
                <c:pt idx="134">
                  <c:v>328.87489599999998</c:v>
                </c:pt>
                <c:pt idx="135">
                  <c:v>417.175703</c:v>
                </c:pt>
                <c:pt idx="136">
                  <c:v>406.458822</c:v>
                </c:pt>
                <c:pt idx="137">
                  <c:v>359.35299199999997</c:v>
                </c:pt>
                <c:pt idx="138">
                  <c:v>311.274272</c:v>
                </c:pt>
                <c:pt idx="139">
                  <c:v>395.114465</c:v>
                </c:pt>
                <c:pt idx="140">
                  <c:v>376.58281699999998</c:v>
                </c:pt>
                <c:pt idx="141">
                  <c:v>385.55840799999999</c:v>
                </c:pt>
                <c:pt idx="142">
                  <c:v>336.33798100000001</c:v>
                </c:pt>
                <c:pt idx="143">
                  <c:v>426.36528900000002</c:v>
                </c:pt>
                <c:pt idx="144">
                  <c:v>416.785774</c:v>
                </c:pt>
                <c:pt idx="145">
                  <c:v>457.19116200000002</c:v>
                </c:pt>
                <c:pt idx="146">
                  <c:v>456.66071199999999</c:v>
                </c:pt>
                <c:pt idx="147">
                  <c:v>387.053158</c:v>
                </c:pt>
                <c:pt idx="148">
                  <c:v>337.348659</c:v>
                </c:pt>
                <c:pt idx="149">
                  <c:v>427.83891899999998</c:v>
                </c:pt>
                <c:pt idx="150">
                  <c:v>416.63242000000002</c:v>
                </c:pt>
                <c:pt idx="151">
                  <c:v>406.88026400000001</c:v>
                </c:pt>
                <c:pt idx="152">
                  <c:v>356.56077399999998</c:v>
                </c:pt>
                <c:pt idx="153">
                  <c:v>451.331323</c:v>
                </c:pt>
                <c:pt idx="154">
                  <c:v>446.95052600000002</c:v>
                </c:pt>
                <c:pt idx="155">
                  <c:v>474.49339099999997</c:v>
                </c:pt>
                <c:pt idx="156">
                  <c:v>477.53289599999999</c:v>
                </c:pt>
              </c:numCache>
            </c:numRef>
          </c:xVal>
          <c:yVal>
            <c:numRef>
              <c:f>FTP_3!$F$2:$F$158</c:f>
              <c:numCache>
                <c:formatCode>General</c:formatCode>
                <c:ptCount val="157"/>
                <c:pt idx="0">
                  <c:v>183.61401326079456</c:v>
                </c:pt>
                <c:pt idx="1">
                  <c:v>237.41588308229473</c:v>
                </c:pt>
                <c:pt idx="2">
                  <c:v>203.5664927216896</c:v>
                </c:pt>
                <c:pt idx="3">
                  <c:v>263.32760731157845</c:v>
                </c:pt>
                <c:pt idx="4">
                  <c:v>226.05613376694706</c:v>
                </c:pt>
                <c:pt idx="5">
                  <c:v>291.77649312522459</c:v>
                </c:pt>
                <c:pt idx="6">
                  <c:v>206.87784535687021</c:v>
                </c:pt>
                <c:pt idx="7">
                  <c:v>267.63270794224326</c:v>
                </c:pt>
                <c:pt idx="8">
                  <c:v>231.77312812199176</c:v>
                </c:pt>
                <c:pt idx="9">
                  <c:v>299.33855615695188</c:v>
                </c:pt>
                <c:pt idx="10">
                  <c:v>334.35824807368488</c:v>
                </c:pt>
                <c:pt idx="11">
                  <c:v>231.55576775859276</c:v>
                </c:pt>
                <c:pt idx="12">
                  <c:v>299.26362310783867</c:v>
                </c:pt>
                <c:pt idx="13">
                  <c:v>251.3305573834821</c:v>
                </c:pt>
                <c:pt idx="14">
                  <c:v>324.1463368199183</c:v>
                </c:pt>
                <c:pt idx="15">
                  <c:v>350.89308761438673</c:v>
                </c:pt>
                <c:pt idx="16">
                  <c:v>258.97019842185858</c:v>
                </c:pt>
                <c:pt idx="17">
                  <c:v>317.88743567452877</c:v>
                </c:pt>
                <c:pt idx="18">
                  <c:v>275.95168212841651</c:v>
                </c:pt>
                <c:pt idx="19">
                  <c:v>339.12552278707864</c:v>
                </c:pt>
                <c:pt idx="20">
                  <c:v>293.76162676048051</c:v>
                </c:pt>
                <c:pt idx="21">
                  <c:v>361.19207082513452</c:v>
                </c:pt>
                <c:pt idx="22">
                  <c:v>231.41979987509538</c:v>
                </c:pt>
                <c:pt idx="23">
                  <c:v>210.53992636350389</c:v>
                </c:pt>
                <c:pt idx="24">
                  <c:v>291.01792736812104</c:v>
                </c:pt>
                <c:pt idx="25">
                  <c:v>357.7394780658625</c:v>
                </c:pt>
                <c:pt idx="26">
                  <c:v>205.13429119062349</c:v>
                </c:pt>
                <c:pt idx="27">
                  <c:v>253.48264465202178</c:v>
                </c:pt>
                <c:pt idx="28">
                  <c:v>233.47202820859323</c:v>
                </c:pt>
                <c:pt idx="29">
                  <c:v>322.88889636579341</c:v>
                </c:pt>
                <c:pt idx="30">
                  <c:v>397.05950302402073</c:v>
                </c:pt>
                <c:pt idx="31">
                  <c:v>225.26486397562078</c:v>
                </c:pt>
                <c:pt idx="32">
                  <c:v>278.08265101331062</c:v>
                </c:pt>
                <c:pt idx="33">
                  <c:v>258.94129163804507</c:v>
                </c:pt>
                <c:pt idx="34">
                  <c:v>357.29702694782821</c:v>
                </c:pt>
                <c:pt idx="35">
                  <c:v>438.91668956654132</c:v>
                </c:pt>
                <c:pt idx="36">
                  <c:v>257.51759279813035</c:v>
                </c:pt>
                <c:pt idx="37">
                  <c:v>237.28025484151598</c:v>
                </c:pt>
                <c:pt idx="38">
                  <c:v>328.1877449919424</c:v>
                </c:pt>
                <c:pt idx="39">
                  <c:v>403.60053664452488</c:v>
                </c:pt>
                <c:pt idx="40">
                  <c:v>230.62313309351453</c:v>
                </c:pt>
                <c:pt idx="41">
                  <c:v>284.82472163871631</c:v>
                </c:pt>
                <c:pt idx="42">
                  <c:v>265.58082033143103</c:v>
                </c:pt>
                <c:pt idx="43">
                  <c:v>366.70415865623806</c:v>
                </c:pt>
                <c:pt idx="44">
                  <c:v>450.63015712080437</c:v>
                </c:pt>
                <c:pt idx="45">
                  <c:v>408.5344160225581</c:v>
                </c:pt>
                <c:pt idx="46">
                  <c:v>500.97362129910823</c:v>
                </c:pt>
                <c:pt idx="47">
                  <c:v>285.02947602681218</c:v>
                </c:pt>
                <c:pt idx="48">
                  <c:v>265.43467362517492</c:v>
                </c:pt>
                <c:pt idx="49">
                  <c:v>366.77165292141069</c:v>
                </c:pt>
                <c:pt idx="50">
                  <c:v>450.87568552883431</c:v>
                </c:pt>
                <c:pt idx="51">
                  <c:v>306.61315020829988</c:v>
                </c:pt>
                <c:pt idx="52">
                  <c:v>287.76342529365945</c:v>
                </c:pt>
                <c:pt idx="53">
                  <c:v>396.7622907206806</c:v>
                </c:pt>
                <c:pt idx="54">
                  <c:v>487.25122843709204</c:v>
                </c:pt>
                <c:pt idx="55">
                  <c:v>428.61696560233935</c:v>
                </c:pt>
                <c:pt idx="56">
                  <c:v>525.49080842773856</c:v>
                </c:pt>
                <c:pt idx="57">
                  <c:v>326.26520344312587</c:v>
                </c:pt>
                <c:pt idx="58">
                  <c:v>294.35800806139946</c:v>
                </c:pt>
                <c:pt idx="59">
                  <c:v>388.17598021040567</c:v>
                </c:pt>
                <c:pt idx="60">
                  <c:v>481.1946502167163</c:v>
                </c:pt>
                <c:pt idx="61">
                  <c:v>345.30393086861437</c:v>
                </c:pt>
                <c:pt idx="62">
                  <c:v>313.8934538115526</c:v>
                </c:pt>
                <c:pt idx="63">
                  <c:v>414.5219914101458</c:v>
                </c:pt>
                <c:pt idx="64">
                  <c:v>514.35122686604348</c:v>
                </c:pt>
                <c:pt idx="65">
                  <c:v>365.17111921960907</c:v>
                </c:pt>
                <c:pt idx="66">
                  <c:v>334.25736048721171</c:v>
                </c:pt>
                <c:pt idx="67">
                  <c:v>441.69646353539207</c:v>
                </c:pt>
                <c:pt idx="68">
                  <c:v>548.33626444087679</c:v>
                </c:pt>
                <c:pt idx="69">
                  <c:v>209.49439016551906</c:v>
                </c:pt>
                <c:pt idx="70">
                  <c:v>275.18631789638562</c:v>
                </c:pt>
                <c:pt idx="71">
                  <c:v>362.38214834751642</c:v>
                </c:pt>
                <c:pt idx="72">
                  <c:v>331.0883250747047</c:v>
                </c:pt>
                <c:pt idx="73">
                  <c:v>437.39319873582485</c:v>
                </c:pt>
                <c:pt idx="74">
                  <c:v>542.89877025424948</c:v>
                </c:pt>
                <c:pt idx="75">
                  <c:v>229.3225181542997</c:v>
                </c:pt>
                <c:pt idx="76">
                  <c:v>301.71859624960354</c:v>
                </c:pt>
                <c:pt idx="77">
                  <c:v>397.85329385331738</c:v>
                </c:pt>
                <c:pt idx="78">
                  <c:v>367.42872764866866</c:v>
                </c:pt>
                <c:pt idx="79">
                  <c:v>485.65209084656613</c:v>
                </c:pt>
                <c:pt idx="80">
                  <c:v>603.07615190176807</c:v>
                </c:pt>
                <c:pt idx="81">
                  <c:v>251.68780772744276</c:v>
                </c:pt>
                <c:pt idx="82">
                  <c:v>330.78803618718382</c:v>
                </c:pt>
                <c:pt idx="83">
                  <c:v>435.86160094348065</c:v>
                </c:pt>
                <c:pt idx="84">
                  <c:v>406.30629180699498</c:v>
                </c:pt>
                <c:pt idx="85">
                  <c:v>232.98481080210166</c:v>
                </c:pt>
                <c:pt idx="86">
                  <c:v>306.49885539232525</c:v>
                </c:pt>
                <c:pt idx="87">
                  <c:v>404.12417498926538</c:v>
                </c:pt>
                <c:pt idx="88">
                  <c:v>373.47288727143075</c:v>
                </c:pt>
                <c:pt idx="89">
                  <c:v>257.73797759909246</c:v>
                </c:pt>
                <c:pt idx="90">
                  <c:v>338.91390832010148</c:v>
                </c:pt>
                <c:pt idx="91">
                  <c:v>446.75507609142215</c:v>
                </c:pt>
                <c:pt idx="92">
                  <c:v>417.09722502291663</c:v>
                </c:pt>
                <c:pt idx="93">
                  <c:v>374.64280494990214</c:v>
                </c:pt>
                <c:pt idx="94">
                  <c:v>492.69982089560335</c:v>
                </c:pt>
                <c:pt idx="95">
                  <c:v>464.03540647642694</c:v>
                </c:pt>
                <c:pt idx="96">
                  <c:v>257.88932174433114</c:v>
                </c:pt>
                <c:pt idx="97">
                  <c:v>339.22548319391171</c:v>
                </c:pt>
                <c:pt idx="98">
                  <c:v>447.28029193666111</c:v>
                </c:pt>
                <c:pt idx="99">
                  <c:v>417.27153977380374</c:v>
                </c:pt>
                <c:pt idx="100">
                  <c:v>277.55752439312249</c:v>
                </c:pt>
                <c:pt idx="101">
                  <c:v>364.64010044079214</c:v>
                </c:pt>
                <c:pt idx="102">
                  <c:v>480.35679531432692</c:v>
                </c:pt>
                <c:pt idx="103">
                  <c:v>451.0931206384663</c:v>
                </c:pt>
                <c:pt idx="104">
                  <c:v>391.91875477006124</c:v>
                </c:pt>
                <c:pt idx="105">
                  <c:v>515.29733577438151</c:v>
                </c:pt>
                <c:pt idx="106">
                  <c:v>486.77873858551766</c:v>
                </c:pt>
                <c:pt idx="107">
                  <c:v>300.3716083880293</c:v>
                </c:pt>
                <c:pt idx="108">
                  <c:v>403.64625030490492</c:v>
                </c:pt>
                <c:pt idx="109">
                  <c:v>506.12159007908519</c:v>
                </c:pt>
                <c:pt idx="110">
                  <c:v>458.01491729101639</c:v>
                </c:pt>
                <c:pt idx="111">
                  <c:v>317.70769445112103</c:v>
                </c:pt>
                <c:pt idx="112">
                  <c:v>427.79290181758375</c:v>
                </c:pt>
                <c:pt idx="113">
                  <c:v>537.07880704135096</c:v>
                </c:pt>
                <c:pt idx="114">
                  <c:v>489.46885257794668</c:v>
                </c:pt>
                <c:pt idx="115">
                  <c:v>335.87224143971889</c:v>
                </c:pt>
                <c:pt idx="116">
                  <c:v>452.76801425576872</c:v>
                </c:pt>
                <c:pt idx="117">
                  <c:v>568.86448492912302</c:v>
                </c:pt>
                <c:pt idx="118">
                  <c:v>521.75124879038333</c:v>
                </c:pt>
                <c:pt idx="119">
                  <c:v>334.39804853917849</c:v>
                </c:pt>
                <c:pt idx="120">
                  <c:v>289.46129355515279</c:v>
                </c:pt>
                <c:pt idx="121">
                  <c:v>358.82832783092368</c:v>
                </c:pt>
                <c:pt idx="122">
                  <c:v>333.36682791439137</c:v>
                </c:pt>
                <c:pt idx="123">
                  <c:v>449.12837134338105</c:v>
                </c:pt>
                <c:pt idx="124">
                  <c:v>564.09061262967521</c:v>
                </c:pt>
                <c:pt idx="125">
                  <c:v>516.59731195052098</c:v>
                </c:pt>
                <c:pt idx="126">
                  <c:v>355.04881563402779</c:v>
                </c:pt>
                <c:pt idx="127">
                  <c:v>309.45136056481181</c:v>
                </c:pt>
                <c:pt idx="128">
                  <c:v>384.77763960897141</c:v>
                </c:pt>
                <c:pt idx="129">
                  <c:v>365.85835103599794</c:v>
                </c:pt>
                <c:pt idx="130">
                  <c:v>493.53838400176494</c:v>
                </c:pt>
                <c:pt idx="131">
                  <c:v>620.41911482483647</c:v>
                </c:pt>
                <c:pt idx="132">
                  <c:v>573.79507121384529</c:v>
                </c:pt>
                <c:pt idx="133">
                  <c:v>378.23674431323951</c:v>
                </c:pt>
                <c:pt idx="134">
                  <c:v>331.9785891588333</c:v>
                </c:pt>
                <c:pt idx="135">
                  <c:v>413.26411297138156</c:v>
                </c:pt>
                <c:pt idx="136">
                  <c:v>400.88703574196694</c:v>
                </c:pt>
                <c:pt idx="137">
                  <c:v>360.08907772685927</c:v>
                </c:pt>
                <c:pt idx="138">
                  <c:v>314.02693510224321</c:v>
                </c:pt>
                <c:pt idx="139">
                  <c:v>390.34696214188693</c:v>
                </c:pt>
                <c:pt idx="140">
                  <c:v>371.63235817420383</c:v>
                </c:pt>
                <c:pt idx="141">
                  <c:v>385.78240350221427</c:v>
                </c:pt>
                <c:pt idx="142">
                  <c:v>338.96517506595217</c:v>
                </c:pt>
                <c:pt idx="143">
                  <c:v>422.09576755518304</c:v>
                </c:pt>
                <c:pt idx="144">
                  <c:v>410.85797655156711</c:v>
                </c:pt>
                <c:pt idx="145">
                  <c:v>457.15841667050347</c:v>
                </c:pt>
                <c:pt idx="146">
                  <c:v>453.39743863095481</c:v>
                </c:pt>
                <c:pt idx="147">
                  <c:v>387.19419722018705</c:v>
                </c:pt>
                <c:pt idx="148">
                  <c:v>340.00666695498052</c:v>
                </c:pt>
                <c:pt idx="149">
                  <c:v>423.27968675849712</c:v>
                </c:pt>
                <c:pt idx="150">
                  <c:v>411.31197873966318</c:v>
                </c:pt>
                <c:pt idx="151">
                  <c:v>407.56751910275148</c:v>
                </c:pt>
                <c:pt idx="152">
                  <c:v>359.81367447881047</c:v>
                </c:pt>
                <c:pt idx="153">
                  <c:v>448.1946183695174</c:v>
                </c:pt>
                <c:pt idx="154">
                  <c:v>441.83452007373381</c:v>
                </c:pt>
                <c:pt idx="155">
                  <c:v>474.97358706292641</c:v>
                </c:pt>
                <c:pt idx="156">
                  <c:v>474.22109849019324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DF-447B-9E1F-C71EAD2ED9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0137872"/>
        <c:axId val="1450142864"/>
      </c:scatterChart>
      <c:valAx>
        <c:axId val="1450137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ALPHA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0142864"/>
        <c:crosses val="autoZero"/>
        <c:crossBetween val="midCat"/>
      </c:valAx>
      <c:valAx>
        <c:axId val="145014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RSE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0137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FTP_3!$F$1</c:f>
              <c:strCache>
                <c:ptCount val="1"/>
                <c:pt idx="0">
                  <c:v>CO2-RSE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FTP_3!$E$2:$E$158</c:f>
              <c:numCache>
                <c:formatCode>General</c:formatCode>
                <c:ptCount val="157"/>
                <c:pt idx="0">
                  <c:v>184.308471</c:v>
                </c:pt>
                <c:pt idx="1">
                  <c:v>234.70326399999999</c:v>
                </c:pt>
                <c:pt idx="2">
                  <c:v>203.81251900000001</c:v>
                </c:pt>
                <c:pt idx="3">
                  <c:v>260.27217999999999</c:v>
                </c:pt>
                <c:pt idx="4">
                  <c:v>224.11834300000001</c:v>
                </c:pt>
                <c:pt idx="5">
                  <c:v>288.26369899999997</c:v>
                </c:pt>
                <c:pt idx="6">
                  <c:v>206.94424799999999</c:v>
                </c:pt>
                <c:pt idx="7">
                  <c:v>263.68446999999998</c:v>
                </c:pt>
                <c:pt idx="8">
                  <c:v>229.89937800000001</c:v>
                </c:pt>
                <c:pt idx="9">
                  <c:v>295.51166799999999</c:v>
                </c:pt>
                <c:pt idx="10">
                  <c:v>330.223007</c:v>
                </c:pt>
                <c:pt idx="11">
                  <c:v>230.464652</c:v>
                </c:pt>
                <c:pt idx="12">
                  <c:v>295.56814400000002</c:v>
                </c:pt>
                <c:pt idx="13">
                  <c:v>248.66253699999999</c:v>
                </c:pt>
                <c:pt idx="14">
                  <c:v>319.74232599999999</c:v>
                </c:pt>
                <c:pt idx="15">
                  <c:v>346.35650600000002</c:v>
                </c:pt>
                <c:pt idx="16">
                  <c:v>258.80839900000001</c:v>
                </c:pt>
                <c:pt idx="17">
                  <c:v>314.17019099999999</c:v>
                </c:pt>
                <c:pt idx="18">
                  <c:v>275.37372699999997</c:v>
                </c:pt>
                <c:pt idx="19">
                  <c:v>333.81296200000003</c:v>
                </c:pt>
                <c:pt idx="20">
                  <c:v>291.82120099999997</c:v>
                </c:pt>
                <c:pt idx="21">
                  <c:v>355.21818100000002</c:v>
                </c:pt>
                <c:pt idx="22">
                  <c:v>227.506327</c:v>
                </c:pt>
                <c:pt idx="23">
                  <c:v>213.986546</c:v>
                </c:pt>
                <c:pt idx="24">
                  <c:v>289.04737299999999</c:v>
                </c:pt>
                <c:pt idx="25">
                  <c:v>351.33673599999997</c:v>
                </c:pt>
                <c:pt idx="26">
                  <c:v>204.53858399999999</c:v>
                </c:pt>
                <c:pt idx="27">
                  <c:v>249.84020899999999</c:v>
                </c:pt>
                <c:pt idx="28">
                  <c:v>236.46918099999999</c:v>
                </c:pt>
                <c:pt idx="29">
                  <c:v>320.71207099999998</c:v>
                </c:pt>
                <c:pt idx="30">
                  <c:v>390.771863</c:v>
                </c:pt>
                <c:pt idx="31">
                  <c:v>223.96966800000001</c:v>
                </c:pt>
                <c:pt idx="32">
                  <c:v>274.25801799999999</c:v>
                </c:pt>
                <c:pt idx="33">
                  <c:v>260.74353200000002</c:v>
                </c:pt>
                <c:pt idx="34">
                  <c:v>356.93543799999998</c:v>
                </c:pt>
                <c:pt idx="35">
                  <c:v>434.70418100000001</c:v>
                </c:pt>
                <c:pt idx="36">
                  <c:v>253.169826</c:v>
                </c:pt>
                <c:pt idx="37">
                  <c:v>239.63905199999999</c:v>
                </c:pt>
                <c:pt idx="38">
                  <c:v>326.11449699999997</c:v>
                </c:pt>
                <c:pt idx="39">
                  <c:v>397.48624799999999</c:v>
                </c:pt>
                <c:pt idx="40">
                  <c:v>229.45623499999999</c:v>
                </c:pt>
                <c:pt idx="41">
                  <c:v>280.33085299999999</c:v>
                </c:pt>
                <c:pt idx="42">
                  <c:v>267.79895399999998</c:v>
                </c:pt>
                <c:pt idx="43">
                  <c:v>366.18531100000001</c:v>
                </c:pt>
                <c:pt idx="44">
                  <c:v>447.09058900000002</c:v>
                </c:pt>
                <c:pt idx="45">
                  <c:v>409.23869000000002</c:v>
                </c:pt>
                <c:pt idx="46">
                  <c:v>497.76824499999998</c:v>
                </c:pt>
                <c:pt idx="47">
                  <c:v>280.39252299999998</c:v>
                </c:pt>
                <c:pt idx="48">
                  <c:v>267.64426900000001</c:v>
                </c:pt>
                <c:pt idx="49">
                  <c:v>366.95459499999998</c:v>
                </c:pt>
                <c:pt idx="50">
                  <c:v>445.17819300000002</c:v>
                </c:pt>
                <c:pt idx="51">
                  <c:v>299.43648300000001</c:v>
                </c:pt>
                <c:pt idx="52">
                  <c:v>290.35941300000002</c:v>
                </c:pt>
                <c:pt idx="53">
                  <c:v>398.175725</c:v>
                </c:pt>
                <c:pt idx="54">
                  <c:v>485.99391100000003</c:v>
                </c:pt>
                <c:pt idx="55">
                  <c:v>428.74710099999999</c:v>
                </c:pt>
                <c:pt idx="56">
                  <c:v>522.097217</c:v>
                </c:pt>
                <c:pt idx="57">
                  <c:v>320.84239600000001</c:v>
                </c:pt>
                <c:pt idx="58">
                  <c:v>298.922595</c:v>
                </c:pt>
                <c:pt idx="59">
                  <c:v>389.91685000000001</c:v>
                </c:pt>
                <c:pt idx="60">
                  <c:v>478.69466999999997</c:v>
                </c:pt>
                <c:pt idx="61">
                  <c:v>339.49633399999999</c:v>
                </c:pt>
                <c:pt idx="62">
                  <c:v>317.62344100000001</c:v>
                </c:pt>
                <c:pt idx="63">
                  <c:v>414.682321</c:v>
                </c:pt>
                <c:pt idx="64">
                  <c:v>510.10170699999998</c:v>
                </c:pt>
                <c:pt idx="65">
                  <c:v>360.11041799999998</c:v>
                </c:pt>
                <c:pt idx="66">
                  <c:v>338.26325400000002</c:v>
                </c:pt>
                <c:pt idx="67">
                  <c:v>441.62375100000003</c:v>
                </c:pt>
                <c:pt idx="68">
                  <c:v>543.17779800000005</c:v>
                </c:pt>
                <c:pt idx="69">
                  <c:v>213.58148600000001</c:v>
                </c:pt>
                <c:pt idx="70">
                  <c:v>277.42273699999998</c:v>
                </c:pt>
                <c:pt idx="71">
                  <c:v>356.89342399999998</c:v>
                </c:pt>
                <c:pt idx="72">
                  <c:v>334.25223699999998</c:v>
                </c:pt>
                <c:pt idx="73">
                  <c:v>437.22932900000001</c:v>
                </c:pt>
                <c:pt idx="74">
                  <c:v>537.96975699999996</c:v>
                </c:pt>
                <c:pt idx="75">
                  <c:v>234.17506800000001</c:v>
                </c:pt>
                <c:pt idx="76">
                  <c:v>304.63094999999998</c:v>
                </c:pt>
                <c:pt idx="77">
                  <c:v>393.96785799999998</c:v>
                </c:pt>
                <c:pt idx="78">
                  <c:v>371.49308300000001</c:v>
                </c:pt>
                <c:pt idx="79">
                  <c:v>485.93411900000001</c:v>
                </c:pt>
                <c:pt idx="80">
                  <c:v>599.39995299999998</c:v>
                </c:pt>
                <c:pt idx="81">
                  <c:v>256.49363599999998</c:v>
                </c:pt>
                <c:pt idx="82">
                  <c:v>333.81957199999999</c:v>
                </c:pt>
                <c:pt idx="83">
                  <c:v>429.21117600000002</c:v>
                </c:pt>
                <c:pt idx="84">
                  <c:v>412.90676300000001</c:v>
                </c:pt>
                <c:pt idx="85">
                  <c:v>237.40732499999999</c:v>
                </c:pt>
                <c:pt idx="86">
                  <c:v>308.75208199999997</c:v>
                </c:pt>
                <c:pt idx="87">
                  <c:v>398.73758900000001</c:v>
                </c:pt>
                <c:pt idx="88">
                  <c:v>377.78041400000001</c:v>
                </c:pt>
                <c:pt idx="89">
                  <c:v>262.83172500000001</c:v>
                </c:pt>
                <c:pt idx="90">
                  <c:v>342.42026600000003</c:v>
                </c:pt>
                <c:pt idx="91">
                  <c:v>440.53680700000001</c:v>
                </c:pt>
                <c:pt idx="92">
                  <c:v>424.84375499999999</c:v>
                </c:pt>
                <c:pt idx="93">
                  <c:v>376.355255</c:v>
                </c:pt>
                <c:pt idx="94">
                  <c:v>485.44896599999998</c:v>
                </c:pt>
                <c:pt idx="95">
                  <c:v>473.15429</c:v>
                </c:pt>
                <c:pt idx="96">
                  <c:v>262.34972800000003</c:v>
                </c:pt>
                <c:pt idx="97">
                  <c:v>341.53937500000001</c:v>
                </c:pt>
                <c:pt idx="98">
                  <c:v>440.18855300000001</c:v>
                </c:pt>
                <c:pt idx="99">
                  <c:v>425.15968299999997</c:v>
                </c:pt>
                <c:pt idx="100">
                  <c:v>281.57469099999997</c:v>
                </c:pt>
                <c:pt idx="101">
                  <c:v>366.95916299999999</c:v>
                </c:pt>
                <c:pt idx="102">
                  <c:v>472.06246700000003</c:v>
                </c:pt>
                <c:pt idx="103">
                  <c:v>460.61158999999998</c:v>
                </c:pt>
                <c:pt idx="104">
                  <c:v>392.35990900000002</c:v>
                </c:pt>
                <c:pt idx="105">
                  <c:v>507.38333499999999</c:v>
                </c:pt>
                <c:pt idx="106">
                  <c:v>496.18782099999999</c:v>
                </c:pt>
                <c:pt idx="107">
                  <c:v>304.75024000000002</c:v>
                </c:pt>
                <c:pt idx="108">
                  <c:v>401.374977</c:v>
                </c:pt>
                <c:pt idx="109">
                  <c:v>508.558989</c:v>
                </c:pt>
                <c:pt idx="110">
                  <c:v>466.08816999999999</c:v>
                </c:pt>
                <c:pt idx="111">
                  <c:v>322.04014699999999</c:v>
                </c:pt>
                <c:pt idx="112">
                  <c:v>425.79231800000002</c:v>
                </c:pt>
                <c:pt idx="113">
                  <c:v>537.33620199999996</c:v>
                </c:pt>
                <c:pt idx="114">
                  <c:v>495.97380199999998</c:v>
                </c:pt>
                <c:pt idx="115">
                  <c:v>340.80422099999998</c:v>
                </c:pt>
                <c:pt idx="116">
                  <c:v>452.85969599999999</c:v>
                </c:pt>
                <c:pt idx="117">
                  <c:v>568.756799</c:v>
                </c:pt>
                <c:pt idx="118">
                  <c:v>527.89513099999999</c:v>
                </c:pt>
                <c:pt idx="119">
                  <c:v>332.26610399999998</c:v>
                </c:pt>
                <c:pt idx="120">
                  <c:v>285.40189400000003</c:v>
                </c:pt>
                <c:pt idx="121">
                  <c:v>362.88122800000002</c:v>
                </c:pt>
                <c:pt idx="122">
                  <c:v>337.45102500000002</c:v>
                </c:pt>
                <c:pt idx="123">
                  <c:v>446.85220500000003</c:v>
                </c:pt>
                <c:pt idx="124">
                  <c:v>563.36379199999999</c:v>
                </c:pt>
                <c:pt idx="125">
                  <c:v>522.60230100000001</c:v>
                </c:pt>
                <c:pt idx="126">
                  <c:v>354.85306400000002</c:v>
                </c:pt>
                <c:pt idx="127">
                  <c:v>306.86846300000002</c:v>
                </c:pt>
                <c:pt idx="128">
                  <c:v>389.70811700000002</c:v>
                </c:pt>
                <c:pt idx="129">
                  <c:v>372.56885399999999</c:v>
                </c:pt>
                <c:pt idx="130">
                  <c:v>491.82351499999999</c:v>
                </c:pt>
                <c:pt idx="131">
                  <c:v>618.05496500000004</c:v>
                </c:pt>
                <c:pt idx="132">
                  <c:v>581.01327600000002</c:v>
                </c:pt>
                <c:pt idx="133">
                  <c:v>377.81478600000003</c:v>
                </c:pt>
                <c:pt idx="134">
                  <c:v>328.87489599999998</c:v>
                </c:pt>
                <c:pt idx="135">
                  <c:v>417.175703</c:v>
                </c:pt>
                <c:pt idx="136">
                  <c:v>406.458822</c:v>
                </c:pt>
                <c:pt idx="137">
                  <c:v>359.35299199999997</c:v>
                </c:pt>
                <c:pt idx="138">
                  <c:v>311.274272</c:v>
                </c:pt>
                <c:pt idx="139">
                  <c:v>395.114465</c:v>
                </c:pt>
                <c:pt idx="140">
                  <c:v>376.58281699999998</c:v>
                </c:pt>
                <c:pt idx="141">
                  <c:v>385.55840799999999</c:v>
                </c:pt>
                <c:pt idx="142">
                  <c:v>336.33798100000001</c:v>
                </c:pt>
                <c:pt idx="143">
                  <c:v>426.36528900000002</c:v>
                </c:pt>
                <c:pt idx="144">
                  <c:v>416.785774</c:v>
                </c:pt>
                <c:pt idx="145">
                  <c:v>457.19116200000002</c:v>
                </c:pt>
                <c:pt idx="146">
                  <c:v>456.66071199999999</c:v>
                </c:pt>
                <c:pt idx="147">
                  <c:v>387.053158</c:v>
                </c:pt>
                <c:pt idx="148">
                  <c:v>337.348659</c:v>
                </c:pt>
                <c:pt idx="149">
                  <c:v>427.83891899999998</c:v>
                </c:pt>
                <c:pt idx="150">
                  <c:v>416.63242000000002</c:v>
                </c:pt>
                <c:pt idx="151">
                  <c:v>406.88026400000001</c:v>
                </c:pt>
                <c:pt idx="152">
                  <c:v>356.56077399999998</c:v>
                </c:pt>
                <c:pt idx="153">
                  <c:v>451.331323</c:v>
                </c:pt>
                <c:pt idx="154">
                  <c:v>446.95052600000002</c:v>
                </c:pt>
                <c:pt idx="155">
                  <c:v>474.49339099999997</c:v>
                </c:pt>
                <c:pt idx="156">
                  <c:v>477.53289599999999</c:v>
                </c:pt>
              </c:numCache>
            </c:numRef>
          </c:xVal>
          <c:yVal>
            <c:numRef>
              <c:f>FTP_3!$F$2:$F$158</c:f>
              <c:numCache>
                <c:formatCode>General</c:formatCode>
                <c:ptCount val="157"/>
                <c:pt idx="0">
                  <c:v>183.61401326079456</c:v>
                </c:pt>
                <c:pt idx="1">
                  <c:v>237.41588308229473</c:v>
                </c:pt>
                <c:pt idx="2">
                  <c:v>203.5664927216896</c:v>
                </c:pt>
                <c:pt idx="3">
                  <c:v>263.32760731157845</c:v>
                </c:pt>
                <c:pt idx="4">
                  <c:v>226.05613376694706</c:v>
                </c:pt>
                <c:pt idx="5">
                  <c:v>291.77649312522459</c:v>
                </c:pt>
                <c:pt idx="6">
                  <c:v>206.87784535687021</c:v>
                </c:pt>
                <c:pt idx="7">
                  <c:v>267.63270794224326</c:v>
                </c:pt>
                <c:pt idx="8">
                  <c:v>231.77312812199176</c:v>
                </c:pt>
                <c:pt idx="9">
                  <c:v>299.33855615695188</c:v>
                </c:pt>
                <c:pt idx="10">
                  <c:v>334.35824807368488</c:v>
                </c:pt>
                <c:pt idx="11">
                  <c:v>231.55576775859276</c:v>
                </c:pt>
                <c:pt idx="12">
                  <c:v>299.26362310783867</c:v>
                </c:pt>
                <c:pt idx="13">
                  <c:v>251.3305573834821</c:v>
                </c:pt>
                <c:pt idx="14">
                  <c:v>324.1463368199183</c:v>
                </c:pt>
                <c:pt idx="15">
                  <c:v>350.89308761438673</c:v>
                </c:pt>
                <c:pt idx="16">
                  <c:v>258.97019842185858</c:v>
                </c:pt>
                <c:pt idx="17">
                  <c:v>317.88743567452877</c:v>
                </c:pt>
                <c:pt idx="18">
                  <c:v>275.95168212841651</c:v>
                </c:pt>
                <c:pt idx="19">
                  <c:v>339.12552278707864</c:v>
                </c:pt>
                <c:pt idx="20">
                  <c:v>293.76162676048051</c:v>
                </c:pt>
                <c:pt idx="21">
                  <c:v>361.19207082513452</c:v>
                </c:pt>
                <c:pt idx="22">
                  <c:v>231.41979987509538</c:v>
                </c:pt>
                <c:pt idx="23">
                  <c:v>210.53992636350389</c:v>
                </c:pt>
                <c:pt idx="24">
                  <c:v>291.01792736812104</c:v>
                </c:pt>
                <c:pt idx="25">
                  <c:v>357.7394780658625</c:v>
                </c:pt>
                <c:pt idx="26">
                  <c:v>205.13429119062349</c:v>
                </c:pt>
                <c:pt idx="27">
                  <c:v>253.48264465202178</c:v>
                </c:pt>
                <c:pt idx="28">
                  <c:v>233.47202820859323</c:v>
                </c:pt>
                <c:pt idx="29">
                  <c:v>322.88889636579341</c:v>
                </c:pt>
                <c:pt idx="30">
                  <c:v>397.05950302402073</c:v>
                </c:pt>
                <c:pt idx="31">
                  <c:v>225.26486397562078</c:v>
                </c:pt>
                <c:pt idx="32">
                  <c:v>278.08265101331062</c:v>
                </c:pt>
                <c:pt idx="33">
                  <c:v>258.94129163804507</c:v>
                </c:pt>
                <c:pt idx="34">
                  <c:v>357.29702694782821</c:v>
                </c:pt>
                <c:pt idx="35">
                  <c:v>438.91668956654132</c:v>
                </c:pt>
                <c:pt idx="36">
                  <c:v>257.51759279813035</c:v>
                </c:pt>
                <c:pt idx="37">
                  <c:v>237.28025484151598</c:v>
                </c:pt>
                <c:pt idx="38">
                  <c:v>328.1877449919424</c:v>
                </c:pt>
                <c:pt idx="39">
                  <c:v>403.60053664452488</c:v>
                </c:pt>
                <c:pt idx="40">
                  <c:v>230.62313309351453</c:v>
                </c:pt>
                <c:pt idx="41">
                  <c:v>284.82472163871631</c:v>
                </c:pt>
                <c:pt idx="42">
                  <c:v>265.58082033143103</c:v>
                </c:pt>
                <c:pt idx="43">
                  <c:v>366.70415865623806</c:v>
                </c:pt>
                <c:pt idx="44">
                  <c:v>450.63015712080437</c:v>
                </c:pt>
                <c:pt idx="45">
                  <c:v>408.5344160225581</c:v>
                </c:pt>
                <c:pt idx="46">
                  <c:v>500.97362129910823</c:v>
                </c:pt>
                <c:pt idx="47">
                  <c:v>285.02947602681218</c:v>
                </c:pt>
                <c:pt idx="48">
                  <c:v>265.43467362517492</c:v>
                </c:pt>
                <c:pt idx="49">
                  <c:v>366.77165292141069</c:v>
                </c:pt>
                <c:pt idx="50">
                  <c:v>450.87568552883431</c:v>
                </c:pt>
                <c:pt idx="51">
                  <c:v>306.61315020829988</c:v>
                </c:pt>
                <c:pt idx="52">
                  <c:v>287.76342529365945</c:v>
                </c:pt>
                <c:pt idx="53">
                  <c:v>396.7622907206806</c:v>
                </c:pt>
                <c:pt idx="54">
                  <c:v>487.25122843709204</c:v>
                </c:pt>
                <c:pt idx="55">
                  <c:v>428.61696560233935</c:v>
                </c:pt>
                <c:pt idx="56">
                  <c:v>525.49080842773856</c:v>
                </c:pt>
                <c:pt idx="57">
                  <c:v>326.26520344312587</c:v>
                </c:pt>
                <c:pt idx="58">
                  <c:v>294.35800806139946</c:v>
                </c:pt>
                <c:pt idx="59">
                  <c:v>388.17598021040567</c:v>
                </c:pt>
                <c:pt idx="60">
                  <c:v>481.1946502167163</c:v>
                </c:pt>
                <c:pt idx="61">
                  <c:v>345.30393086861437</c:v>
                </c:pt>
                <c:pt idx="62">
                  <c:v>313.8934538115526</c:v>
                </c:pt>
                <c:pt idx="63">
                  <c:v>414.5219914101458</c:v>
                </c:pt>
                <c:pt idx="64">
                  <c:v>514.35122686604348</c:v>
                </c:pt>
                <c:pt idx="65">
                  <c:v>365.17111921960907</c:v>
                </c:pt>
                <c:pt idx="66">
                  <c:v>334.25736048721171</c:v>
                </c:pt>
                <c:pt idx="67">
                  <c:v>441.69646353539207</c:v>
                </c:pt>
                <c:pt idx="68">
                  <c:v>548.33626444087679</c:v>
                </c:pt>
                <c:pt idx="69">
                  <c:v>209.49439016551906</c:v>
                </c:pt>
                <c:pt idx="70">
                  <c:v>275.18631789638562</c:v>
                </c:pt>
                <c:pt idx="71">
                  <c:v>362.38214834751642</c:v>
                </c:pt>
                <c:pt idx="72">
                  <c:v>331.0883250747047</c:v>
                </c:pt>
                <c:pt idx="73">
                  <c:v>437.39319873582485</c:v>
                </c:pt>
                <c:pt idx="74">
                  <c:v>542.89877025424948</c:v>
                </c:pt>
                <c:pt idx="75">
                  <c:v>229.3225181542997</c:v>
                </c:pt>
                <c:pt idx="76">
                  <c:v>301.71859624960354</c:v>
                </c:pt>
                <c:pt idx="77">
                  <c:v>397.85329385331738</c:v>
                </c:pt>
                <c:pt idx="78">
                  <c:v>367.42872764866866</c:v>
                </c:pt>
                <c:pt idx="79">
                  <c:v>485.65209084656613</c:v>
                </c:pt>
                <c:pt idx="80">
                  <c:v>603.07615190176807</c:v>
                </c:pt>
                <c:pt idx="81">
                  <c:v>251.68780772744276</c:v>
                </c:pt>
                <c:pt idx="82">
                  <c:v>330.78803618718382</c:v>
                </c:pt>
                <c:pt idx="83">
                  <c:v>435.86160094348065</c:v>
                </c:pt>
                <c:pt idx="84">
                  <c:v>406.30629180699498</c:v>
                </c:pt>
                <c:pt idx="85">
                  <c:v>232.98481080210166</c:v>
                </c:pt>
                <c:pt idx="86">
                  <c:v>306.49885539232525</c:v>
                </c:pt>
                <c:pt idx="87">
                  <c:v>404.12417498926538</c:v>
                </c:pt>
                <c:pt idx="88">
                  <c:v>373.47288727143075</c:v>
                </c:pt>
                <c:pt idx="89">
                  <c:v>257.73797759909246</c:v>
                </c:pt>
                <c:pt idx="90">
                  <c:v>338.91390832010148</c:v>
                </c:pt>
                <c:pt idx="91">
                  <c:v>446.75507609142215</c:v>
                </c:pt>
                <c:pt idx="92">
                  <c:v>417.09722502291663</c:v>
                </c:pt>
                <c:pt idx="93">
                  <c:v>374.64280494990214</c:v>
                </c:pt>
                <c:pt idx="94">
                  <c:v>492.69982089560335</c:v>
                </c:pt>
                <c:pt idx="95">
                  <c:v>464.03540647642694</c:v>
                </c:pt>
                <c:pt idx="96">
                  <c:v>257.88932174433114</c:v>
                </c:pt>
                <c:pt idx="97">
                  <c:v>339.22548319391171</c:v>
                </c:pt>
                <c:pt idx="98">
                  <c:v>447.28029193666111</c:v>
                </c:pt>
                <c:pt idx="99">
                  <c:v>417.27153977380374</c:v>
                </c:pt>
                <c:pt idx="100">
                  <c:v>277.55752439312249</c:v>
                </c:pt>
                <c:pt idx="101">
                  <c:v>364.64010044079214</c:v>
                </c:pt>
                <c:pt idx="102">
                  <c:v>480.35679531432692</c:v>
                </c:pt>
                <c:pt idx="103">
                  <c:v>451.0931206384663</c:v>
                </c:pt>
                <c:pt idx="104">
                  <c:v>391.91875477006124</c:v>
                </c:pt>
                <c:pt idx="105">
                  <c:v>515.29733577438151</c:v>
                </c:pt>
                <c:pt idx="106">
                  <c:v>486.77873858551766</c:v>
                </c:pt>
                <c:pt idx="107">
                  <c:v>300.3716083880293</c:v>
                </c:pt>
                <c:pt idx="108">
                  <c:v>403.64625030490492</c:v>
                </c:pt>
                <c:pt idx="109">
                  <c:v>506.12159007908519</c:v>
                </c:pt>
                <c:pt idx="110">
                  <c:v>458.01491729101639</c:v>
                </c:pt>
                <c:pt idx="111">
                  <c:v>317.70769445112103</c:v>
                </c:pt>
                <c:pt idx="112">
                  <c:v>427.79290181758375</c:v>
                </c:pt>
                <c:pt idx="113">
                  <c:v>537.07880704135096</c:v>
                </c:pt>
                <c:pt idx="114">
                  <c:v>489.46885257794668</c:v>
                </c:pt>
                <c:pt idx="115">
                  <c:v>335.87224143971889</c:v>
                </c:pt>
                <c:pt idx="116">
                  <c:v>452.76801425576872</c:v>
                </c:pt>
                <c:pt idx="117">
                  <c:v>568.86448492912302</c:v>
                </c:pt>
                <c:pt idx="118">
                  <c:v>521.75124879038333</c:v>
                </c:pt>
                <c:pt idx="119">
                  <c:v>334.39804853917849</c:v>
                </c:pt>
                <c:pt idx="120">
                  <c:v>289.46129355515279</c:v>
                </c:pt>
                <c:pt idx="121">
                  <c:v>358.82832783092368</c:v>
                </c:pt>
                <c:pt idx="122">
                  <c:v>333.36682791439137</c:v>
                </c:pt>
                <c:pt idx="123">
                  <c:v>449.12837134338105</c:v>
                </c:pt>
                <c:pt idx="124">
                  <c:v>564.09061262967521</c:v>
                </c:pt>
                <c:pt idx="125">
                  <c:v>516.59731195052098</c:v>
                </c:pt>
                <c:pt idx="126">
                  <c:v>355.04881563402779</c:v>
                </c:pt>
                <c:pt idx="127">
                  <c:v>309.45136056481181</c:v>
                </c:pt>
                <c:pt idx="128">
                  <c:v>384.77763960897141</c:v>
                </c:pt>
                <c:pt idx="129">
                  <c:v>365.85835103599794</c:v>
                </c:pt>
                <c:pt idx="130">
                  <c:v>493.53838400176494</c:v>
                </c:pt>
                <c:pt idx="131">
                  <c:v>620.41911482483647</c:v>
                </c:pt>
                <c:pt idx="132">
                  <c:v>573.79507121384529</c:v>
                </c:pt>
                <c:pt idx="133">
                  <c:v>378.23674431323951</c:v>
                </c:pt>
                <c:pt idx="134">
                  <c:v>331.9785891588333</c:v>
                </c:pt>
                <c:pt idx="135">
                  <c:v>413.26411297138156</c:v>
                </c:pt>
                <c:pt idx="136">
                  <c:v>400.88703574196694</c:v>
                </c:pt>
                <c:pt idx="137">
                  <c:v>360.08907772685927</c:v>
                </c:pt>
                <c:pt idx="138">
                  <c:v>314.02693510224321</c:v>
                </c:pt>
                <c:pt idx="139">
                  <c:v>390.34696214188693</c:v>
                </c:pt>
                <c:pt idx="140">
                  <c:v>371.63235817420383</c:v>
                </c:pt>
                <c:pt idx="141">
                  <c:v>385.78240350221427</c:v>
                </c:pt>
                <c:pt idx="142">
                  <c:v>338.96517506595217</c:v>
                </c:pt>
                <c:pt idx="143">
                  <c:v>422.09576755518304</c:v>
                </c:pt>
                <c:pt idx="144">
                  <c:v>410.85797655156711</c:v>
                </c:pt>
                <c:pt idx="145">
                  <c:v>457.15841667050347</c:v>
                </c:pt>
                <c:pt idx="146">
                  <c:v>453.39743863095481</c:v>
                </c:pt>
                <c:pt idx="147">
                  <c:v>387.19419722018705</c:v>
                </c:pt>
                <c:pt idx="148">
                  <c:v>340.00666695498052</c:v>
                </c:pt>
                <c:pt idx="149">
                  <c:v>423.27968675849712</c:v>
                </c:pt>
                <c:pt idx="150">
                  <c:v>411.31197873966318</c:v>
                </c:pt>
                <c:pt idx="151">
                  <c:v>407.56751910275148</c:v>
                </c:pt>
                <c:pt idx="152">
                  <c:v>359.81367447881047</c:v>
                </c:pt>
                <c:pt idx="153">
                  <c:v>448.1946183695174</c:v>
                </c:pt>
                <c:pt idx="154">
                  <c:v>441.83452007373381</c:v>
                </c:pt>
                <c:pt idx="155">
                  <c:v>474.97358706292641</c:v>
                </c:pt>
                <c:pt idx="156">
                  <c:v>474.22109849019324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3F-4D40-9965-B80AD4BF0F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5324288"/>
        <c:axId val="1835325536"/>
      </c:scatterChart>
      <c:valAx>
        <c:axId val="1835324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ALPHA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5325536"/>
        <c:crosses val="autoZero"/>
        <c:crossBetween val="midCat"/>
      </c:valAx>
      <c:valAx>
        <c:axId val="183532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RSE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532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FTP_3!$F$1</c:f>
              <c:strCache>
                <c:ptCount val="1"/>
                <c:pt idx="0">
                  <c:v>CO2-RSE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FTP_3!$E$2:$E$158</c:f>
              <c:numCache>
                <c:formatCode>General</c:formatCode>
                <c:ptCount val="157"/>
                <c:pt idx="0">
                  <c:v>184.308471</c:v>
                </c:pt>
                <c:pt idx="1">
                  <c:v>234.70326399999999</c:v>
                </c:pt>
                <c:pt idx="2">
                  <c:v>203.81251900000001</c:v>
                </c:pt>
                <c:pt idx="3">
                  <c:v>260.27217999999999</c:v>
                </c:pt>
                <c:pt idx="4">
                  <c:v>224.11834300000001</c:v>
                </c:pt>
                <c:pt idx="5">
                  <c:v>288.26369899999997</c:v>
                </c:pt>
                <c:pt idx="6">
                  <c:v>206.94424799999999</c:v>
                </c:pt>
                <c:pt idx="7">
                  <c:v>263.68446999999998</c:v>
                </c:pt>
                <c:pt idx="8">
                  <c:v>229.89937800000001</c:v>
                </c:pt>
                <c:pt idx="9">
                  <c:v>295.51166799999999</c:v>
                </c:pt>
                <c:pt idx="10">
                  <c:v>330.223007</c:v>
                </c:pt>
                <c:pt idx="11">
                  <c:v>230.464652</c:v>
                </c:pt>
                <c:pt idx="12">
                  <c:v>295.56814400000002</c:v>
                </c:pt>
                <c:pt idx="13">
                  <c:v>248.66253699999999</c:v>
                </c:pt>
                <c:pt idx="14">
                  <c:v>319.74232599999999</c:v>
                </c:pt>
                <c:pt idx="15">
                  <c:v>346.35650600000002</c:v>
                </c:pt>
                <c:pt idx="16">
                  <c:v>258.80839900000001</c:v>
                </c:pt>
                <c:pt idx="17">
                  <c:v>314.17019099999999</c:v>
                </c:pt>
                <c:pt idx="18">
                  <c:v>275.37372699999997</c:v>
                </c:pt>
                <c:pt idx="19">
                  <c:v>333.81296200000003</c:v>
                </c:pt>
                <c:pt idx="20">
                  <c:v>291.82120099999997</c:v>
                </c:pt>
                <c:pt idx="21">
                  <c:v>355.21818100000002</c:v>
                </c:pt>
                <c:pt idx="22">
                  <c:v>227.506327</c:v>
                </c:pt>
                <c:pt idx="23">
                  <c:v>213.986546</c:v>
                </c:pt>
                <c:pt idx="24">
                  <c:v>289.04737299999999</c:v>
                </c:pt>
                <c:pt idx="25">
                  <c:v>351.33673599999997</c:v>
                </c:pt>
                <c:pt idx="26">
                  <c:v>204.53858399999999</c:v>
                </c:pt>
                <c:pt idx="27">
                  <c:v>249.84020899999999</c:v>
                </c:pt>
                <c:pt idx="28">
                  <c:v>236.46918099999999</c:v>
                </c:pt>
                <c:pt idx="29">
                  <c:v>320.71207099999998</c:v>
                </c:pt>
                <c:pt idx="30">
                  <c:v>390.771863</c:v>
                </c:pt>
                <c:pt idx="31">
                  <c:v>223.96966800000001</c:v>
                </c:pt>
                <c:pt idx="32">
                  <c:v>274.25801799999999</c:v>
                </c:pt>
                <c:pt idx="33">
                  <c:v>260.74353200000002</c:v>
                </c:pt>
                <c:pt idx="34">
                  <c:v>356.93543799999998</c:v>
                </c:pt>
                <c:pt idx="35">
                  <c:v>434.70418100000001</c:v>
                </c:pt>
                <c:pt idx="36">
                  <c:v>253.169826</c:v>
                </c:pt>
                <c:pt idx="37">
                  <c:v>239.63905199999999</c:v>
                </c:pt>
                <c:pt idx="38">
                  <c:v>326.11449699999997</c:v>
                </c:pt>
                <c:pt idx="39">
                  <c:v>397.48624799999999</c:v>
                </c:pt>
                <c:pt idx="40">
                  <c:v>229.45623499999999</c:v>
                </c:pt>
                <c:pt idx="41">
                  <c:v>280.33085299999999</c:v>
                </c:pt>
                <c:pt idx="42">
                  <c:v>267.79895399999998</c:v>
                </c:pt>
                <c:pt idx="43">
                  <c:v>366.18531100000001</c:v>
                </c:pt>
                <c:pt idx="44">
                  <c:v>447.09058900000002</c:v>
                </c:pt>
                <c:pt idx="45">
                  <c:v>409.23869000000002</c:v>
                </c:pt>
                <c:pt idx="46">
                  <c:v>497.76824499999998</c:v>
                </c:pt>
                <c:pt idx="47">
                  <c:v>280.39252299999998</c:v>
                </c:pt>
                <c:pt idx="48">
                  <c:v>267.64426900000001</c:v>
                </c:pt>
                <c:pt idx="49">
                  <c:v>366.95459499999998</c:v>
                </c:pt>
                <c:pt idx="50">
                  <c:v>445.17819300000002</c:v>
                </c:pt>
                <c:pt idx="51">
                  <c:v>299.43648300000001</c:v>
                </c:pt>
                <c:pt idx="52">
                  <c:v>290.35941300000002</c:v>
                </c:pt>
                <c:pt idx="53">
                  <c:v>398.175725</c:v>
                </c:pt>
                <c:pt idx="54">
                  <c:v>485.99391100000003</c:v>
                </c:pt>
                <c:pt idx="55">
                  <c:v>428.74710099999999</c:v>
                </c:pt>
                <c:pt idx="56">
                  <c:v>522.097217</c:v>
                </c:pt>
                <c:pt idx="57">
                  <c:v>320.84239600000001</c:v>
                </c:pt>
                <c:pt idx="58">
                  <c:v>298.922595</c:v>
                </c:pt>
                <c:pt idx="59">
                  <c:v>389.91685000000001</c:v>
                </c:pt>
                <c:pt idx="60">
                  <c:v>478.69466999999997</c:v>
                </c:pt>
                <c:pt idx="61">
                  <c:v>339.49633399999999</c:v>
                </c:pt>
                <c:pt idx="62">
                  <c:v>317.62344100000001</c:v>
                </c:pt>
                <c:pt idx="63">
                  <c:v>414.682321</c:v>
                </c:pt>
                <c:pt idx="64">
                  <c:v>510.10170699999998</c:v>
                </c:pt>
                <c:pt idx="65">
                  <c:v>360.11041799999998</c:v>
                </c:pt>
                <c:pt idx="66">
                  <c:v>338.26325400000002</c:v>
                </c:pt>
                <c:pt idx="67">
                  <c:v>441.62375100000003</c:v>
                </c:pt>
                <c:pt idx="68">
                  <c:v>543.17779800000005</c:v>
                </c:pt>
                <c:pt idx="69">
                  <c:v>213.58148600000001</c:v>
                </c:pt>
                <c:pt idx="70">
                  <c:v>277.42273699999998</c:v>
                </c:pt>
                <c:pt idx="71">
                  <c:v>356.89342399999998</c:v>
                </c:pt>
                <c:pt idx="72">
                  <c:v>334.25223699999998</c:v>
                </c:pt>
                <c:pt idx="73">
                  <c:v>437.22932900000001</c:v>
                </c:pt>
                <c:pt idx="74">
                  <c:v>537.96975699999996</c:v>
                </c:pt>
                <c:pt idx="75">
                  <c:v>234.17506800000001</c:v>
                </c:pt>
                <c:pt idx="76">
                  <c:v>304.63094999999998</c:v>
                </c:pt>
                <c:pt idx="77">
                  <c:v>393.96785799999998</c:v>
                </c:pt>
                <c:pt idx="78">
                  <c:v>371.49308300000001</c:v>
                </c:pt>
                <c:pt idx="79">
                  <c:v>485.93411900000001</c:v>
                </c:pt>
                <c:pt idx="80">
                  <c:v>599.39995299999998</c:v>
                </c:pt>
                <c:pt idx="81">
                  <c:v>256.49363599999998</c:v>
                </c:pt>
                <c:pt idx="82">
                  <c:v>333.81957199999999</c:v>
                </c:pt>
                <c:pt idx="83">
                  <c:v>429.21117600000002</c:v>
                </c:pt>
                <c:pt idx="84">
                  <c:v>412.90676300000001</c:v>
                </c:pt>
                <c:pt idx="85">
                  <c:v>237.40732499999999</c:v>
                </c:pt>
                <c:pt idx="86">
                  <c:v>308.75208199999997</c:v>
                </c:pt>
                <c:pt idx="87">
                  <c:v>398.73758900000001</c:v>
                </c:pt>
                <c:pt idx="88">
                  <c:v>377.78041400000001</c:v>
                </c:pt>
                <c:pt idx="89">
                  <c:v>262.83172500000001</c:v>
                </c:pt>
                <c:pt idx="90">
                  <c:v>342.42026600000003</c:v>
                </c:pt>
                <c:pt idx="91">
                  <c:v>440.53680700000001</c:v>
                </c:pt>
                <c:pt idx="92">
                  <c:v>424.84375499999999</c:v>
                </c:pt>
                <c:pt idx="93">
                  <c:v>376.355255</c:v>
                </c:pt>
                <c:pt idx="94">
                  <c:v>485.44896599999998</c:v>
                </c:pt>
                <c:pt idx="95">
                  <c:v>473.15429</c:v>
                </c:pt>
                <c:pt idx="96">
                  <c:v>262.34972800000003</c:v>
                </c:pt>
                <c:pt idx="97">
                  <c:v>341.53937500000001</c:v>
                </c:pt>
                <c:pt idx="98">
                  <c:v>440.18855300000001</c:v>
                </c:pt>
                <c:pt idx="99">
                  <c:v>425.15968299999997</c:v>
                </c:pt>
                <c:pt idx="100">
                  <c:v>281.57469099999997</c:v>
                </c:pt>
                <c:pt idx="101">
                  <c:v>366.95916299999999</c:v>
                </c:pt>
                <c:pt idx="102">
                  <c:v>472.06246700000003</c:v>
                </c:pt>
                <c:pt idx="103">
                  <c:v>460.61158999999998</c:v>
                </c:pt>
                <c:pt idx="104">
                  <c:v>392.35990900000002</c:v>
                </c:pt>
                <c:pt idx="105">
                  <c:v>507.38333499999999</c:v>
                </c:pt>
                <c:pt idx="106">
                  <c:v>496.18782099999999</c:v>
                </c:pt>
                <c:pt idx="107">
                  <c:v>304.75024000000002</c:v>
                </c:pt>
                <c:pt idx="108">
                  <c:v>401.374977</c:v>
                </c:pt>
                <c:pt idx="109">
                  <c:v>508.558989</c:v>
                </c:pt>
                <c:pt idx="110">
                  <c:v>466.08816999999999</c:v>
                </c:pt>
                <c:pt idx="111">
                  <c:v>322.04014699999999</c:v>
                </c:pt>
                <c:pt idx="112">
                  <c:v>425.79231800000002</c:v>
                </c:pt>
                <c:pt idx="113">
                  <c:v>537.33620199999996</c:v>
                </c:pt>
                <c:pt idx="114">
                  <c:v>495.97380199999998</c:v>
                </c:pt>
                <c:pt idx="115">
                  <c:v>340.80422099999998</c:v>
                </c:pt>
                <c:pt idx="116">
                  <c:v>452.85969599999999</c:v>
                </c:pt>
                <c:pt idx="117">
                  <c:v>568.756799</c:v>
                </c:pt>
                <c:pt idx="118">
                  <c:v>527.89513099999999</c:v>
                </c:pt>
                <c:pt idx="119">
                  <c:v>332.26610399999998</c:v>
                </c:pt>
                <c:pt idx="120">
                  <c:v>285.40189400000003</c:v>
                </c:pt>
                <c:pt idx="121">
                  <c:v>362.88122800000002</c:v>
                </c:pt>
                <c:pt idx="122">
                  <c:v>337.45102500000002</c:v>
                </c:pt>
                <c:pt idx="123">
                  <c:v>446.85220500000003</c:v>
                </c:pt>
                <c:pt idx="124">
                  <c:v>563.36379199999999</c:v>
                </c:pt>
                <c:pt idx="125">
                  <c:v>522.60230100000001</c:v>
                </c:pt>
                <c:pt idx="126">
                  <c:v>354.85306400000002</c:v>
                </c:pt>
                <c:pt idx="127">
                  <c:v>306.86846300000002</c:v>
                </c:pt>
                <c:pt idx="128">
                  <c:v>389.70811700000002</c:v>
                </c:pt>
                <c:pt idx="129">
                  <c:v>372.56885399999999</c:v>
                </c:pt>
                <c:pt idx="130">
                  <c:v>491.82351499999999</c:v>
                </c:pt>
                <c:pt idx="131">
                  <c:v>618.05496500000004</c:v>
                </c:pt>
                <c:pt idx="132">
                  <c:v>581.01327600000002</c:v>
                </c:pt>
                <c:pt idx="133">
                  <c:v>377.81478600000003</c:v>
                </c:pt>
                <c:pt idx="134">
                  <c:v>328.87489599999998</c:v>
                </c:pt>
                <c:pt idx="135">
                  <c:v>417.175703</c:v>
                </c:pt>
                <c:pt idx="136">
                  <c:v>406.458822</c:v>
                </c:pt>
                <c:pt idx="137">
                  <c:v>359.35299199999997</c:v>
                </c:pt>
                <c:pt idx="138">
                  <c:v>311.274272</c:v>
                </c:pt>
                <c:pt idx="139">
                  <c:v>395.114465</c:v>
                </c:pt>
                <c:pt idx="140">
                  <c:v>376.58281699999998</c:v>
                </c:pt>
                <c:pt idx="141">
                  <c:v>385.55840799999999</c:v>
                </c:pt>
                <c:pt idx="142">
                  <c:v>336.33798100000001</c:v>
                </c:pt>
                <c:pt idx="143">
                  <c:v>426.36528900000002</c:v>
                </c:pt>
                <c:pt idx="144">
                  <c:v>416.785774</c:v>
                </c:pt>
                <c:pt idx="145">
                  <c:v>457.19116200000002</c:v>
                </c:pt>
                <c:pt idx="146">
                  <c:v>456.66071199999999</c:v>
                </c:pt>
                <c:pt idx="147">
                  <c:v>387.053158</c:v>
                </c:pt>
                <c:pt idx="148">
                  <c:v>337.348659</c:v>
                </c:pt>
                <c:pt idx="149">
                  <c:v>427.83891899999998</c:v>
                </c:pt>
                <c:pt idx="150">
                  <c:v>416.63242000000002</c:v>
                </c:pt>
                <c:pt idx="151">
                  <c:v>406.88026400000001</c:v>
                </c:pt>
                <c:pt idx="152">
                  <c:v>356.56077399999998</c:v>
                </c:pt>
                <c:pt idx="153">
                  <c:v>451.331323</c:v>
                </c:pt>
                <c:pt idx="154">
                  <c:v>446.95052600000002</c:v>
                </c:pt>
                <c:pt idx="155">
                  <c:v>474.49339099999997</c:v>
                </c:pt>
                <c:pt idx="156">
                  <c:v>477.53289599999999</c:v>
                </c:pt>
              </c:numCache>
            </c:numRef>
          </c:xVal>
          <c:yVal>
            <c:numRef>
              <c:f>FTP_3!$F$2:$F$158</c:f>
              <c:numCache>
                <c:formatCode>General</c:formatCode>
                <c:ptCount val="157"/>
                <c:pt idx="0">
                  <c:v>183.61401326079456</c:v>
                </c:pt>
                <c:pt idx="1">
                  <c:v>237.41588308229473</c:v>
                </c:pt>
                <c:pt idx="2">
                  <c:v>203.5664927216896</c:v>
                </c:pt>
                <c:pt idx="3">
                  <c:v>263.32760731157845</c:v>
                </c:pt>
                <c:pt idx="4">
                  <c:v>226.05613376694706</c:v>
                </c:pt>
                <c:pt idx="5">
                  <c:v>291.77649312522459</c:v>
                </c:pt>
                <c:pt idx="6">
                  <c:v>206.87784535687021</c:v>
                </c:pt>
                <c:pt idx="7">
                  <c:v>267.63270794224326</c:v>
                </c:pt>
                <c:pt idx="8">
                  <c:v>231.77312812199176</c:v>
                </c:pt>
                <c:pt idx="9">
                  <c:v>299.33855615695188</c:v>
                </c:pt>
                <c:pt idx="10">
                  <c:v>334.35824807368488</c:v>
                </c:pt>
                <c:pt idx="11">
                  <c:v>231.55576775859276</c:v>
                </c:pt>
                <c:pt idx="12">
                  <c:v>299.26362310783867</c:v>
                </c:pt>
                <c:pt idx="13">
                  <c:v>251.3305573834821</c:v>
                </c:pt>
                <c:pt idx="14">
                  <c:v>324.1463368199183</c:v>
                </c:pt>
                <c:pt idx="15">
                  <c:v>350.89308761438673</c:v>
                </c:pt>
                <c:pt idx="16">
                  <c:v>258.97019842185858</c:v>
                </c:pt>
                <c:pt idx="17">
                  <c:v>317.88743567452877</c:v>
                </c:pt>
                <c:pt idx="18">
                  <c:v>275.95168212841651</c:v>
                </c:pt>
                <c:pt idx="19">
                  <c:v>339.12552278707864</c:v>
                </c:pt>
                <c:pt idx="20">
                  <c:v>293.76162676048051</c:v>
                </c:pt>
                <c:pt idx="21">
                  <c:v>361.19207082513452</c:v>
                </c:pt>
                <c:pt idx="22">
                  <c:v>231.41979987509538</c:v>
                </c:pt>
                <c:pt idx="23">
                  <c:v>210.53992636350389</c:v>
                </c:pt>
                <c:pt idx="24">
                  <c:v>291.01792736812104</c:v>
                </c:pt>
                <c:pt idx="25">
                  <c:v>357.7394780658625</c:v>
                </c:pt>
                <c:pt idx="26">
                  <c:v>205.13429119062349</c:v>
                </c:pt>
                <c:pt idx="27">
                  <c:v>253.48264465202178</c:v>
                </c:pt>
                <c:pt idx="28">
                  <c:v>233.47202820859323</c:v>
                </c:pt>
                <c:pt idx="29">
                  <c:v>322.88889636579341</c:v>
                </c:pt>
                <c:pt idx="30">
                  <c:v>397.05950302402073</c:v>
                </c:pt>
                <c:pt idx="31">
                  <c:v>225.26486397562078</c:v>
                </c:pt>
                <c:pt idx="32">
                  <c:v>278.08265101331062</c:v>
                </c:pt>
                <c:pt idx="33">
                  <c:v>258.94129163804507</c:v>
                </c:pt>
                <c:pt idx="34">
                  <c:v>357.29702694782821</c:v>
                </c:pt>
                <c:pt idx="35">
                  <c:v>438.91668956654132</c:v>
                </c:pt>
                <c:pt idx="36">
                  <c:v>257.51759279813035</c:v>
                </c:pt>
                <c:pt idx="37">
                  <c:v>237.28025484151598</c:v>
                </c:pt>
                <c:pt idx="38">
                  <c:v>328.1877449919424</c:v>
                </c:pt>
                <c:pt idx="39">
                  <c:v>403.60053664452488</c:v>
                </c:pt>
                <c:pt idx="40">
                  <c:v>230.62313309351453</c:v>
                </c:pt>
                <c:pt idx="41">
                  <c:v>284.82472163871631</c:v>
                </c:pt>
                <c:pt idx="42">
                  <c:v>265.58082033143103</c:v>
                </c:pt>
                <c:pt idx="43">
                  <c:v>366.70415865623806</c:v>
                </c:pt>
                <c:pt idx="44">
                  <c:v>450.63015712080437</c:v>
                </c:pt>
                <c:pt idx="45">
                  <c:v>408.5344160225581</c:v>
                </c:pt>
                <c:pt idx="46">
                  <c:v>500.97362129910823</c:v>
                </c:pt>
                <c:pt idx="47">
                  <c:v>285.02947602681218</c:v>
                </c:pt>
                <c:pt idx="48">
                  <c:v>265.43467362517492</c:v>
                </c:pt>
                <c:pt idx="49">
                  <c:v>366.77165292141069</c:v>
                </c:pt>
                <c:pt idx="50">
                  <c:v>450.87568552883431</c:v>
                </c:pt>
                <c:pt idx="51">
                  <c:v>306.61315020829988</c:v>
                </c:pt>
                <c:pt idx="52">
                  <c:v>287.76342529365945</c:v>
                </c:pt>
                <c:pt idx="53">
                  <c:v>396.7622907206806</c:v>
                </c:pt>
                <c:pt idx="54">
                  <c:v>487.25122843709204</c:v>
                </c:pt>
                <c:pt idx="55">
                  <c:v>428.61696560233935</c:v>
                </c:pt>
                <c:pt idx="56">
                  <c:v>525.49080842773856</c:v>
                </c:pt>
                <c:pt idx="57">
                  <c:v>326.26520344312587</c:v>
                </c:pt>
                <c:pt idx="58">
                  <c:v>294.35800806139946</c:v>
                </c:pt>
                <c:pt idx="59">
                  <c:v>388.17598021040567</c:v>
                </c:pt>
                <c:pt idx="60">
                  <c:v>481.1946502167163</c:v>
                </c:pt>
                <c:pt idx="61">
                  <c:v>345.30393086861437</c:v>
                </c:pt>
                <c:pt idx="62">
                  <c:v>313.8934538115526</c:v>
                </c:pt>
                <c:pt idx="63">
                  <c:v>414.5219914101458</c:v>
                </c:pt>
                <c:pt idx="64">
                  <c:v>514.35122686604348</c:v>
                </c:pt>
                <c:pt idx="65">
                  <c:v>365.17111921960907</c:v>
                </c:pt>
                <c:pt idx="66">
                  <c:v>334.25736048721171</c:v>
                </c:pt>
                <c:pt idx="67">
                  <c:v>441.69646353539207</c:v>
                </c:pt>
                <c:pt idx="68">
                  <c:v>548.33626444087679</c:v>
                </c:pt>
                <c:pt idx="69">
                  <c:v>209.49439016551906</c:v>
                </c:pt>
                <c:pt idx="70">
                  <c:v>275.18631789638562</c:v>
                </c:pt>
                <c:pt idx="71">
                  <c:v>362.38214834751642</c:v>
                </c:pt>
                <c:pt idx="72">
                  <c:v>331.0883250747047</c:v>
                </c:pt>
                <c:pt idx="73">
                  <c:v>437.39319873582485</c:v>
                </c:pt>
                <c:pt idx="74">
                  <c:v>542.89877025424948</c:v>
                </c:pt>
                <c:pt idx="75">
                  <c:v>229.3225181542997</c:v>
                </c:pt>
                <c:pt idx="76">
                  <c:v>301.71859624960354</c:v>
                </c:pt>
                <c:pt idx="77">
                  <c:v>397.85329385331738</c:v>
                </c:pt>
                <c:pt idx="78">
                  <c:v>367.42872764866866</c:v>
                </c:pt>
                <c:pt idx="79">
                  <c:v>485.65209084656613</c:v>
                </c:pt>
                <c:pt idx="80">
                  <c:v>603.07615190176807</c:v>
                </c:pt>
                <c:pt idx="81">
                  <c:v>251.68780772744276</c:v>
                </c:pt>
                <c:pt idx="82">
                  <c:v>330.78803618718382</c:v>
                </c:pt>
                <c:pt idx="83">
                  <c:v>435.86160094348065</c:v>
                </c:pt>
                <c:pt idx="84">
                  <c:v>406.30629180699498</c:v>
                </c:pt>
                <c:pt idx="85">
                  <c:v>232.98481080210166</c:v>
                </c:pt>
                <c:pt idx="86">
                  <c:v>306.49885539232525</c:v>
                </c:pt>
                <c:pt idx="87">
                  <c:v>404.12417498926538</c:v>
                </c:pt>
                <c:pt idx="88">
                  <c:v>373.47288727143075</c:v>
                </c:pt>
                <c:pt idx="89">
                  <c:v>257.73797759909246</c:v>
                </c:pt>
                <c:pt idx="90">
                  <c:v>338.91390832010148</c:v>
                </c:pt>
                <c:pt idx="91">
                  <c:v>446.75507609142215</c:v>
                </c:pt>
                <c:pt idx="92">
                  <c:v>417.09722502291663</c:v>
                </c:pt>
                <c:pt idx="93">
                  <c:v>374.64280494990214</c:v>
                </c:pt>
                <c:pt idx="94">
                  <c:v>492.69982089560335</c:v>
                </c:pt>
                <c:pt idx="95">
                  <c:v>464.03540647642694</c:v>
                </c:pt>
                <c:pt idx="96">
                  <c:v>257.88932174433114</c:v>
                </c:pt>
                <c:pt idx="97">
                  <c:v>339.22548319391171</c:v>
                </c:pt>
                <c:pt idx="98">
                  <c:v>447.28029193666111</c:v>
                </c:pt>
                <c:pt idx="99">
                  <c:v>417.27153977380374</c:v>
                </c:pt>
                <c:pt idx="100">
                  <c:v>277.55752439312249</c:v>
                </c:pt>
                <c:pt idx="101">
                  <c:v>364.64010044079214</c:v>
                </c:pt>
                <c:pt idx="102">
                  <c:v>480.35679531432692</c:v>
                </c:pt>
                <c:pt idx="103">
                  <c:v>451.0931206384663</c:v>
                </c:pt>
                <c:pt idx="104">
                  <c:v>391.91875477006124</c:v>
                </c:pt>
                <c:pt idx="105">
                  <c:v>515.29733577438151</c:v>
                </c:pt>
                <c:pt idx="106">
                  <c:v>486.77873858551766</c:v>
                </c:pt>
                <c:pt idx="107">
                  <c:v>300.3716083880293</c:v>
                </c:pt>
                <c:pt idx="108">
                  <c:v>403.64625030490492</c:v>
                </c:pt>
                <c:pt idx="109">
                  <c:v>506.12159007908519</c:v>
                </c:pt>
                <c:pt idx="110">
                  <c:v>458.01491729101639</c:v>
                </c:pt>
                <c:pt idx="111">
                  <c:v>317.70769445112103</c:v>
                </c:pt>
                <c:pt idx="112">
                  <c:v>427.79290181758375</c:v>
                </c:pt>
                <c:pt idx="113">
                  <c:v>537.07880704135096</c:v>
                </c:pt>
                <c:pt idx="114">
                  <c:v>489.46885257794668</c:v>
                </c:pt>
                <c:pt idx="115">
                  <c:v>335.87224143971889</c:v>
                </c:pt>
                <c:pt idx="116">
                  <c:v>452.76801425576872</c:v>
                </c:pt>
                <c:pt idx="117">
                  <c:v>568.86448492912302</c:v>
                </c:pt>
                <c:pt idx="118">
                  <c:v>521.75124879038333</c:v>
                </c:pt>
                <c:pt idx="119">
                  <c:v>334.39804853917849</c:v>
                </c:pt>
                <c:pt idx="120">
                  <c:v>289.46129355515279</c:v>
                </c:pt>
                <c:pt idx="121">
                  <c:v>358.82832783092368</c:v>
                </c:pt>
                <c:pt idx="122">
                  <c:v>333.36682791439137</c:v>
                </c:pt>
                <c:pt idx="123">
                  <c:v>449.12837134338105</c:v>
                </c:pt>
                <c:pt idx="124">
                  <c:v>564.09061262967521</c:v>
                </c:pt>
                <c:pt idx="125">
                  <c:v>516.59731195052098</c:v>
                </c:pt>
                <c:pt idx="126">
                  <c:v>355.04881563402779</c:v>
                </c:pt>
                <c:pt idx="127">
                  <c:v>309.45136056481181</c:v>
                </c:pt>
                <c:pt idx="128">
                  <c:v>384.77763960897141</c:v>
                </c:pt>
                <c:pt idx="129">
                  <c:v>365.85835103599794</c:v>
                </c:pt>
                <c:pt idx="130">
                  <c:v>493.53838400176494</c:v>
                </c:pt>
                <c:pt idx="131">
                  <c:v>620.41911482483647</c:v>
                </c:pt>
                <c:pt idx="132">
                  <c:v>573.79507121384529</c:v>
                </c:pt>
                <c:pt idx="133">
                  <c:v>378.23674431323951</c:v>
                </c:pt>
                <c:pt idx="134">
                  <c:v>331.9785891588333</c:v>
                </c:pt>
                <c:pt idx="135">
                  <c:v>413.26411297138156</c:v>
                </c:pt>
                <c:pt idx="136">
                  <c:v>400.88703574196694</c:v>
                </c:pt>
                <c:pt idx="137">
                  <c:v>360.08907772685927</c:v>
                </c:pt>
                <c:pt idx="138">
                  <c:v>314.02693510224321</c:v>
                </c:pt>
                <c:pt idx="139">
                  <c:v>390.34696214188693</c:v>
                </c:pt>
                <c:pt idx="140">
                  <c:v>371.63235817420383</c:v>
                </c:pt>
                <c:pt idx="141">
                  <c:v>385.78240350221427</c:v>
                </c:pt>
                <c:pt idx="142">
                  <c:v>338.96517506595217</c:v>
                </c:pt>
                <c:pt idx="143">
                  <c:v>422.09576755518304</c:v>
                </c:pt>
                <c:pt idx="144">
                  <c:v>410.85797655156711</c:v>
                </c:pt>
                <c:pt idx="145">
                  <c:v>457.15841667050347</c:v>
                </c:pt>
                <c:pt idx="146">
                  <c:v>453.39743863095481</c:v>
                </c:pt>
                <c:pt idx="147">
                  <c:v>387.19419722018705</c:v>
                </c:pt>
                <c:pt idx="148">
                  <c:v>340.00666695498052</c:v>
                </c:pt>
                <c:pt idx="149">
                  <c:v>423.27968675849712</c:v>
                </c:pt>
                <c:pt idx="150">
                  <c:v>411.31197873966318</c:v>
                </c:pt>
                <c:pt idx="151">
                  <c:v>407.56751910275148</c:v>
                </c:pt>
                <c:pt idx="152">
                  <c:v>359.81367447881047</c:v>
                </c:pt>
                <c:pt idx="153">
                  <c:v>448.1946183695174</c:v>
                </c:pt>
                <c:pt idx="154">
                  <c:v>441.83452007373381</c:v>
                </c:pt>
                <c:pt idx="155">
                  <c:v>474.97358706292641</c:v>
                </c:pt>
                <c:pt idx="156">
                  <c:v>474.22109849019324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3A-457A-99D3-C6D50BEF5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11856"/>
        <c:axId val="1916811440"/>
      </c:scatterChart>
      <c:valAx>
        <c:axId val="1916811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ALPHA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6811440"/>
        <c:crosses val="autoZero"/>
        <c:crossBetween val="midCat"/>
      </c:valAx>
      <c:valAx>
        <c:axId val="191681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RSE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6811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HWFET!$F$1</c:f>
              <c:strCache>
                <c:ptCount val="1"/>
                <c:pt idx="0">
                  <c:v>CO2-RSE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HWFET!$E$2:$E$158</c:f>
              <c:numCache>
                <c:formatCode>General</c:formatCode>
                <c:ptCount val="157"/>
                <c:pt idx="0">
                  <c:v>128.52475200000001</c:v>
                </c:pt>
                <c:pt idx="1">
                  <c:v>161.75057899999999</c:v>
                </c:pt>
                <c:pt idx="2">
                  <c:v>164.28067100000001</c:v>
                </c:pt>
                <c:pt idx="3">
                  <c:v>208.438524</c:v>
                </c:pt>
                <c:pt idx="4">
                  <c:v>200.94833800000001</c:v>
                </c:pt>
                <c:pt idx="5">
                  <c:v>259.045886</c:v>
                </c:pt>
                <c:pt idx="6">
                  <c:v>155.65169900000001</c:v>
                </c:pt>
                <c:pt idx="7">
                  <c:v>197.131067</c:v>
                </c:pt>
                <c:pt idx="8">
                  <c:v>197.384783</c:v>
                </c:pt>
                <c:pt idx="9">
                  <c:v>253.560078</c:v>
                </c:pt>
                <c:pt idx="10">
                  <c:v>311.494371</c:v>
                </c:pt>
                <c:pt idx="11">
                  <c:v>183.58108899999999</c:v>
                </c:pt>
                <c:pt idx="12">
                  <c:v>233.16001199999999</c:v>
                </c:pt>
                <c:pt idx="13">
                  <c:v>214.829702</c:v>
                </c:pt>
                <c:pt idx="14">
                  <c:v>278.19412899999998</c:v>
                </c:pt>
                <c:pt idx="15">
                  <c:v>321.33183000000002</c:v>
                </c:pt>
                <c:pt idx="16">
                  <c:v>158.25915900000001</c:v>
                </c:pt>
                <c:pt idx="17">
                  <c:v>192.04311200000001</c:v>
                </c:pt>
                <c:pt idx="18">
                  <c:v>189.88665700000001</c:v>
                </c:pt>
                <c:pt idx="19">
                  <c:v>230.41570100000001</c:v>
                </c:pt>
                <c:pt idx="20">
                  <c:v>222.90867299999999</c:v>
                </c:pt>
                <c:pt idx="21">
                  <c:v>270.066192</c:v>
                </c:pt>
                <c:pt idx="22">
                  <c:v>157.34275500000001</c:v>
                </c:pt>
                <c:pt idx="23">
                  <c:v>148.020883</c:v>
                </c:pt>
                <c:pt idx="24">
                  <c:v>198.56678400000001</c:v>
                </c:pt>
                <c:pt idx="25">
                  <c:v>240.79606100000001</c:v>
                </c:pt>
                <c:pt idx="26">
                  <c:v>160.820548</c:v>
                </c:pt>
                <c:pt idx="27">
                  <c:v>196.48507000000001</c:v>
                </c:pt>
                <c:pt idx="28">
                  <c:v>189.91580400000001</c:v>
                </c:pt>
                <c:pt idx="29">
                  <c:v>257.73246699999999</c:v>
                </c:pt>
                <c:pt idx="30">
                  <c:v>312.44264800000002</c:v>
                </c:pt>
                <c:pt idx="31">
                  <c:v>193.70886400000001</c:v>
                </c:pt>
                <c:pt idx="32">
                  <c:v>235.697835</c:v>
                </c:pt>
                <c:pt idx="33">
                  <c:v>233.27391700000001</c:v>
                </c:pt>
                <c:pt idx="34">
                  <c:v>321.85017800000003</c:v>
                </c:pt>
                <c:pt idx="35">
                  <c:v>393.99063799999999</c:v>
                </c:pt>
                <c:pt idx="36">
                  <c:v>186.875641</c:v>
                </c:pt>
                <c:pt idx="37">
                  <c:v>179.895769</c:v>
                </c:pt>
                <c:pt idx="38">
                  <c:v>242.711502</c:v>
                </c:pt>
                <c:pt idx="39">
                  <c:v>294.17684000000003</c:v>
                </c:pt>
                <c:pt idx="40">
                  <c:v>190.28824</c:v>
                </c:pt>
                <c:pt idx="41">
                  <c:v>231.48772199999999</c:v>
                </c:pt>
                <c:pt idx="42">
                  <c:v>228.48577499999999</c:v>
                </c:pt>
                <c:pt idx="43">
                  <c:v>315.34296699999999</c:v>
                </c:pt>
                <c:pt idx="44">
                  <c:v>386.111582</c:v>
                </c:pt>
                <c:pt idx="45">
                  <c:v>387.09198500000002</c:v>
                </c:pt>
                <c:pt idx="46">
                  <c:v>472.67393099999998</c:v>
                </c:pt>
                <c:pt idx="47">
                  <c:v>215.77653699999999</c:v>
                </c:pt>
                <c:pt idx="48">
                  <c:v>211.91898699999999</c:v>
                </c:pt>
                <c:pt idx="49">
                  <c:v>290.28416099999998</c:v>
                </c:pt>
                <c:pt idx="50">
                  <c:v>354.91474099999999</c:v>
                </c:pt>
                <c:pt idx="51">
                  <c:v>251.411978</c:v>
                </c:pt>
                <c:pt idx="52">
                  <c:v>250.85161199999999</c:v>
                </c:pt>
                <c:pt idx="53">
                  <c:v>346.19007399999998</c:v>
                </c:pt>
                <c:pt idx="54">
                  <c:v>421.666495</c:v>
                </c:pt>
                <c:pt idx="55">
                  <c:v>400.43692099999998</c:v>
                </c:pt>
                <c:pt idx="56">
                  <c:v>487.00021199999998</c:v>
                </c:pt>
                <c:pt idx="57">
                  <c:v>200.899449</c:v>
                </c:pt>
                <c:pt idx="58">
                  <c:v>183.54877500000001</c:v>
                </c:pt>
                <c:pt idx="59">
                  <c:v>236.92917600000001</c:v>
                </c:pt>
                <c:pt idx="60">
                  <c:v>291.93699500000002</c:v>
                </c:pt>
                <c:pt idx="61">
                  <c:v>234.46603300000001</c:v>
                </c:pt>
                <c:pt idx="62">
                  <c:v>220.08562900000001</c:v>
                </c:pt>
                <c:pt idx="63">
                  <c:v>284.59272499999997</c:v>
                </c:pt>
                <c:pt idx="64">
                  <c:v>351.33798899999999</c:v>
                </c:pt>
                <c:pt idx="65">
                  <c:v>268.98066799999998</c:v>
                </c:pt>
                <c:pt idx="66">
                  <c:v>258.34662300000002</c:v>
                </c:pt>
                <c:pt idx="67">
                  <c:v>333.13404100000002</c:v>
                </c:pt>
                <c:pt idx="68">
                  <c:v>413.23882800000001</c:v>
                </c:pt>
                <c:pt idx="69">
                  <c:v>148.374382</c:v>
                </c:pt>
                <c:pt idx="70">
                  <c:v>190.55282500000001</c:v>
                </c:pt>
                <c:pt idx="71">
                  <c:v>242.890016</c:v>
                </c:pt>
                <c:pt idx="72">
                  <c:v>230.03091699999999</c:v>
                </c:pt>
                <c:pt idx="73">
                  <c:v>297.24807099999998</c:v>
                </c:pt>
                <c:pt idx="74">
                  <c:v>366.58099199999998</c:v>
                </c:pt>
                <c:pt idx="75">
                  <c:v>184.59710999999999</c:v>
                </c:pt>
                <c:pt idx="76">
                  <c:v>237.47529599999999</c:v>
                </c:pt>
                <c:pt idx="77">
                  <c:v>305.38752699999998</c:v>
                </c:pt>
                <c:pt idx="78">
                  <c:v>298.93420300000002</c:v>
                </c:pt>
                <c:pt idx="79">
                  <c:v>389.42391099999998</c:v>
                </c:pt>
                <c:pt idx="80">
                  <c:v>483.64984900000002</c:v>
                </c:pt>
                <c:pt idx="81">
                  <c:v>222.17059800000001</c:v>
                </c:pt>
                <c:pt idx="82">
                  <c:v>287.404382</c:v>
                </c:pt>
                <c:pt idx="83">
                  <c:v>372.68077199999999</c:v>
                </c:pt>
                <c:pt idx="84">
                  <c:v>373.11322899999999</c:v>
                </c:pt>
                <c:pt idx="85">
                  <c:v>175.81759199999999</c:v>
                </c:pt>
                <c:pt idx="86">
                  <c:v>225.88235</c:v>
                </c:pt>
                <c:pt idx="87">
                  <c:v>289.697138</c:v>
                </c:pt>
                <c:pt idx="88">
                  <c:v>281.30721199999999</c:v>
                </c:pt>
                <c:pt idx="89">
                  <c:v>218.22495599999999</c:v>
                </c:pt>
                <c:pt idx="90">
                  <c:v>282.10280399999999</c:v>
                </c:pt>
                <c:pt idx="91">
                  <c:v>364.621803</c:v>
                </c:pt>
                <c:pt idx="92">
                  <c:v>365.90974699999998</c:v>
                </c:pt>
                <c:pt idx="93">
                  <c:v>340.33077100000003</c:v>
                </c:pt>
                <c:pt idx="94">
                  <c:v>448.21660800000001</c:v>
                </c:pt>
                <c:pt idx="95">
                  <c:v>448.53223000000003</c:v>
                </c:pt>
                <c:pt idx="96">
                  <c:v>203.47421800000001</c:v>
                </c:pt>
                <c:pt idx="97">
                  <c:v>262.58121599999998</c:v>
                </c:pt>
                <c:pt idx="98">
                  <c:v>338.96146599999997</c:v>
                </c:pt>
                <c:pt idx="99">
                  <c:v>336.83582799999999</c:v>
                </c:pt>
                <c:pt idx="100">
                  <c:v>236.72224700000001</c:v>
                </c:pt>
                <c:pt idx="101">
                  <c:v>303.81769700000001</c:v>
                </c:pt>
                <c:pt idx="102">
                  <c:v>396.62906600000002</c:v>
                </c:pt>
                <c:pt idx="103">
                  <c:v>399.266502</c:v>
                </c:pt>
                <c:pt idx="104">
                  <c:v>351.04843099999999</c:v>
                </c:pt>
                <c:pt idx="105">
                  <c:v>462.36420099999998</c:v>
                </c:pt>
                <c:pt idx="106">
                  <c:v>464.20688200000001</c:v>
                </c:pt>
                <c:pt idx="107">
                  <c:v>191.17066299999999</c:v>
                </c:pt>
                <c:pt idx="108">
                  <c:v>249.90749600000001</c:v>
                </c:pt>
                <c:pt idx="109">
                  <c:v>313.63924100000003</c:v>
                </c:pt>
                <c:pt idx="110">
                  <c:v>283.301875</c:v>
                </c:pt>
                <c:pt idx="111">
                  <c:v>223.17193900000001</c:v>
                </c:pt>
                <c:pt idx="112">
                  <c:v>291.966793</c:v>
                </c:pt>
                <c:pt idx="113">
                  <c:v>366.42584299999999</c:v>
                </c:pt>
                <c:pt idx="114">
                  <c:v>339.94617699999998</c:v>
                </c:pt>
                <c:pt idx="115">
                  <c:v>255.09708000000001</c:v>
                </c:pt>
                <c:pt idx="116">
                  <c:v>336.202293</c:v>
                </c:pt>
                <c:pt idx="117">
                  <c:v>420.57215600000001</c:v>
                </c:pt>
                <c:pt idx="118">
                  <c:v>399.85910100000001</c:v>
                </c:pt>
                <c:pt idx="119">
                  <c:v>232.48712800000001</c:v>
                </c:pt>
                <c:pt idx="120">
                  <c:v>202.442035</c:v>
                </c:pt>
                <c:pt idx="121">
                  <c:v>251.89089200000001</c:v>
                </c:pt>
                <c:pt idx="122">
                  <c:v>231.61497</c:v>
                </c:pt>
                <c:pt idx="123">
                  <c:v>303.29086599999999</c:v>
                </c:pt>
                <c:pt idx="124">
                  <c:v>380.76697100000001</c:v>
                </c:pt>
                <c:pt idx="125">
                  <c:v>355.18328200000002</c:v>
                </c:pt>
                <c:pt idx="126">
                  <c:v>272.71803599999998</c:v>
                </c:pt>
                <c:pt idx="127">
                  <c:v>240.085544</c:v>
                </c:pt>
                <c:pt idx="128">
                  <c:v>298.62288599999999</c:v>
                </c:pt>
                <c:pt idx="129">
                  <c:v>289.07174800000001</c:v>
                </c:pt>
                <c:pt idx="130">
                  <c:v>382.054665</c:v>
                </c:pt>
                <c:pt idx="131">
                  <c:v>477.48343999999997</c:v>
                </c:pt>
                <c:pt idx="132">
                  <c:v>466.62869999999998</c:v>
                </c:pt>
                <c:pt idx="133">
                  <c:v>311.95950399999998</c:v>
                </c:pt>
                <c:pt idx="134">
                  <c:v>277.27513800000003</c:v>
                </c:pt>
                <c:pt idx="135">
                  <c:v>345.09265399999998</c:v>
                </c:pt>
                <c:pt idx="136">
                  <c:v>349.92025799999999</c:v>
                </c:pt>
                <c:pt idx="137">
                  <c:v>263.31739199999998</c:v>
                </c:pt>
                <c:pt idx="138">
                  <c:v>231.23671300000001</c:v>
                </c:pt>
                <c:pt idx="139">
                  <c:v>287.70864399999999</c:v>
                </c:pt>
                <c:pt idx="140">
                  <c:v>274.61727200000001</c:v>
                </c:pt>
                <c:pt idx="141">
                  <c:v>308.43057099999999</c:v>
                </c:pt>
                <c:pt idx="142">
                  <c:v>273.81008500000002</c:v>
                </c:pt>
                <c:pt idx="143">
                  <c:v>340.70602200000002</c:v>
                </c:pt>
                <c:pt idx="144">
                  <c:v>343.23237999999998</c:v>
                </c:pt>
                <c:pt idx="145">
                  <c:v>394.26108099999999</c:v>
                </c:pt>
                <c:pt idx="146">
                  <c:v>420.251938</c:v>
                </c:pt>
                <c:pt idx="147">
                  <c:v>293.76613600000002</c:v>
                </c:pt>
                <c:pt idx="148">
                  <c:v>259.80062299999997</c:v>
                </c:pt>
                <c:pt idx="149">
                  <c:v>323.172347</c:v>
                </c:pt>
                <c:pt idx="150">
                  <c:v>319.21847000000002</c:v>
                </c:pt>
                <c:pt idx="151">
                  <c:v>327.23129299999999</c:v>
                </c:pt>
                <c:pt idx="152">
                  <c:v>291.73029000000002</c:v>
                </c:pt>
                <c:pt idx="153">
                  <c:v>363.14312699999999</c:v>
                </c:pt>
                <c:pt idx="154">
                  <c:v>374.47267499999998</c:v>
                </c:pt>
                <c:pt idx="155">
                  <c:v>403.35512799999998</c:v>
                </c:pt>
                <c:pt idx="156">
                  <c:v>433.665278</c:v>
                </c:pt>
              </c:numCache>
            </c:numRef>
          </c:xVal>
          <c:yVal>
            <c:numRef>
              <c:f>HWFET!$F$2:$F$158</c:f>
              <c:numCache>
                <c:formatCode>General</c:formatCode>
                <c:ptCount val="157"/>
                <c:pt idx="0">
                  <c:v>128.04386969683432</c:v>
                </c:pt>
                <c:pt idx="1">
                  <c:v>164.26759217584589</c:v>
                </c:pt>
                <c:pt idx="2">
                  <c:v>163.35750623081654</c:v>
                </c:pt>
                <c:pt idx="3">
                  <c:v>210.89379798607195</c:v>
                </c:pt>
                <c:pt idx="4">
                  <c:v>202.32342055803119</c:v>
                </c:pt>
                <c:pt idx="5">
                  <c:v>261.17228158953043</c:v>
                </c:pt>
                <c:pt idx="6">
                  <c:v>154.63122956452509</c:v>
                </c:pt>
                <c:pt idx="7">
                  <c:v>199.51932431264299</c:v>
                </c:pt>
                <c:pt idx="8">
                  <c:v>197.99306503966673</c:v>
                </c:pt>
                <c:pt idx="9">
                  <c:v>255.80981038920618</c:v>
                </c:pt>
                <c:pt idx="10">
                  <c:v>316.87061848141985</c:v>
                </c:pt>
                <c:pt idx="11">
                  <c:v>183.17795160209664</c:v>
                </c:pt>
                <c:pt idx="12">
                  <c:v>236.73041861932097</c:v>
                </c:pt>
                <c:pt idx="13">
                  <c:v>217.28104696651633</c:v>
                </c:pt>
                <c:pt idx="14">
                  <c:v>280.53000193480682</c:v>
                </c:pt>
                <c:pt idx="15">
                  <c:v>327.01289138409606</c:v>
                </c:pt>
                <c:pt idx="16">
                  <c:v>160.53429394258927</c:v>
                </c:pt>
                <c:pt idx="17">
                  <c:v>195.36807085588896</c:v>
                </c:pt>
                <c:pt idx="18">
                  <c:v>191.87433219240594</c:v>
                </c:pt>
                <c:pt idx="19">
                  <c:v>234.78851573159409</c:v>
                </c:pt>
                <c:pt idx="20">
                  <c:v>224.40695094613523</c:v>
                </c:pt>
                <c:pt idx="21">
                  <c:v>275.40154111121177</c:v>
                </c:pt>
                <c:pt idx="22">
                  <c:v>160.15134137111568</c:v>
                </c:pt>
                <c:pt idx="23">
                  <c:v>146.16351552886624</c:v>
                </c:pt>
                <c:pt idx="24">
                  <c:v>200.42903791464826</c:v>
                </c:pt>
                <c:pt idx="25">
                  <c:v>245.54326842223202</c:v>
                </c:pt>
                <c:pt idx="26">
                  <c:v>161.52494229808127</c:v>
                </c:pt>
                <c:pt idx="27">
                  <c:v>198.81345001275696</c:v>
                </c:pt>
                <c:pt idx="28">
                  <c:v>187.13343670097038</c:v>
                </c:pt>
                <c:pt idx="29">
                  <c:v>258.36781300111812</c:v>
                </c:pt>
                <c:pt idx="30">
                  <c:v>317.62275510400661</c:v>
                </c:pt>
                <c:pt idx="31">
                  <c:v>195.35490177577216</c:v>
                </c:pt>
                <c:pt idx="32">
                  <c:v>241.12783644763073</c:v>
                </c:pt>
                <c:pt idx="33">
                  <c:v>231.75563566630697</c:v>
                </c:pt>
                <c:pt idx="34">
                  <c:v>319.95886588082044</c:v>
                </c:pt>
                <c:pt idx="35">
                  <c:v>393.3545195790137</c:v>
                </c:pt>
                <c:pt idx="36">
                  <c:v>189.3774041812907</c:v>
                </c:pt>
                <c:pt idx="37">
                  <c:v>177.08306153111019</c:v>
                </c:pt>
                <c:pt idx="38">
                  <c:v>244.34514232055179</c:v>
                </c:pt>
                <c:pt idx="39">
                  <c:v>300.28983816451841</c:v>
                </c:pt>
                <c:pt idx="40">
                  <c:v>191.56721701193968</c:v>
                </c:pt>
                <c:pt idx="41">
                  <c:v>236.56606492232845</c:v>
                </c:pt>
                <c:pt idx="42">
                  <c:v>226.90922230696262</c:v>
                </c:pt>
                <c:pt idx="43">
                  <c:v>313.56427899853645</c:v>
                </c:pt>
                <c:pt idx="44">
                  <c:v>385.66978809428008</c:v>
                </c:pt>
                <c:pt idx="45">
                  <c:v>387.55373769217164</c:v>
                </c:pt>
                <c:pt idx="46">
                  <c:v>475.82006003969218</c:v>
                </c:pt>
                <c:pt idx="47">
                  <c:v>220.56282916134654</c:v>
                </c:pt>
                <c:pt idx="48">
                  <c:v>209.96196970323496</c:v>
                </c:pt>
                <c:pt idx="49">
                  <c:v>290.2206088963361</c:v>
                </c:pt>
                <c:pt idx="50">
                  <c:v>356.9957700766858</c:v>
                </c:pt>
                <c:pt idx="51">
                  <c:v>257.53604347518831</c:v>
                </c:pt>
                <c:pt idx="52">
                  <c:v>248.91330904318775</c:v>
                </c:pt>
                <c:pt idx="53">
                  <c:v>343.71668016288805</c:v>
                </c:pt>
                <c:pt idx="54">
                  <c:v>422.61245128207042</c:v>
                </c:pt>
                <c:pt idx="55">
                  <c:v>399.89605756324346</c:v>
                </c:pt>
                <c:pt idx="56">
                  <c:v>490.9124386212585</c:v>
                </c:pt>
                <c:pt idx="57">
                  <c:v>201.90892007389527</c:v>
                </c:pt>
                <c:pt idx="58">
                  <c:v>181.44623697935828</c:v>
                </c:pt>
                <c:pt idx="59">
                  <c:v>237.0401573751671</c:v>
                </c:pt>
                <c:pt idx="60">
                  <c:v>292.38497081013907</c:v>
                </c:pt>
                <c:pt idx="61">
                  <c:v>236.7784522818377</c:v>
                </c:pt>
                <c:pt idx="62">
                  <c:v>217.63451920470803</c:v>
                </c:pt>
                <c:pt idx="63">
                  <c:v>286.15709020193833</c:v>
                </c:pt>
                <c:pt idx="64">
                  <c:v>354.43055423833181</c:v>
                </c:pt>
                <c:pt idx="65">
                  <c:v>272.84056499369268</c:v>
                </c:pt>
                <c:pt idx="66">
                  <c:v>255.01538193397039</c:v>
                </c:pt>
                <c:pt idx="67">
                  <c:v>336.46660353262223</c:v>
                </c:pt>
                <c:pt idx="68">
                  <c:v>417.66871817043722</c:v>
                </c:pt>
                <c:pt idx="69">
                  <c:v>145.75367982566522</c:v>
                </c:pt>
                <c:pt idx="70">
                  <c:v>188.92039146224081</c:v>
                </c:pt>
                <c:pt idx="71">
                  <c:v>246.35339964538809</c:v>
                </c:pt>
                <c:pt idx="72">
                  <c:v>227.50925310798772</c:v>
                </c:pt>
                <c:pt idx="73">
                  <c:v>299.55189925465106</c:v>
                </c:pt>
                <c:pt idx="74">
                  <c:v>371.34543844047755</c:v>
                </c:pt>
                <c:pt idx="75">
                  <c:v>180.17357498871505</c:v>
                </c:pt>
                <c:pt idx="76">
                  <c:v>236.066927061065</c:v>
                </c:pt>
                <c:pt idx="77">
                  <c:v>310.46878915857798</c:v>
                </c:pt>
                <c:pt idx="78">
                  <c:v>293.93245515164045</c:v>
                </c:pt>
                <c:pt idx="79">
                  <c:v>388.60023985079147</c:v>
                </c:pt>
                <c:pt idx="80">
                  <c:v>483.01891758910557</c:v>
                </c:pt>
                <c:pt idx="81">
                  <c:v>218.24574794499736</c:v>
                </c:pt>
                <c:pt idx="82">
                  <c:v>286.86574045312159</c:v>
                </c:pt>
                <c:pt idx="83">
                  <c:v>378.2364564650004</c:v>
                </c:pt>
                <c:pt idx="84">
                  <c:v>364.00793498852568</c:v>
                </c:pt>
                <c:pt idx="85">
                  <c:v>171.73060303492534</c:v>
                </c:pt>
                <c:pt idx="86">
                  <c:v>224.64473347424561</c:v>
                </c:pt>
                <c:pt idx="87">
                  <c:v>295.0743000610525</c:v>
                </c:pt>
                <c:pt idx="88">
                  <c:v>277.92363671572105</c:v>
                </c:pt>
                <c:pt idx="89">
                  <c:v>214.07101980043004</c:v>
                </c:pt>
                <c:pt idx="90">
                  <c:v>281.52988216634958</c:v>
                </c:pt>
                <c:pt idx="91">
                  <c:v>371.3524246552887</c:v>
                </c:pt>
                <c:pt idx="92">
                  <c:v>356.8392613447719</c:v>
                </c:pt>
                <c:pt idx="93">
                  <c:v>343.18535287410396</c:v>
                </c:pt>
                <c:pt idx="94">
                  <c:v>452.40087126517534</c:v>
                </c:pt>
                <c:pt idx="95">
                  <c:v>440.52520798947319</c:v>
                </c:pt>
                <c:pt idx="96">
                  <c:v>199.66688841406628</c:v>
                </c:pt>
                <c:pt idx="97">
                  <c:v>262.32843765613131</c:v>
                </c:pt>
                <c:pt idx="98">
                  <c:v>345.75456264659772</c:v>
                </c:pt>
                <c:pt idx="99">
                  <c:v>330.29738249333514</c:v>
                </c:pt>
                <c:pt idx="100">
                  <c:v>233.00391974625825</c:v>
                </c:pt>
                <c:pt idx="101">
                  <c:v>306.57401793327267</c:v>
                </c:pt>
                <c:pt idx="102">
                  <c:v>404.54487485033832</c:v>
                </c:pt>
                <c:pt idx="103">
                  <c:v>391.06581972318679</c:v>
                </c:pt>
                <c:pt idx="104">
                  <c:v>353.50290434421748</c:v>
                </c:pt>
                <c:pt idx="105">
                  <c:v>466.01849318788237</c:v>
                </c:pt>
                <c:pt idx="106">
                  <c:v>454.51756308684179</c:v>
                </c:pt>
                <c:pt idx="107">
                  <c:v>186.89233463561209</c:v>
                </c:pt>
                <c:pt idx="108">
                  <c:v>246.86526127843095</c:v>
                </c:pt>
                <c:pt idx="109">
                  <c:v>306.58908096041296</c:v>
                </c:pt>
                <c:pt idx="110">
                  <c:v>278.57212122897454</c:v>
                </c:pt>
                <c:pt idx="111">
                  <c:v>218.52970419319917</c:v>
                </c:pt>
                <c:pt idx="112">
                  <c:v>291.43128143743951</c:v>
                </c:pt>
                <c:pt idx="113">
                  <c:v>364.08375172084305</c:v>
                </c:pt>
                <c:pt idx="114">
                  <c:v>337.38554200681193</c:v>
                </c:pt>
                <c:pt idx="115">
                  <c:v>251.35965425469877</c:v>
                </c:pt>
                <c:pt idx="116">
                  <c:v>337.18988210036065</c:v>
                </c:pt>
                <c:pt idx="117">
                  <c:v>422.7710029851857</c:v>
                </c:pt>
                <c:pt idx="118">
                  <c:v>397.39154328856193</c:v>
                </c:pt>
                <c:pt idx="119">
                  <c:v>240.69485067736042</c:v>
                </c:pt>
                <c:pt idx="120">
                  <c:v>206.01727809266927</c:v>
                </c:pt>
                <c:pt idx="121">
                  <c:v>249.51493284712021</c:v>
                </c:pt>
                <c:pt idx="122">
                  <c:v>227.22463276939129</c:v>
                </c:pt>
                <c:pt idx="123">
                  <c:v>303.6462851630647</c:v>
                </c:pt>
                <c:pt idx="124">
                  <c:v>379.81883059590126</c:v>
                </c:pt>
                <c:pt idx="125">
                  <c:v>353.42040742159941</c:v>
                </c:pt>
                <c:pt idx="126">
                  <c:v>274.48080362184635</c:v>
                </c:pt>
                <c:pt idx="127">
                  <c:v>239.17631672272751</c:v>
                </c:pt>
                <c:pt idx="128">
                  <c:v>293.98654075342228</c:v>
                </c:pt>
                <c:pt idx="129">
                  <c:v>285.68373764445931</c:v>
                </c:pt>
                <c:pt idx="130">
                  <c:v>384.73052859062034</c:v>
                </c:pt>
                <c:pt idx="131">
                  <c:v>483.52821257594456</c:v>
                </c:pt>
                <c:pt idx="132">
                  <c:v>459.43760193210551</c:v>
                </c:pt>
                <c:pt idx="133">
                  <c:v>311.91903435956476</c:v>
                </c:pt>
                <c:pt idx="134">
                  <c:v>275.9876331460182</c:v>
                </c:pt>
                <c:pt idx="135">
                  <c:v>342.1104264529568</c:v>
                </c:pt>
                <c:pt idx="136">
                  <c:v>347.79512031275971</c:v>
                </c:pt>
                <c:pt idx="137">
                  <c:v>266.43355809444876</c:v>
                </c:pt>
                <c:pt idx="138">
                  <c:v>231.20516343115625</c:v>
                </c:pt>
                <c:pt idx="139">
                  <c:v>283.36719045471358</c:v>
                </c:pt>
                <c:pt idx="140">
                  <c:v>271.61334705050251</c:v>
                </c:pt>
                <c:pt idx="141">
                  <c:v>308.04946946730894</c:v>
                </c:pt>
                <c:pt idx="142">
                  <c:v>272.10460130181332</c:v>
                </c:pt>
                <c:pt idx="143">
                  <c:v>337.19527892679218</c:v>
                </c:pt>
                <c:pt idx="144">
                  <c:v>341.4271463440279</c:v>
                </c:pt>
                <c:pt idx="145">
                  <c:v>395.79368941452128</c:v>
                </c:pt>
                <c:pt idx="146">
                  <c:v>416.01126765320379</c:v>
                </c:pt>
                <c:pt idx="147">
                  <c:v>294.13162768141785</c:v>
                </c:pt>
                <c:pt idx="148">
                  <c:v>258.35241093952402</c:v>
                </c:pt>
                <c:pt idx="149">
                  <c:v>319.17881023218774</c:v>
                </c:pt>
                <c:pt idx="150">
                  <c:v>317.96142350149455</c:v>
                </c:pt>
                <c:pt idx="151">
                  <c:v>326.92527996912645</c:v>
                </c:pt>
                <c:pt idx="152">
                  <c:v>290.60870810058032</c:v>
                </c:pt>
                <c:pt idx="153">
                  <c:v>361.1315953443102</c:v>
                </c:pt>
                <c:pt idx="154">
                  <c:v>371.90349172970201</c:v>
                </c:pt>
                <c:pt idx="155">
                  <c:v>405.76768659023594</c:v>
                </c:pt>
                <c:pt idx="156">
                  <c:v>428.52886609171293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44-4EFF-A567-C57AAFCA9E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4077040"/>
        <c:axId val="1324074128"/>
      </c:scatterChart>
      <c:valAx>
        <c:axId val="1324077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ALPHA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4074128"/>
        <c:crosses val="autoZero"/>
        <c:crossBetween val="midCat"/>
      </c:valAx>
      <c:valAx>
        <c:axId val="132407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RSE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4077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HWFET!$F$1</c:f>
              <c:strCache>
                <c:ptCount val="1"/>
                <c:pt idx="0">
                  <c:v>CO2-RSE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HWFET!$E$2:$E$158</c:f>
              <c:numCache>
                <c:formatCode>General</c:formatCode>
                <c:ptCount val="157"/>
                <c:pt idx="0">
                  <c:v>128.52475200000001</c:v>
                </c:pt>
                <c:pt idx="1">
                  <c:v>161.75057899999999</c:v>
                </c:pt>
                <c:pt idx="2">
                  <c:v>164.28067100000001</c:v>
                </c:pt>
                <c:pt idx="3">
                  <c:v>208.438524</c:v>
                </c:pt>
                <c:pt idx="4">
                  <c:v>200.94833800000001</c:v>
                </c:pt>
                <c:pt idx="5">
                  <c:v>259.045886</c:v>
                </c:pt>
                <c:pt idx="6">
                  <c:v>155.65169900000001</c:v>
                </c:pt>
                <c:pt idx="7">
                  <c:v>197.131067</c:v>
                </c:pt>
                <c:pt idx="8">
                  <c:v>197.384783</c:v>
                </c:pt>
                <c:pt idx="9">
                  <c:v>253.560078</c:v>
                </c:pt>
                <c:pt idx="10">
                  <c:v>311.494371</c:v>
                </c:pt>
                <c:pt idx="11">
                  <c:v>183.58108899999999</c:v>
                </c:pt>
                <c:pt idx="12">
                  <c:v>233.16001199999999</c:v>
                </c:pt>
                <c:pt idx="13">
                  <c:v>214.829702</c:v>
                </c:pt>
                <c:pt idx="14">
                  <c:v>278.19412899999998</c:v>
                </c:pt>
                <c:pt idx="15">
                  <c:v>321.33183000000002</c:v>
                </c:pt>
                <c:pt idx="16">
                  <c:v>158.25915900000001</c:v>
                </c:pt>
                <c:pt idx="17">
                  <c:v>192.04311200000001</c:v>
                </c:pt>
                <c:pt idx="18">
                  <c:v>189.88665700000001</c:v>
                </c:pt>
                <c:pt idx="19">
                  <c:v>230.41570100000001</c:v>
                </c:pt>
                <c:pt idx="20">
                  <c:v>222.90867299999999</c:v>
                </c:pt>
                <c:pt idx="21">
                  <c:v>270.066192</c:v>
                </c:pt>
                <c:pt idx="22">
                  <c:v>157.34275500000001</c:v>
                </c:pt>
                <c:pt idx="23">
                  <c:v>148.020883</c:v>
                </c:pt>
                <c:pt idx="24">
                  <c:v>198.56678400000001</c:v>
                </c:pt>
                <c:pt idx="25">
                  <c:v>240.79606100000001</c:v>
                </c:pt>
                <c:pt idx="26">
                  <c:v>160.820548</c:v>
                </c:pt>
                <c:pt idx="27">
                  <c:v>196.48507000000001</c:v>
                </c:pt>
                <c:pt idx="28">
                  <c:v>189.91580400000001</c:v>
                </c:pt>
                <c:pt idx="29">
                  <c:v>257.73246699999999</c:v>
                </c:pt>
                <c:pt idx="30">
                  <c:v>312.44264800000002</c:v>
                </c:pt>
                <c:pt idx="31">
                  <c:v>193.70886400000001</c:v>
                </c:pt>
                <c:pt idx="32">
                  <c:v>235.697835</c:v>
                </c:pt>
                <c:pt idx="33">
                  <c:v>233.27391700000001</c:v>
                </c:pt>
                <c:pt idx="34">
                  <c:v>321.85017800000003</c:v>
                </c:pt>
                <c:pt idx="35">
                  <c:v>393.99063799999999</c:v>
                </c:pt>
                <c:pt idx="36">
                  <c:v>186.875641</c:v>
                </c:pt>
                <c:pt idx="37">
                  <c:v>179.895769</c:v>
                </c:pt>
                <c:pt idx="38">
                  <c:v>242.711502</c:v>
                </c:pt>
                <c:pt idx="39">
                  <c:v>294.17684000000003</c:v>
                </c:pt>
                <c:pt idx="40">
                  <c:v>190.28824</c:v>
                </c:pt>
                <c:pt idx="41">
                  <c:v>231.48772199999999</c:v>
                </c:pt>
                <c:pt idx="42">
                  <c:v>228.48577499999999</c:v>
                </c:pt>
                <c:pt idx="43">
                  <c:v>315.34296699999999</c:v>
                </c:pt>
                <c:pt idx="44">
                  <c:v>386.111582</c:v>
                </c:pt>
                <c:pt idx="45">
                  <c:v>387.09198500000002</c:v>
                </c:pt>
                <c:pt idx="46">
                  <c:v>472.67393099999998</c:v>
                </c:pt>
                <c:pt idx="47">
                  <c:v>215.77653699999999</c:v>
                </c:pt>
                <c:pt idx="48">
                  <c:v>211.91898699999999</c:v>
                </c:pt>
                <c:pt idx="49">
                  <c:v>290.28416099999998</c:v>
                </c:pt>
                <c:pt idx="50">
                  <c:v>354.91474099999999</c:v>
                </c:pt>
                <c:pt idx="51">
                  <c:v>251.411978</c:v>
                </c:pt>
                <c:pt idx="52">
                  <c:v>250.85161199999999</c:v>
                </c:pt>
                <c:pt idx="53">
                  <c:v>346.19007399999998</c:v>
                </c:pt>
                <c:pt idx="54">
                  <c:v>421.666495</c:v>
                </c:pt>
                <c:pt idx="55">
                  <c:v>400.43692099999998</c:v>
                </c:pt>
                <c:pt idx="56">
                  <c:v>487.00021199999998</c:v>
                </c:pt>
                <c:pt idx="57">
                  <c:v>200.899449</c:v>
                </c:pt>
                <c:pt idx="58">
                  <c:v>183.54877500000001</c:v>
                </c:pt>
                <c:pt idx="59">
                  <c:v>236.92917600000001</c:v>
                </c:pt>
                <c:pt idx="60">
                  <c:v>291.93699500000002</c:v>
                </c:pt>
                <c:pt idx="61">
                  <c:v>234.46603300000001</c:v>
                </c:pt>
                <c:pt idx="62">
                  <c:v>220.08562900000001</c:v>
                </c:pt>
                <c:pt idx="63">
                  <c:v>284.59272499999997</c:v>
                </c:pt>
                <c:pt idx="64">
                  <c:v>351.33798899999999</c:v>
                </c:pt>
                <c:pt idx="65">
                  <c:v>268.98066799999998</c:v>
                </c:pt>
                <c:pt idx="66">
                  <c:v>258.34662300000002</c:v>
                </c:pt>
                <c:pt idx="67">
                  <c:v>333.13404100000002</c:v>
                </c:pt>
                <c:pt idx="68">
                  <c:v>413.23882800000001</c:v>
                </c:pt>
                <c:pt idx="69">
                  <c:v>148.374382</c:v>
                </c:pt>
                <c:pt idx="70">
                  <c:v>190.55282500000001</c:v>
                </c:pt>
                <c:pt idx="71">
                  <c:v>242.890016</c:v>
                </c:pt>
                <c:pt idx="72">
                  <c:v>230.03091699999999</c:v>
                </c:pt>
                <c:pt idx="73">
                  <c:v>297.24807099999998</c:v>
                </c:pt>
                <c:pt idx="74">
                  <c:v>366.58099199999998</c:v>
                </c:pt>
                <c:pt idx="75">
                  <c:v>184.59710999999999</c:v>
                </c:pt>
                <c:pt idx="76">
                  <c:v>237.47529599999999</c:v>
                </c:pt>
                <c:pt idx="77">
                  <c:v>305.38752699999998</c:v>
                </c:pt>
                <c:pt idx="78">
                  <c:v>298.93420300000002</c:v>
                </c:pt>
                <c:pt idx="79">
                  <c:v>389.42391099999998</c:v>
                </c:pt>
                <c:pt idx="80">
                  <c:v>483.64984900000002</c:v>
                </c:pt>
                <c:pt idx="81">
                  <c:v>222.17059800000001</c:v>
                </c:pt>
                <c:pt idx="82">
                  <c:v>287.404382</c:v>
                </c:pt>
                <c:pt idx="83">
                  <c:v>372.68077199999999</c:v>
                </c:pt>
                <c:pt idx="84">
                  <c:v>373.11322899999999</c:v>
                </c:pt>
                <c:pt idx="85">
                  <c:v>175.81759199999999</c:v>
                </c:pt>
                <c:pt idx="86">
                  <c:v>225.88235</c:v>
                </c:pt>
                <c:pt idx="87">
                  <c:v>289.697138</c:v>
                </c:pt>
                <c:pt idx="88">
                  <c:v>281.30721199999999</c:v>
                </c:pt>
                <c:pt idx="89">
                  <c:v>218.22495599999999</c:v>
                </c:pt>
                <c:pt idx="90">
                  <c:v>282.10280399999999</c:v>
                </c:pt>
                <c:pt idx="91">
                  <c:v>364.621803</c:v>
                </c:pt>
                <c:pt idx="92">
                  <c:v>365.90974699999998</c:v>
                </c:pt>
                <c:pt idx="93">
                  <c:v>340.33077100000003</c:v>
                </c:pt>
                <c:pt idx="94">
                  <c:v>448.21660800000001</c:v>
                </c:pt>
                <c:pt idx="95">
                  <c:v>448.53223000000003</c:v>
                </c:pt>
                <c:pt idx="96">
                  <c:v>203.47421800000001</c:v>
                </c:pt>
                <c:pt idx="97">
                  <c:v>262.58121599999998</c:v>
                </c:pt>
                <c:pt idx="98">
                  <c:v>338.96146599999997</c:v>
                </c:pt>
                <c:pt idx="99">
                  <c:v>336.83582799999999</c:v>
                </c:pt>
                <c:pt idx="100">
                  <c:v>236.72224700000001</c:v>
                </c:pt>
                <c:pt idx="101">
                  <c:v>303.81769700000001</c:v>
                </c:pt>
                <c:pt idx="102">
                  <c:v>396.62906600000002</c:v>
                </c:pt>
                <c:pt idx="103">
                  <c:v>399.266502</c:v>
                </c:pt>
                <c:pt idx="104">
                  <c:v>351.04843099999999</c:v>
                </c:pt>
                <c:pt idx="105">
                  <c:v>462.36420099999998</c:v>
                </c:pt>
                <c:pt idx="106">
                  <c:v>464.20688200000001</c:v>
                </c:pt>
                <c:pt idx="107">
                  <c:v>191.17066299999999</c:v>
                </c:pt>
                <c:pt idx="108">
                  <c:v>249.90749600000001</c:v>
                </c:pt>
                <c:pt idx="109">
                  <c:v>313.63924100000003</c:v>
                </c:pt>
                <c:pt idx="110">
                  <c:v>283.301875</c:v>
                </c:pt>
                <c:pt idx="111">
                  <c:v>223.17193900000001</c:v>
                </c:pt>
                <c:pt idx="112">
                  <c:v>291.966793</c:v>
                </c:pt>
                <c:pt idx="113">
                  <c:v>366.42584299999999</c:v>
                </c:pt>
                <c:pt idx="114">
                  <c:v>339.94617699999998</c:v>
                </c:pt>
                <c:pt idx="115">
                  <c:v>255.09708000000001</c:v>
                </c:pt>
                <c:pt idx="116">
                  <c:v>336.202293</c:v>
                </c:pt>
                <c:pt idx="117">
                  <c:v>420.57215600000001</c:v>
                </c:pt>
                <c:pt idx="118">
                  <c:v>399.85910100000001</c:v>
                </c:pt>
                <c:pt idx="119">
                  <c:v>232.48712800000001</c:v>
                </c:pt>
                <c:pt idx="120">
                  <c:v>202.442035</c:v>
                </c:pt>
                <c:pt idx="121">
                  <c:v>251.89089200000001</c:v>
                </c:pt>
                <c:pt idx="122">
                  <c:v>231.61497</c:v>
                </c:pt>
                <c:pt idx="123">
                  <c:v>303.29086599999999</c:v>
                </c:pt>
                <c:pt idx="124">
                  <c:v>380.76697100000001</c:v>
                </c:pt>
                <c:pt idx="125">
                  <c:v>355.18328200000002</c:v>
                </c:pt>
                <c:pt idx="126">
                  <c:v>272.71803599999998</c:v>
                </c:pt>
                <c:pt idx="127">
                  <c:v>240.085544</c:v>
                </c:pt>
                <c:pt idx="128">
                  <c:v>298.62288599999999</c:v>
                </c:pt>
                <c:pt idx="129">
                  <c:v>289.07174800000001</c:v>
                </c:pt>
                <c:pt idx="130">
                  <c:v>382.054665</c:v>
                </c:pt>
                <c:pt idx="131">
                  <c:v>477.48343999999997</c:v>
                </c:pt>
                <c:pt idx="132">
                  <c:v>466.62869999999998</c:v>
                </c:pt>
                <c:pt idx="133">
                  <c:v>311.95950399999998</c:v>
                </c:pt>
                <c:pt idx="134">
                  <c:v>277.27513800000003</c:v>
                </c:pt>
                <c:pt idx="135">
                  <c:v>345.09265399999998</c:v>
                </c:pt>
                <c:pt idx="136">
                  <c:v>349.92025799999999</c:v>
                </c:pt>
                <c:pt idx="137">
                  <c:v>263.31739199999998</c:v>
                </c:pt>
                <c:pt idx="138">
                  <c:v>231.23671300000001</c:v>
                </c:pt>
                <c:pt idx="139">
                  <c:v>287.70864399999999</c:v>
                </c:pt>
                <c:pt idx="140">
                  <c:v>274.61727200000001</c:v>
                </c:pt>
                <c:pt idx="141">
                  <c:v>308.43057099999999</c:v>
                </c:pt>
                <c:pt idx="142">
                  <c:v>273.81008500000002</c:v>
                </c:pt>
                <c:pt idx="143">
                  <c:v>340.70602200000002</c:v>
                </c:pt>
                <c:pt idx="144">
                  <c:v>343.23237999999998</c:v>
                </c:pt>
                <c:pt idx="145">
                  <c:v>394.26108099999999</c:v>
                </c:pt>
                <c:pt idx="146">
                  <c:v>420.251938</c:v>
                </c:pt>
                <c:pt idx="147">
                  <c:v>293.76613600000002</c:v>
                </c:pt>
                <c:pt idx="148">
                  <c:v>259.80062299999997</c:v>
                </c:pt>
                <c:pt idx="149">
                  <c:v>323.172347</c:v>
                </c:pt>
                <c:pt idx="150">
                  <c:v>319.21847000000002</c:v>
                </c:pt>
                <c:pt idx="151">
                  <c:v>327.23129299999999</c:v>
                </c:pt>
                <c:pt idx="152">
                  <c:v>291.73029000000002</c:v>
                </c:pt>
                <c:pt idx="153">
                  <c:v>363.14312699999999</c:v>
                </c:pt>
                <c:pt idx="154">
                  <c:v>374.47267499999998</c:v>
                </c:pt>
                <c:pt idx="155">
                  <c:v>403.35512799999998</c:v>
                </c:pt>
                <c:pt idx="156">
                  <c:v>433.665278</c:v>
                </c:pt>
              </c:numCache>
            </c:numRef>
          </c:xVal>
          <c:yVal>
            <c:numRef>
              <c:f>HWFET!$F$2:$F$158</c:f>
              <c:numCache>
                <c:formatCode>General</c:formatCode>
                <c:ptCount val="157"/>
                <c:pt idx="0">
                  <c:v>128.04386969683432</c:v>
                </c:pt>
                <c:pt idx="1">
                  <c:v>164.26759217584589</c:v>
                </c:pt>
                <c:pt idx="2">
                  <c:v>163.35750623081654</c:v>
                </c:pt>
                <c:pt idx="3">
                  <c:v>210.89379798607195</c:v>
                </c:pt>
                <c:pt idx="4">
                  <c:v>202.32342055803119</c:v>
                </c:pt>
                <c:pt idx="5">
                  <c:v>261.17228158953043</c:v>
                </c:pt>
                <c:pt idx="6">
                  <c:v>154.63122956452509</c:v>
                </c:pt>
                <c:pt idx="7">
                  <c:v>199.51932431264299</c:v>
                </c:pt>
                <c:pt idx="8">
                  <c:v>197.99306503966673</c:v>
                </c:pt>
                <c:pt idx="9">
                  <c:v>255.80981038920618</c:v>
                </c:pt>
                <c:pt idx="10">
                  <c:v>316.87061848141985</c:v>
                </c:pt>
                <c:pt idx="11">
                  <c:v>183.17795160209664</c:v>
                </c:pt>
                <c:pt idx="12">
                  <c:v>236.73041861932097</c:v>
                </c:pt>
                <c:pt idx="13">
                  <c:v>217.28104696651633</c:v>
                </c:pt>
                <c:pt idx="14">
                  <c:v>280.53000193480682</c:v>
                </c:pt>
                <c:pt idx="15">
                  <c:v>327.01289138409606</c:v>
                </c:pt>
                <c:pt idx="16">
                  <c:v>160.53429394258927</c:v>
                </c:pt>
                <c:pt idx="17">
                  <c:v>195.36807085588896</c:v>
                </c:pt>
                <c:pt idx="18">
                  <c:v>191.87433219240594</c:v>
                </c:pt>
                <c:pt idx="19">
                  <c:v>234.78851573159409</c:v>
                </c:pt>
                <c:pt idx="20">
                  <c:v>224.40695094613523</c:v>
                </c:pt>
                <c:pt idx="21">
                  <c:v>275.40154111121177</c:v>
                </c:pt>
                <c:pt idx="22">
                  <c:v>160.15134137111568</c:v>
                </c:pt>
                <c:pt idx="23">
                  <c:v>146.16351552886624</c:v>
                </c:pt>
                <c:pt idx="24">
                  <c:v>200.42903791464826</c:v>
                </c:pt>
                <c:pt idx="25">
                  <c:v>245.54326842223202</c:v>
                </c:pt>
                <c:pt idx="26">
                  <c:v>161.52494229808127</c:v>
                </c:pt>
                <c:pt idx="27">
                  <c:v>198.81345001275696</c:v>
                </c:pt>
                <c:pt idx="28">
                  <c:v>187.13343670097038</c:v>
                </c:pt>
                <c:pt idx="29">
                  <c:v>258.36781300111812</c:v>
                </c:pt>
                <c:pt idx="30">
                  <c:v>317.62275510400661</c:v>
                </c:pt>
                <c:pt idx="31">
                  <c:v>195.35490177577216</c:v>
                </c:pt>
                <c:pt idx="32">
                  <c:v>241.12783644763073</c:v>
                </c:pt>
                <c:pt idx="33">
                  <c:v>231.75563566630697</c:v>
                </c:pt>
                <c:pt idx="34">
                  <c:v>319.95886588082044</c:v>
                </c:pt>
                <c:pt idx="35">
                  <c:v>393.3545195790137</c:v>
                </c:pt>
                <c:pt idx="36">
                  <c:v>189.3774041812907</c:v>
                </c:pt>
                <c:pt idx="37">
                  <c:v>177.08306153111019</c:v>
                </c:pt>
                <c:pt idx="38">
                  <c:v>244.34514232055179</c:v>
                </c:pt>
                <c:pt idx="39">
                  <c:v>300.28983816451841</c:v>
                </c:pt>
                <c:pt idx="40">
                  <c:v>191.56721701193968</c:v>
                </c:pt>
                <c:pt idx="41">
                  <c:v>236.56606492232845</c:v>
                </c:pt>
                <c:pt idx="42">
                  <c:v>226.90922230696262</c:v>
                </c:pt>
                <c:pt idx="43">
                  <c:v>313.56427899853645</c:v>
                </c:pt>
                <c:pt idx="44">
                  <c:v>385.66978809428008</c:v>
                </c:pt>
                <c:pt idx="45">
                  <c:v>387.55373769217164</c:v>
                </c:pt>
                <c:pt idx="46">
                  <c:v>475.82006003969218</c:v>
                </c:pt>
                <c:pt idx="47">
                  <c:v>220.56282916134654</c:v>
                </c:pt>
                <c:pt idx="48">
                  <c:v>209.96196970323496</c:v>
                </c:pt>
                <c:pt idx="49">
                  <c:v>290.2206088963361</c:v>
                </c:pt>
                <c:pt idx="50">
                  <c:v>356.9957700766858</c:v>
                </c:pt>
                <c:pt idx="51">
                  <c:v>257.53604347518831</c:v>
                </c:pt>
                <c:pt idx="52">
                  <c:v>248.91330904318775</c:v>
                </c:pt>
                <c:pt idx="53">
                  <c:v>343.71668016288805</c:v>
                </c:pt>
                <c:pt idx="54">
                  <c:v>422.61245128207042</c:v>
                </c:pt>
                <c:pt idx="55">
                  <c:v>399.89605756324346</c:v>
                </c:pt>
                <c:pt idx="56">
                  <c:v>490.9124386212585</c:v>
                </c:pt>
                <c:pt idx="57">
                  <c:v>201.90892007389527</c:v>
                </c:pt>
                <c:pt idx="58">
                  <c:v>181.44623697935828</c:v>
                </c:pt>
                <c:pt idx="59">
                  <c:v>237.0401573751671</c:v>
                </c:pt>
                <c:pt idx="60">
                  <c:v>292.38497081013907</c:v>
                </c:pt>
                <c:pt idx="61">
                  <c:v>236.7784522818377</c:v>
                </c:pt>
                <c:pt idx="62">
                  <c:v>217.63451920470803</c:v>
                </c:pt>
                <c:pt idx="63">
                  <c:v>286.15709020193833</c:v>
                </c:pt>
                <c:pt idx="64">
                  <c:v>354.43055423833181</c:v>
                </c:pt>
                <c:pt idx="65">
                  <c:v>272.84056499369268</c:v>
                </c:pt>
                <c:pt idx="66">
                  <c:v>255.01538193397039</c:v>
                </c:pt>
                <c:pt idx="67">
                  <c:v>336.46660353262223</c:v>
                </c:pt>
                <c:pt idx="68">
                  <c:v>417.66871817043722</c:v>
                </c:pt>
                <c:pt idx="69">
                  <c:v>145.75367982566522</c:v>
                </c:pt>
                <c:pt idx="70">
                  <c:v>188.92039146224081</c:v>
                </c:pt>
                <c:pt idx="71">
                  <c:v>246.35339964538809</c:v>
                </c:pt>
                <c:pt idx="72">
                  <c:v>227.50925310798772</c:v>
                </c:pt>
                <c:pt idx="73">
                  <c:v>299.55189925465106</c:v>
                </c:pt>
                <c:pt idx="74">
                  <c:v>371.34543844047755</c:v>
                </c:pt>
                <c:pt idx="75">
                  <c:v>180.17357498871505</c:v>
                </c:pt>
                <c:pt idx="76">
                  <c:v>236.066927061065</c:v>
                </c:pt>
                <c:pt idx="77">
                  <c:v>310.46878915857798</c:v>
                </c:pt>
                <c:pt idx="78">
                  <c:v>293.93245515164045</c:v>
                </c:pt>
                <c:pt idx="79">
                  <c:v>388.60023985079147</c:v>
                </c:pt>
                <c:pt idx="80">
                  <c:v>483.01891758910557</c:v>
                </c:pt>
                <c:pt idx="81">
                  <c:v>218.24574794499736</c:v>
                </c:pt>
                <c:pt idx="82">
                  <c:v>286.86574045312159</c:v>
                </c:pt>
                <c:pt idx="83">
                  <c:v>378.2364564650004</c:v>
                </c:pt>
                <c:pt idx="84">
                  <c:v>364.00793498852568</c:v>
                </c:pt>
                <c:pt idx="85">
                  <c:v>171.73060303492534</c:v>
                </c:pt>
                <c:pt idx="86">
                  <c:v>224.64473347424561</c:v>
                </c:pt>
                <c:pt idx="87">
                  <c:v>295.0743000610525</c:v>
                </c:pt>
                <c:pt idx="88">
                  <c:v>277.92363671572105</c:v>
                </c:pt>
                <c:pt idx="89">
                  <c:v>214.07101980043004</c:v>
                </c:pt>
                <c:pt idx="90">
                  <c:v>281.52988216634958</c:v>
                </c:pt>
                <c:pt idx="91">
                  <c:v>371.3524246552887</c:v>
                </c:pt>
                <c:pt idx="92">
                  <c:v>356.8392613447719</c:v>
                </c:pt>
                <c:pt idx="93">
                  <c:v>343.18535287410396</c:v>
                </c:pt>
                <c:pt idx="94">
                  <c:v>452.40087126517534</c:v>
                </c:pt>
                <c:pt idx="95">
                  <c:v>440.52520798947319</c:v>
                </c:pt>
                <c:pt idx="96">
                  <c:v>199.66688841406628</c:v>
                </c:pt>
                <c:pt idx="97">
                  <c:v>262.32843765613131</c:v>
                </c:pt>
                <c:pt idx="98">
                  <c:v>345.75456264659772</c:v>
                </c:pt>
                <c:pt idx="99">
                  <c:v>330.29738249333514</c:v>
                </c:pt>
                <c:pt idx="100">
                  <c:v>233.00391974625825</c:v>
                </c:pt>
                <c:pt idx="101">
                  <c:v>306.57401793327267</c:v>
                </c:pt>
                <c:pt idx="102">
                  <c:v>404.54487485033832</c:v>
                </c:pt>
                <c:pt idx="103">
                  <c:v>391.06581972318679</c:v>
                </c:pt>
                <c:pt idx="104">
                  <c:v>353.50290434421748</c:v>
                </c:pt>
                <c:pt idx="105">
                  <c:v>466.01849318788237</c:v>
                </c:pt>
                <c:pt idx="106">
                  <c:v>454.51756308684179</c:v>
                </c:pt>
                <c:pt idx="107">
                  <c:v>186.89233463561209</c:v>
                </c:pt>
                <c:pt idx="108">
                  <c:v>246.86526127843095</c:v>
                </c:pt>
                <c:pt idx="109">
                  <c:v>306.58908096041296</c:v>
                </c:pt>
                <c:pt idx="110">
                  <c:v>278.57212122897454</c:v>
                </c:pt>
                <c:pt idx="111">
                  <c:v>218.52970419319917</c:v>
                </c:pt>
                <c:pt idx="112">
                  <c:v>291.43128143743951</c:v>
                </c:pt>
                <c:pt idx="113">
                  <c:v>364.08375172084305</c:v>
                </c:pt>
                <c:pt idx="114">
                  <c:v>337.38554200681193</c:v>
                </c:pt>
                <c:pt idx="115">
                  <c:v>251.35965425469877</c:v>
                </c:pt>
                <c:pt idx="116">
                  <c:v>337.18988210036065</c:v>
                </c:pt>
                <c:pt idx="117">
                  <c:v>422.7710029851857</c:v>
                </c:pt>
                <c:pt idx="118">
                  <c:v>397.39154328856193</c:v>
                </c:pt>
                <c:pt idx="119">
                  <c:v>240.69485067736042</c:v>
                </c:pt>
                <c:pt idx="120">
                  <c:v>206.01727809266927</c:v>
                </c:pt>
                <c:pt idx="121">
                  <c:v>249.51493284712021</c:v>
                </c:pt>
                <c:pt idx="122">
                  <c:v>227.22463276939129</c:v>
                </c:pt>
                <c:pt idx="123">
                  <c:v>303.6462851630647</c:v>
                </c:pt>
                <c:pt idx="124">
                  <c:v>379.81883059590126</c:v>
                </c:pt>
                <c:pt idx="125">
                  <c:v>353.42040742159941</c:v>
                </c:pt>
                <c:pt idx="126">
                  <c:v>274.48080362184635</c:v>
                </c:pt>
                <c:pt idx="127">
                  <c:v>239.17631672272751</c:v>
                </c:pt>
                <c:pt idx="128">
                  <c:v>293.98654075342228</c:v>
                </c:pt>
                <c:pt idx="129">
                  <c:v>285.68373764445931</c:v>
                </c:pt>
                <c:pt idx="130">
                  <c:v>384.73052859062034</c:v>
                </c:pt>
                <c:pt idx="131">
                  <c:v>483.52821257594456</c:v>
                </c:pt>
                <c:pt idx="132">
                  <c:v>459.43760193210551</c:v>
                </c:pt>
                <c:pt idx="133">
                  <c:v>311.91903435956476</c:v>
                </c:pt>
                <c:pt idx="134">
                  <c:v>275.9876331460182</c:v>
                </c:pt>
                <c:pt idx="135">
                  <c:v>342.1104264529568</c:v>
                </c:pt>
                <c:pt idx="136">
                  <c:v>347.79512031275971</c:v>
                </c:pt>
                <c:pt idx="137">
                  <c:v>266.43355809444876</c:v>
                </c:pt>
                <c:pt idx="138">
                  <c:v>231.20516343115625</c:v>
                </c:pt>
                <c:pt idx="139">
                  <c:v>283.36719045471358</c:v>
                </c:pt>
                <c:pt idx="140">
                  <c:v>271.61334705050251</c:v>
                </c:pt>
                <c:pt idx="141">
                  <c:v>308.04946946730894</c:v>
                </c:pt>
                <c:pt idx="142">
                  <c:v>272.10460130181332</c:v>
                </c:pt>
                <c:pt idx="143">
                  <c:v>337.19527892679218</c:v>
                </c:pt>
                <c:pt idx="144">
                  <c:v>341.4271463440279</c:v>
                </c:pt>
                <c:pt idx="145">
                  <c:v>395.79368941452128</c:v>
                </c:pt>
                <c:pt idx="146">
                  <c:v>416.01126765320379</c:v>
                </c:pt>
                <c:pt idx="147">
                  <c:v>294.13162768141785</c:v>
                </c:pt>
                <c:pt idx="148">
                  <c:v>258.35241093952402</c:v>
                </c:pt>
                <c:pt idx="149">
                  <c:v>319.17881023218774</c:v>
                </c:pt>
                <c:pt idx="150">
                  <c:v>317.96142350149455</c:v>
                </c:pt>
                <c:pt idx="151">
                  <c:v>326.92527996912645</c:v>
                </c:pt>
                <c:pt idx="152">
                  <c:v>290.60870810058032</c:v>
                </c:pt>
                <c:pt idx="153">
                  <c:v>361.1315953443102</c:v>
                </c:pt>
                <c:pt idx="154">
                  <c:v>371.90349172970201</c:v>
                </c:pt>
                <c:pt idx="155">
                  <c:v>405.76768659023594</c:v>
                </c:pt>
                <c:pt idx="156">
                  <c:v>428.52886609171293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B-4EB8-9A79-FDC30C030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0143696"/>
        <c:axId val="1450136624"/>
      </c:scatterChart>
      <c:valAx>
        <c:axId val="1450143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ALPHA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0136624"/>
        <c:crosses val="autoZero"/>
        <c:crossBetween val="midCat"/>
      </c:valAx>
      <c:valAx>
        <c:axId val="145013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RSE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0143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HWFET!$F$1</c:f>
              <c:strCache>
                <c:ptCount val="1"/>
                <c:pt idx="0">
                  <c:v>CO2-RSE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HWFET!$E$2:$E$158</c:f>
              <c:numCache>
                <c:formatCode>General</c:formatCode>
                <c:ptCount val="157"/>
                <c:pt idx="0">
                  <c:v>128.52475200000001</c:v>
                </c:pt>
                <c:pt idx="1">
                  <c:v>161.75057899999999</c:v>
                </c:pt>
                <c:pt idx="2">
                  <c:v>164.28067100000001</c:v>
                </c:pt>
                <c:pt idx="3">
                  <c:v>208.438524</c:v>
                </c:pt>
                <c:pt idx="4">
                  <c:v>200.94833800000001</c:v>
                </c:pt>
                <c:pt idx="5">
                  <c:v>259.045886</c:v>
                </c:pt>
                <c:pt idx="6">
                  <c:v>155.65169900000001</c:v>
                </c:pt>
                <c:pt idx="7">
                  <c:v>197.131067</c:v>
                </c:pt>
                <c:pt idx="8">
                  <c:v>197.384783</c:v>
                </c:pt>
                <c:pt idx="9">
                  <c:v>253.560078</c:v>
                </c:pt>
                <c:pt idx="10">
                  <c:v>311.494371</c:v>
                </c:pt>
                <c:pt idx="11">
                  <c:v>183.58108899999999</c:v>
                </c:pt>
                <c:pt idx="12">
                  <c:v>233.16001199999999</c:v>
                </c:pt>
                <c:pt idx="13">
                  <c:v>214.829702</c:v>
                </c:pt>
                <c:pt idx="14">
                  <c:v>278.19412899999998</c:v>
                </c:pt>
                <c:pt idx="15">
                  <c:v>321.33183000000002</c:v>
                </c:pt>
                <c:pt idx="16">
                  <c:v>158.25915900000001</c:v>
                </c:pt>
                <c:pt idx="17">
                  <c:v>192.04311200000001</c:v>
                </c:pt>
                <c:pt idx="18">
                  <c:v>189.88665700000001</c:v>
                </c:pt>
                <c:pt idx="19">
                  <c:v>230.41570100000001</c:v>
                </c:pt>
                <c:pt idx="20">
                  <c:v>222.90867299999999</c:v>
                </c:pt>
                <c:pt idx="21">
                  <c:v>270.066192</c:v>
                </c:pt>
                <c:pt idx="22">
                  <c:v>157.34275500000001</c:v>
                </c:pt>
                <c:pt idx="23">
                  <c:v>148.020883</c:v>
                </c:pt>
                <c:pt idx="24">
                  <c:v>198.56678400000001</c:v>
                </c:pt>
                <c:pt idx="25">
                  <c:v>240.79606100000001</c:v>
                </c:pt>
                <c:pt idx="26">
                  <c:v>160.820548</c:v>
                </c:pt>
                <c:pt idx="27">
                  <c:v>196.48507000000001</c:v>
                </c:pt>
                <c:pt idx="28">
                  <c:v>189.91580400000001</c:v>
                </c:pt>
                <c:pt idx="29">
                  <c:v>257.73246699999999</c:v>
                </c:pt>
                <c:pt idx="30">
                  <c:v>312.44264800000002</c:v>
                </c:pt>
                <c:pt idx="31">
                  <c:v>193.70886400000001</c:v>
                </c:pt>
                <c:pt idx="32">
                  <c:v>235.697835</c:v>
                </c:pt>
                <c:pt idx="33">
                  <c:v>233.27391700000001</c:v>
                </c:pt>
                <c:pt idx="34">
                  <c:v>321.85017800000003</c:v>
                </c:pt>
                <c:pt idx="35">
                  <c:v>393.99063799999999</c:v>
                </c:pt>
                <c:pt idx="36">
                  <c:v>186.875641</c:v>
                </c:pt>
                <c:pt idx="37">
                  <c:v>179.895769</c:v>
                </c:pt>
                <c:pt idx="38">
                  <c:v>242.711502</c:v>
                </c:pt>
                <c:pt idx="39">
                  <c:v>294.17684000000003</c:v>
                </c:pt>
                <c:pt idx="40">
                  <c:v>190.28824</c:v>
                </c:pt>
                <c:pt idx="41">
                  <c:v>231.48772199999999</c:v>
                </c:pt>
                <c:pt idx="42">
                  <c:v>228.48577499999999</c:v>
                </c:pt>
                <c:pt idx="43">
                  <c:v>315.34296699999999</c:v>
                </c:pt>
                <c:pt idx="44">
                  <c:v>386.111582</c:v>
                </c:pt>
                <c:pt idx="45">
                  <c:v>387.09198500000002</c:v>
                </c:pt>
                <c:pt idx="46">
                  <c:v>472.67393099999998</c:v>
                </c:pt>
                <c:pt idx="47">
                  <c:v>215.77653699999999</c:v>
                </c:pt>
                <c:pt idx="48">
                  <c:v>211.91898699999999</c:v>
                </c:pt>
                <c:pt idx="49">
                  <c:v>290.28416099999998</c:v>
                </c:pt>
                <c:pt idx="50">
                  <c:v>354.91474099999999</c:v>
                </c:pt>
                <c:pt idx="51">
                  <c:v>251.411978</c:v>
                </c:pt>
                <c:pt idx="52">
                  <c:v>250.85161199999999</c:v>
                </c:pt>
                <c:pt idx="53">
                  <c:v>346.19007399999998</c:v>
                </c:pt>
                <c:pt idx="54">
                  <c:v>421.666495</c:v>
                </c:pt>
                <c:pt idx="55">
                  <c:v>400.43692099999998</c:v>
                </c:pt>
                <c:pt idx="56">
                  <c:v>487.00021199999998</c:v>
                </c:pt>
                <c:pt idx="57">
                  <c:v>200.899449</c:v>
                </c:pt>
                <c:pt idx="58">
                  <c:v>183.54877500000001</c:v>
                </c:pt>
                <c:pt idx="59">
                  <c:v>236.92917600000001</c:v>
                </c:pt>
                <c:pt idx="60">
                  <c:v>291.93699500000002</c:v>
                </c:pt>
                <c:pt idx="61">
                  <c:v>234.46603300000001</c:v>
                </c:pt>
                <c:pt idx="62">
                  <c:v>220.08562900000001</c:v>
                </c:pt>
                <c:pt idx="63">
                  <c:v>284.59272499999997</c:v>
                </c:pt>
                <c:pt idx="64">
                  <c:v>351.33798899999999</c:v>
                </c:pt>
                <c:pt idx="65">
                  <c:v>268.98066799999998</c:v>
                </c:pt>
                <c:pt idx="66">
                  <c:v>258.34662300000002</c:v>
                </c:pt>
                <c:pt idx="67">
                  <c:v>333.13404100000002</c:v>
                </c:pt>
                <c:pt idx="68">
                  <c:v>413.23882800000001</c:v>
                </c:pt>
                <c:pt idx="69">
                  <c:v>148.374382</c:v>
                </c:pt>
                <c:pt idx="70">
                  <c:v>190.55282500000001</c:v>
                </c:pt>
                <c:pt idx="71">
                  <c:v>242.890016</c:v>
                </c:pt>
                <c:pt idx="72">
                  <c:v>230.03091699999999</c:v>
                </c:pt>
                <c:pt idx="73">
                  <c:v>297.24807099999998</c:v>
                </c:pt>
                <c:pt idx="74">
                  <c:v>366.58099199999998</c:v>
                </c:pt>
                <c:pt idx="75">
                  <c:v>184.59710999999999</c:v>
                </c:pt>
                <c:pt idx="76">
                  <c:v>237.47529599999999</c:v>
                </c:pt>
                <c:pt idx="77">
                  <c:v>305.38752699999998</c:v>
                </c:pt>
                <c:pt idx="78">
                  <c:v>298.93420300000002</c:v>
                </c:pt>
                <c:pt idx="79">
                  <c:v>389.42391099999998</c:v>
                </c:pt>
                <c:pt idx="80">
                  <c:v>483.64984900000002</c:v>
                </c:pt>
                <c:pt idx="81">
                  <c:v>222.17059800000001</c:v>
                </c:pt>
                <c:pt idx="82">
                  <c:v>287.404382</c:v>
                </c:pt>
                <c:pt idx="83">
                  <c:v>372.68077199999999</c:v>
                </c:pt>
                <c:pt idx="84">
                  <c:v>373.11322899999999</c:v>
                </c:pt>
                <c:pt idx="85">
                  <c:v>175.81759199999999</c:v>
                </c:pt>
                <c:pt idx="86">
                  <c:v>225.88235</c:v>
                </c:pt>
                <c:pt idx="87">
                  <c:v>289.697138</c:v>
                </c:pt>
                <c:pt idx="88">
                  <c:v>281.30721199999999</c:v>
                </c:pt>
                <c:pt idx="89">
                  <c:v>218.22495599999999</c:v>
                </c:pt>
                <c:pt idx="90">
                  <c:v>282.10280399999999</c:v>
                </c:pt>
                <c:pt idx="91">
                  <c:v>364.621803</c:v>
                </c:pt>
                <c:pt idx="92">
                  <c:v>365.90974699999998</c:v>
                </c:pt>
                <c:pt idx="93">
                  <c:v>340.33077100000003</c:v>
                </c:pt>
                <c:pt idx="94">
                  <c:v>448.21660800000001</c:v>
                </c:pt>
                <c:pt idx="95">
                  <c:v>448.53223000000003</c:v>
                </c:pt>
                <c:pt idx="96">
                  <c:v>203.47421800000001</c:v>
                </c:pt>
                <c:pt idx="97">
                  <c:v>262.58121599999998</c:v>
                </c:pt>
                <c:pt idx="98">
                  <c:v>338.96146599999997</c:v>
                </c:pt>
                <c:pt idx="99">
                  <c:v>336.83582799999999</c:v>
                </c:pt>
                <c:pt idx="100">
                  <c:v>236.72224700000001</c:v>
                </c:pt>
                <c:pt idx="101">
                  <c:v>303.81769700000001</c:v>
                </c:pt>
                <c:pt idx="102">
                  <c:v>396.62906600000002</c:v>
                </c:pt>
                <c:pt idx="103">
                  <c:v>399.266502</c:v>
                </c:pt>
                <c:pt idx="104">
                  <c:v>351.04843099999999</c:v>
                </c:pt>
                <c:pt idx="105">
                  <c:v>462.36420099999998</c:v>
                </c:pt>
                <c:pt idx="106">
                  <c:v>464.20688200000001</c:v>
                </c:pt>
                <c:pt idx="107">
                  <c:v>191.17066299999999</c:v>
                </c:pt>
                <c:pt idx="108">
                  <c:v>249.90749600000001</c:v>
                </c:pt>
                <c:pt idx="109">
                  <c:v>313.63924100000003</c:v>
                </c:pt>
                <c:pt idx="110">
                  <c:v>283.301875</c:v>
                </c:pt>
                <c:pt idx="111">
                  <c:v>223.17193900000001</c:v>
                </c:pt>
                <c:pt idx="112">
                  <c:v>291.966793</c:v>
                </c:pt>
                <c:pt idx="113">
                  <c:v>366.42584299999999</c:v>
                </c:pt>
                <c:pt idx="114">
                  <c:v>339.94617699999998</c:v>
                </c:pt>
                <c:pt idx="115">
                  <c:v>255.09708000000001</c:v>
                </c:pt>
                <c:pt idx="116">
                  <c:v>336.202293</c:v>
                </c:pt>
                <c:pt idx="117">
                  <c:v>420.57215600000001</c:v>
                </c:pt>
                <c:pt idx="118">
                  <c:v>399.85910100000001</c:v>
                </c:pt>
                <c:pt idx="119">
                  <c:v>232.48712800000001</c:v>
                </c:pt>
                <c:pt idx="120">
                  <c:v>202.442035</c:v>
                </c:pt>
                <c:pt idx="121">
                  <c:v>251.89089200000001</c:v>
                </c:pt>
                <c:pt idx="122">
                  <c:v>231.61497</c:v>
                </c:pt>
                <c:pt idx="123">
                  <c:v>303.29086599999999</c:v>
                </c:pt>
                <c:pt idx="124">
                  <c:v>380.76697100000001</c:v>
                </c:pt>
                <c:pt idx="125">
                  <c:v>355.18328200000002</c:v>
                </c:pt>
                <c:pt idx="126">
                  <c:v>272.71803599999998</c:v>
                </c:pt>
                <c:pt idx="127">
                  <c:v>240.085544</c:v>
                </c:pt>
                <c:pt idx="128">
                  <c:v>298.62288599999999</c:v>
                </c:pt>
                <c:pt idx="129">
                  <c:v>289.07174800000001</c:v>
                </c:pt>
                <c:pt idx="130">
                  <c:v>382.054665</c:v>
                </c:pt>
                <c:pt idx="131">
                  <c:v>477.48343999999997</c:v>
                </c:pt>
                <c:pt idx="132">
                  <c:v>466.62869999999998</c:v>
                </c:pt>
                <c:pt idx="133">
                  <c:v>311.95950399999998</c:v>
                </c:pt>
                <c:pt idx="134">
                  <c:v>277.27513800000003</c:v>
                </c:pt>
                <c:pt idx="135">
                  <c:v>345.09265399999998</c:v>
                </c:pt>
                <c:pt idx="136">
                  <c:v>349.92025799999999</c:v>
                </c:pt>
                <c:pt idx="137">
                  <c:v>263.31739199999998</c:v>
                </c:pt>
                <c:pt idx="138">
                  <c:v>231.23671300000001</c:v>
                </c:pt>
                <c:pt idx="139">
                  <c:v>287.70864399999999</c:v>
                </c:pt>
                <c:pt idx="140">
                  <c:v>274.61727200000001</c:v>
                </c:pt>
                <c:pt idx="141">
                  <c:v>308.43057099999999</c:v>
                </c:pt>
                <c:pt idx="142">
                  <c:v>273.81008500000002</c:v>
                </c:pt>
                <c:pt idx="143">
                  <c:v>340.70602200000002</c:v>
                </c:pt>
                <c:pt idx="144">
                  <c:v>343.23237999999998</c:v>
                </c:pt>
                <c:pt idx="145">
                  <c:v>394.26108099999999</c:v>
                </c:pt>
                <c:pt idx="146">
                  <c:v>420.251938</c:v>
                </c:pt>
                <c:pt idx="147">
                  <c:v>293.76613600000002</c:v>
                </c:pt>
                <c:pt idx="148">
                  <c:v>259.80062299999997</c:v>
                </c:pt>
                <c:pt idx="149">
                  <c:v>323.172347</c:v>
                </c:pt>
                <c:pt idx="150">
                  <c:v>319.21847000000002</c:v>
                </c:pt>
                <c:pt idx="151">
                  <c:v>327.23129299999999</c:v>
                </c:pt>
                <c:pt idx="152">
                  <c:v>291.73029000000002</c:v>
                </c:pt>
                <c:pt idx="153">
                  <c:v>363.14312699999999</c:v>
                </c:pt>
                <c:pt idx="154">
                  <c:v>374.47267499999998</c:v>
                </c:pt>
                <c:pt idx="155">
                  <c:v>403.35512799999998</c:v>
                </c:pt>
                <c:pt idx="156">
                  <c:v>433.665278</c:v>
                </c:pt>
              </c:numCache>
            </c:numRef>
          </c:xVal>
          <c:yVal>
            <c:numRef>
              <c:f>HWFET!$F$2:$F$158</c:f>
              <c:numCache>
                <c:formatCode>General</c:formatCode>
                <c:ptCount val="157"/>
                <c:pt idx="0">
                  <c:v>128.04386969683432</c:v>
                </c:pt>
                <c:pt idx="1">
                  <c:v>164.26759217584589</c:v>
                </c:pt>
                <c:pt idx="2">
                  <c:v>163.35750623081654</c:v>
                </c:pt>
                <c:pt idx="3">
                  <c:v>210.89379798607195</c:v>
                </c:pt>
                <c:pt idx="4">
                  <c:v>202.32342055803119</c:v>
                </c:pt>
                <c:pt idx="5">
                  <c:v>261.17228158953043</c:v>
                </c:pt>
                <c:pt idx="6">
                  <c:v>154.63122956452509</c:v>
                </c:pt>
                <c:pt idx="7">
                  <c:v>199.51932431264299</c:v>
                </c:pt>
                <c:pt idx="8">
                  <c:v>197.99306503966673</c:v>
                </c:pt>
                <c:pt idx="9">
                  <c:v>255.80981038920618</c:v>
                </c:pt>
                <c:pt idx="10">
                  <c:v>316.87061848141985</c:v>
                </c:pt>
                <c:pt idx="11">
                  <c:v>183.17795160209664</c:v>
                </c:pt>
                <c:pt idx="12">
                  <c:v>236.73041861932097</c:v>
                </c:pt>
                <c:pt idx="13">
                  <c:v>217.28104696651633</c:v>
                </c:pt>
                <c:pt idx="14">
                  <c:v>280.53000193480682</c:v>
                </c:pt>
                <c:pt idx="15">
                  <c:v>327.01289138409606</c:v>
                </c:pt>
                <c:pt idx="16">
                  <c:v>160.53429394258927</c:v>
                </c:pt>
                <c:pt idx="17">
                  <c:v>195.36807085588896</c:v>
                </c:pt>
                <c:pt idx="18">
                  <c:v>191.87433219240594</c:v>
                </c:pt>
                <c:pt idx="19">
                  <c:v>234.78851573159409</c:v>
                </c:pt>
                <c:pt idx="20">
                  <c:v>224.40695094613523</c:v>
                </c:pt>
                <c:pt idx="21">
                  <c:v>275.40154111121177</c:v>
                </c:pt>
                <c:pt idx="22">
                  <c:v>160.15134137111568</c:v>
                </c:pt>
                <c:pt idx="23">
                  <c:v>146.16351552886624</c:v>
                </c:pt>
                <c:pt idx="24">
                  <c:v>200.42903791464826</c:v>
                </c:pt>
                <c:pt idx="25">
                  <c:v>245.54326842223202</c:v>
                </c:pt>
                <c:pt idx="26">
                  <c:v>161.52494229808127</c:v>
                </c:pt>
                <c:pt idx="27">
                  <c:v>198.81345001275696</c:v>
                </c:pt>
                <c:pt idx="28">
                  <c:v>187.13343670097038</c:v>
                </c:pt>
                <c:pt idx="29">
                  <c:v>258.36781300111812</c:v>
                </c:pt>
                <c:pt idx="30">
                  <c:v>317.62275510400661</c:v>
                </c:pt>
                <c:pt idx="31">
                  <c:v>195.35490177577216</c:v>
                </c:pt>
                <c:pt idx="32">
                  <c:v>241.12783644763073</c:v>
                </c:pt>
                <c:pt idx="33">
                  <c:v>231.75563566630697</c:v>
                </c:pt>
                <c:pt idx="34">
                  <c:v>319.95886588082044</c:v>
                </c:pt>
                <c:pt idx="35">
                  <c:v>393.3545195790137</c:v>
                </c:pt>
                <c:pt idx="36">
                  <c:v>189.3774041812907</c:v>
                </c:pt>
                <c:pt idx="37">
                  <c:v>177.08306153111019</c:v>
                </c:pt>
                <c:pt idx="38">
                  <c:v>244.34514232055179</c:v>
                </c:pt>
                <c:pt idx="39">
                  <c:v>300.28983816451841</c:v>
                </c:pt>
                <c:pt idx="40">
                  <c:v>191.56721701193968</c:v>
                </c:pt>
                <c:pt idx="41">
                  <c:v>236.56606492232845</c:v>
                </c:pt>
                <c:pt idx="42">
                  <c:v>226.90922230696262</c:v>
                </c:pt>
                <c:pt idx="43">
                  <c:v>313.56427899853645</c:v>
                </c:pt>
                <c:pt idx="44">
                  <c:v>385.66978809428008</c:v>
                </c:pt>
                <c:pt idx="45">
                  <c:v>387.55373769217164</c:v>
                </c:pt>
                <c:pt idx="46">
                  <c:v>475.82006003969218</c:v>
                </c:pt>
                <c:pt idx="47">
                  <c:v>220.56282916134654</c:v>
                </c:pt>
                <c:pt idx="48">
                  <c:v>209.96196970323496</c:v>
                </c:pt>
                <c:pt idx="49">
                  <c:v>290.2206088963361</c:v>
                </c:pt>
                <c:pt idx="50">
                  <c:v>356.9957700766858</c:v>
                </c:pt>
                <c:pt idx="51">
                  <c:v>257.53604347518831</c:v>
                </c:pt>
                <c:pt idx="52">
                  <c:v>248.91330904318775</c:v>
                </c:pt>
                <c:pt idx="53">
                  <c:v>343.71668016288805</c:v>
                </c:pt>
                <c:pt idx="54">
                  <c:v>422.61245128207042</c:v>
                </c:pt>
                <c:pt idx="55">
                  <c:v>399.89605756324346</c:v>
                </c:pt>
                <c:pt idx="56">
                  <c:v>490.9124386212585</c:v>
                </c:pt>
                <c:pt idx="57">
                  <c:v>201.90892007389527</c:v>
                </c:pt>
                <c:pt idx="58">
                  <c:v>181.44623697935828</c:v>
                </c:pt>
                <c:pt idx="59">
                  <c:v>237.0401573751671</c:v>
                </c:pt>
                <c:pt idx="60">
                  <c:v>292.38497081013907</c:v>
                </c:pt>
                <c:pt idx="61">
                  <c:v>236.7784522818377</c:v>
                </c:pt>
                <c:pt idx="62">
                  <c:v>217.63451920470803</c:v>
                </c:pt>
                <c:pt idx="63">
                  <c:v>286.15709020193833</c:v>
                </c:pt>
                <c:pt idx="64">
                  <c:v>354.43055423833181</c:v>
                </c:pt>
                <c:pt idx="65">
                  <c:v>272.84056499369268</c:v>
                </c:pt>
                <c:pt idx="66">
                  <c:v>255.01538193397039</c:v>
                </c:pt>
                <c:pt idx="67">
                  <c:v>336.46660353262223</c:v>
                </c:pt>
                <c:pt idx="68">
                  <c:v>417.66871817043722</c:v>
                </c:pt>
                <c:pt idx="69">
                  <c:v>145.75367982566522</c:v>
                </c:pt>
                <c:pt idx="70">
                  <c:v>188.92039146224081</c:v>
                </c:pt>
                <c:pt idx="71">
                  <c:v>246.35339964538809</c:v>
                </c:pt>
                <c:pt idx="72">
                  <c:v>227.50925310798772</c:v>
                </c:pt>
                <c:pt idx="73">
                  <c:v>299.55189925465106</c:v>
                </c:pt>
                <c:pt idx="74">
                  <c:v>371.34543844047755</c:v>
                </c:pt>
                <c:pt idx="75">
                  <c:v>180.17357498871505</c:v>
                </c:pt>
                <c:pt idx="76">
                  <c:v>236.066927061065</c:v>
                </c:pt>
                <c:pt idx="77">
                  <c:v>310.46878915857798</c:v>
                </c:pt>
                <c:pt idx="78">
                  <c:v>293.93245515164045</c:v>
                </c:pt>
                <c:pt idx="79">
                  <c:v>388.60023985079147</c:v>
                </c:pt>
                <c:pt idx="80">
                  <c:v>483.01891758910557</c:v>
                </c:pt>
                <c:pt idx="81">
                  <c:v>218.24574794499736</c:v>
                </c:pt>
                <c:pt idx="82">
                  <c:v>286.86574045312159</c:v>
                </c:pt>
                <c:pt idx="83">
                  <c:v>378.2364564650004</c:v>
                </c:pt>
                <c:pt idx="84">
                  <c:v>364.00793498852568</c:v>
                </c:pt>
                <c:pt idx="85">
                  <c:v>171.73060303492534</c:v>
                </c:pt>
                <c:pt idx="86">
                  <c:v>224.64473347424561</c:v>
                </c:pt>
                <c:pt idx="87">
                  <c:v>295.0743000610525</c:v>
                </c:pt>
                <c:pt idx="88">
                  <c:v>277.92363671572105</c:v>
                </c:pt>
                <c:pt idx="89">
                  <c:v>214.07101980043004</c:v>
                </c:pt>
                <c:pt idx="90">
                  <c:v>281.52988216634958</c:v>
                </c:pt>
                <c:pt idx="91">
                  <c:v>371.3524246552887</c:v>
                </c:pt>
                <c:pt idx="92">
                  <c:v>356.8392613447719</c:v>
                </c:pt>
                <c:pt idx="93">
                  <c:v>343.18535287410396</c:v>
                </c:pt>
                <c:pt idx="94">
                  <c:v>452.40087126517534</c:v>
                </c:pt>
                <c:pt idx="95">
                  <c:v>440.52520798947319</c:v>
                </c:pt>
                <c:pt idx="96">
                  <c:v>199.66688841406628</c:v>
                </c:pt>
                <c:pt idx="97">
                  <c:v>262.32843765613131</c:v>
                </c:pt>
                <c:pt idx="98">
                  <c:v>345.75456264659772</c:v>
                </c:pt>
                <c:pt idx="99">
                  <c:v>330.29738249333514</c:v>
                </c:pt>
                <c:pt idx="100">
                  <c:v>233.00391974625825</c:v>
                </c:pt>
                <c:pt idx="101">
                  <c:v>306.57401793327267</c:v>
                </c:pt>
                <c:pt idx="102">
                  <c:v>404.54487485033832</c:v>
                </c:pt>
                <c:pt idx="103">
                  <c:v>391.06581972318679</c:v>
                </c:pt>
                <c:pt idx="104">
                  <c:v>353.50290434421748</c:v>
                </c:pt>
                <c:pt idx="105">
                  <c:v>466.01849318788237</c:v>
                </c:pt>
                <c:pt idx="106">
                  <c:v>454.51756308684179</c:v>
                </c:pt>
                <c:pt idx="107">
                  <c:v>186.89233463561209</c:v>
                </c:pt>
                <c:pt idx="108">
                  <c:v>246.86526127843095</c:v>
                </c:pt>
                <c:pt idx="109">
                  <c:v>306.58908096041296</c:v>
                </c:pt>
                <c:pt idx="110">
                  <c:v>278.57212122897454</c:v>
                </c:pt>
                <c:pt idx="111">
                  <c:v>218.52970419319917</c:v>
                </c:pt>
                <c:pt idx="112">
                  <c:v>291.43128143743951</c:v>
                </c:pt>
                <c:pt idx="113">
                  <c:v>364.08375172084305</c:v>
                </c:pt>
                <c:pt idx="114">
                  <c:v>337.38554200681193</c:v>
                </c:pt>
                <c:pt idx="115">
                  <c:v>251.35965425469877</c:v>
                </c:pt>
                <c:pt idx="116">
                  <c:v>337.18988210036065</c:v>
                </c:pt>
                <c:pt idx="117">
                  <c:v>422.7710029851857</c:v>
                </c:pt>
                <c:pt idx="118">
                  <c:v>397.39154328856193</c:v>
                </c:pt>
                <c:pt idx="119">
                  <c:v>240.69485067736042</c:v>
                </c:pt>
                <c:pt idx="120">
                  <c:v>206.01727809266927</c:v>
                </c:pt>
                <c:pt idx="121">
                  <c:v>249.51493284712021</c:v>
                </c:pt>
                <c:pt idx="122">
                  <c:v>227.22463276939129</c:v>
                </c:pt>
                <c:pt idx="123">
                  <c:v>303.6462851630647</c:v>
                </c:pt>
                <c:pt idx="124">
                  <c:v>379.81883059590126</c:v>
                </c:pt>
                <c:pt idx="125">
                  <c:v>353.42040742159941</c:v>
                </c:pt>
                <c:pt idx="126">
                  <c:v>274.48080362184635</c:v>
                </c:pt>
                <c:pt idx="127">
                  <c:v>239.17631672272751</c:v>
                </c:pt>
                <c:pt idx="128">
                  <c:v>293.98654075342228</c:v>
                </c:pt>
                <c:pt idx="129">
                  <c:v>285.68373764445931</c:v>
                </c:pt>
                <c:pt idx="130">
                  <c:v>384.73052859062034</c:v>
                </c:pt>
                <c:pt idx="131">
                  <c:v>483.52821257594456</c:v>
                </c:pt>
                <c:pt idx="132">
                  <c:v>459.43760193210551</c:v>
                </c:pt>
                <c:pt idx="133">
                  <c:v>311.91903435956476</c:v>
                </c:pt>
                <c:pt idx="134">
                  <c:v>275.9876331460182</c:v>
                </c:pt>
                <c:pt idx="135">
                  <c:v>342.1104264529568</c:v>
                </c:pt>
                <c:pt idx="136">
                  <c:v>347.79512031275971</c:v>
                </c:pt>
                <c:pt idx="137">
                  <c:v>266.43355809444876</c:v>
                </c:pt>
                <c:pt idx="138">
                  <c:v>231.20516343115625</c:v>
                </c:pt>
                <c:pt idx="139">
                  <c:v>283.36719045471358</c:v>
                </c:pt>
                <c:pt idx="140">
                  <c:v>271.61334705050251</c:v>
                </c:pt>
                <c:pt idx="141">
                  <c:v>308.04946946730894</c:v>
                </c:pt>
                <c:pt idx="142">
                  <c:v>272.10460130181332</c:v>
                </c:pt>
                <c:pt idx="143">
                  <c:v>337.19527892679218</c:v>
                </c:pt>
                <c:pt idx="144">
                  <c:v>341.4271463440279</c:v>
                </c:pt>
                <c:pt idx="145">
                  <c:v>395.79368941452128</c:v>
                </c:pt>
                <c:pt idx="146">
                  <c:v>416.01126765320379</c:v>
                </c:pt>
                <c:pt idx="147">
                  <c:v>294.13162768141785</c:v>
                </c:pt>
                <c:pt idx="148">
                  <c:v>258.35241093952402</c:v>
                </c:pt>
                <c:pt idx="149">
                  <c:v>319.17881023218774</c:v>
                </c:pt>
                <c:pt idx="150">
                  <c:v>317.96142350149455</c:v>
                </c:pt>
                <c:pt idx="151">
                  <c:v>326.92527996912645</c:v>
                </c:pt>
                <c:pt idx="152">
                  <c:v>290.60870810058032</c:v>
                </c:pt>
                <c:pt idx="153">
                  <c:v>361.1315953443102</c:v>
                </c:pt>
                <c:pt idx="154">
                  <c:v>371.90349172970201</c:v>
                </c:pt>
                <c:pt idx="155">
                  <c:v>405.76768659023594</c:v>
                </c:pt>
                <c:pt idx="156">
                  <c:v>428.52886609171293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74-4895-94B5-34E7956AC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8068000"/>
        <c:axId val="1358068416"/>
      </c:scatterChart>
      <c:valAx>
        <c:axId val="1358068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ALPHA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8068416"/>
        <c:crosses val="autoZero"/>
        <c:crossBetween val="midCat"/>
      </c:valAx>
      <c:valAx>
        <c:axId val="1358068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RSE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8068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HWFET!$F$1</c:f>
              <c:strCache>
                <c:ptCount val="1"/>
                <c:pt idx="0">
                  <c:v>CO2-RSE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HWFET!$E$2:$E$158</c:f>
              <c:numCache>
                <c:formatCode>General</c:formatCode>
                <c:ptCount val="157"/>
                <c:pt idx="0">
                  <c:v>128.52475200000001</c:v>
                </c:pt>
                <c:pt idx="1">
                  <c:v>161.75057899999999</c:v>
                </c:pt>
                <c:pt idx="2">
                  <c:v>164.28067100000001</c:v>
                </c:pt>
                <c:pt idx="3">
                  <c:v>208.438524</c:v>
                </c:pt>
                <c:pt idx="4">
                  <c:v>200.94833800000001</c:v>
                </c:pt>
                <c:pt idx="5">
                  <c:v>259.045886</c:v>
                </c:pt>
                <c:pt idx="6">
                  <c:v>155.65169900000001</c:v>
                </c:pt>
                <c:pt idx="7">
                  <c:v>197.131067</c:v>
                </c:pt>
                <c:pt idx="8">
                  <c:v>197.384783</c:v>
                </c:pt>
                <c:pt idx="9">
                  <c:v>253.560078</c:v>
                </c:pt>
                <c:pt idx="10">
                  <c:v>311.494371</c:v>
                </c:pt>
                <c:pt idx="11">
                  <c:v>183.58108899999999</c:v>
                </c:pt>
                <c:pt idx="12">
                  <c:v>233.16001199999999</c:v>
                </c:pt>
                <c:pt idx="13">
                  <c:v>214.829702</c:v>
                </c:pt>
                <c:pt idx="14">
                  <c:v>278.19412899999998</c:v>
                </c:pt>
                <c:pt idx="15">
                  <c:v>321.33183000000002</c:v>
                </c:pt>
                <c:pt idx="16">
                  <c:v>158.25915900000001</c:v>
                </c:pt>
                <c:pt idx="17">
                  <c:v>192.04311200000001</c:v>
                </c:pt>
                <c:pt idx="18">
                  <c:v>189.88665700000001</c:v>
                </c:pt>
                <c:pt idx="19">
                  <c:v>230.41570100000001</c:v>
                </c:pt>
                <c:pt idx="20">
                  <c:v>222.90867299999999</c:v>
                </c:pt>
                <c:pt idx="21">
                  <c:v>270.066192</c:v>
                </c:pt>
                <c:pt idx="22">
                  <c:v>157.34275500000001</c:v>
                </c:pt>
                <c:pt idx="23">
                  <c:v>148.020883</c:v>
                </c:pt>
                <c:pt idx="24">
                  <c:v>198.56678400000001</c:v>
                </c:pt>
                <c:pt idx="25">
                  <c:v>240.79606100000001</c:v>
                </c:pt>
                <c:pt idx="26">
                  <c:v>160.820548</c:v>
                </c:pt>
                <c:pt idx="27">
                  <c:v>196.48507000000001</c:v>
                </c:pt>
                <c:pt idx="28">
                  <c:v>189.91580400000001</c:v>
                </c:pt>
                <c:pt idx="29">
                  <c:v>257.73246699999999</c:v>
                </c:pt>
                <c:pt idx="30">
                  <c:v>312.44264800000002</c:v>
                </c:pt>
                <c:pt idx="31">
                  <c:v>193.70886400000001</c:v>
                </c:pt>
                <c:pt idx="32">
                  <c:v>235.697835</c:v>
                </c:pt>
                <c:pt idx="33">
                  <c:v>233.27391700000001</c:v>
                </c:pt>
                <c:pt idx="34">
                  <c:v>321.85017800000003</c:v>
                </c:pt>
                <c:pt idx="35">
                  <c:v>393.99063799999999</c:v>
                </c:pt>
                <c:pt idx="36">
                  <c:v>186.875641</c:v>
                </c:pt>
                <c:pt idx="37">
                  <c:v>179.895769</c:v>
                </c:pt>
                <c:pt idx="38">
                  <c:v>242.711502</c:v>
                </c:pt>
                <c:pt idx="39">
                  <c:v>294.17684000000003</c:v>
                </c:pt>
                <c:pt idx="40">
                  <c:v>190.28824</c:v>
                </c:pt>
                <c:pt idx="41">
                  <c:v>231.48772199999999</c:v>
                </c:pt>
                <c:pt idx="42">
                  <c:v>228.48577499999999</c:v>
                </c:pt>
                <c:pt idx="43">
                  <c:v>315.34296699999999</c:v>
                </c:pt>
                <c:pt idx="44">
                  <c:v>386.111582</c:v>
                </c:pt>
                <c:pt idx="45">
                  <c:v>387.09198500000002</c:v>
                </c:pt>
                <c:pt idx="46">
                  <c:v>472.67393099999998</c:v>
                </c:pt>
                <c:pt idx="47">
                  <c:v>215.77653699999999</c:v>
                </c:pt>
                <c:pt idx="48">
                  <c:v>211.91898699999999</c:v>
                </c:pt>
                <c:pt idx="49">
                  <c:v>290.28416099999998</c:v>
                </c:pt>
                <c:pt idx="50">
                  <c:v>354.91474099999999</c:v>
                </c:pt>
                <c:pt idx="51">
                  <c:v>251.411978</c:v>
                </c:pt>
                <c:pt idx="52">
                  <c:v>250.85161199999999</c:v>
                </c:pt>
                <c:pt idx="53">
                  <c:v>346.19007399999998</c:v>
                </c:pt>
                <c:pt idx="54">
                  <c:v>421.666495</c:v>
                </c:pt>
                <c:pt idx="55">
                  <c:v>400.43692099999998</c:v>
                </c:pt>
                <c:pt idx="56">
                  <c:v>487.00021199999998</c:v>
                </c:pt>
                <c:pt idx="57">
                  <c:v>200.899449</c:v>
                </c:pt>
                <c:pt idx="58">
                  <c:v>183.54877500000001</c:v>
                </c:pt>
                <c:pt idx="59">
                  <c:v>236.92917600000001</c:v>
                </c:pt>
                <c:pt idx="60">
                  <c:v>291.93699500000002</c:v>
                </c:pt>
                <c:pt idx="61">
                  <c:v>234.46603300000001</c:v>
                </c:pt>
                <c:pt idx="62">
                  <c:v>220.08562900000001</c:v>
                </c:pt>
                <c:pt idx="63">
                  <c:v>284.59272499999997</c:v>
                </c:pt>
                <c:pt idx="64">
                  <c:v>351.33798899999999</c:v>
                </c:pt>
                <c:pt idx="65">
                  <c:v>268.98066799999998</c:v>
                </c:pt>
                <c:pt idx="66">
                  <c:v>258.34662300000002</c:v>
                </c:pt>
                <c:pt idx="67">
                  <c:v>333.13404100000002</c:v>
                </c:pt>
                <c:pt idx="68">
                  <c:v>413.23882800000001</c:v>
                </c:pt>
                <c:pt idx="69">
                  <c:v>148.374382</c:v>
                </c:pt>
                <c:pt idx="70">
                  <c:v>190.55282500000001</c:v>
                </c:pt>
                <c:pt idx="71">
                  <c:v>242.890016</c:v>
                </c:pt>
                <c:pt idx="72">
                  <c:v>230.03091699999999</c:v>
                </c:pt>
                <c:pt idx="73">
                  <c:v>297.24807099999998</c:v>
                </c:pt>
                <c:pt idx="74">
                  <c:v>366.58099199999998</c:v>
                </c:pt>
                <c:pt idx="75">
                  <c:v>184.59710999999999</c:v>
                </c:pt>
                <c:pt idx="76">
                  <c:v>237.47529599999999</c:v>
                </c:pt>
                <c:pt idx="77">
                  <c:v>305.38752699999998</c:v>
                </c:pt>
                <c:pt idx="78">
                  <c:v>298.93420300000002</c:v>
                </c:pt>
                <c:pt idx="79">
                  <c:v>389.42391099999998</c:v>
                </c:pt>
                <c:pt idx="80">
                  <c:v>483.64984900000002</c:v>
                </c:pt>
                <c:pt idx="81">
                  <c:v>222.17059800000001</c:v>
                </c:pt>
                <c:pt idx="82">
                  <c:v>287.404382</c:v>
                </c:pt>
                <c:pt idx="83">
                  <c:v>372.68077199999999</c:v>
                </c:pt>
                <c:pt idx="84">
                  <c:v>373.11322899999999</c:v>
                </c:pt>
                <c:pt idx="85">
                  <c:v>175.81759199999999</c:v>
                </c:pt>
                <c:pt idx="86">
                  <c:v>225.88235</c:v>
                </c:pt>
                <c:pt idx="87">
                  <c:v>289.697138</c:v>
                </c:pt>
                <c:pt idx="88">
                  <c:v>281.30721199999999</c:v>
                </c:pt>
                <c:pt idx="89">
                  <c:v>218.22495599999999</c:v>
                </c:pt>
                <c:pt idx="90">
                  <c:v>282.10280399999999</c:v>
                </c:pt>
                <c:pt idx="91">
                  <c:v>364.621803</c:v>
                </c:pt>
                <c:pt idx="92">
                  <c:v>365.90974699999998</c:v>
                </c:pt>
                <c:pt idx="93">
                  <c:v>340.33077100000003</c:v>
                </c:pt>
                <c:pt idx="94">
                  <c:v>448.21660800000001</c:v>
                </c:pt>
                <c:pt idx="95">
                  <c:v>448.53223000000003</c:v>
                </c:pt>
                <c:pt idx="96">
                  <c:v>203.47421800000001</c:v>
                </c:pt>
                <c:pt idx="97">
                  <c:v>262.58121599999998</c:v>
                </c:pt>
                <c:pt idx="98">
                  <c:v>338.96146599999997</c:v>
                </c:pt>
                <c:pt idx="99">
                  <c:v>336.83582799999999</c:v>
                </c:pt>
                <c:pt idx="100">
                  <c:v>236.72224700000001</c:v>
                </c:pt>
                <c:pt idx="101">
                  <c:v>303.81769700000001</c:v>
                </c:pt>
                <c:pt idx="102">
                  <c:v>396.62906600000002</c:v>
                </c:pt>
                <c:pt idx="103">
                  <c:v>399.266502</c:v>
                </c:pt>
                <c:pt idx="104">
                  <c:v>351.04843099999999</c:v>
                </c:pt>
                <c:pt idx="105">
                  <c:v>462.36420099999998</c:v>
                </c:pt>
                <c:pt idx="106">
                  <c:v>464.20688200000001</c:v>
                </c:pt>
                <c:pt idx="107">
                  <c:v>191.17066299999999</c:v>
                </c:pt>
                <c:pt idx="108">
                  <c:v>249.90749600000001</c:v>
                </c:pt>
                <c:pt idx="109">
                  <c:v>313.63924100000003</c:v>
                </c:pt>
                <c:pt idx="110">
                  <c:v>283.301875</c:v>
                </c:pt>
                <c:pt idx="111">
                  <c:v>223.17193900000001</c:v>
                </c:pt>
                <c:pt idx="112">
                  <c:v>291.966793</c:v>
                </c:pt>
                <c:pt idx="113">
                  <c:v>366.42584299999999</c:v>
                </c:pt>
                <c:pt idx="114">
                  <c:v>339.94617699999998</c:v>
                </c:pt>
                <c:pt idx="115">
                  <c:v>255.09708000000001</c:v>
                </c:pt>
                <c:pt idx="116">
                  <c:v>336.202293</c:v>
                </c:pt>
                <c:pt idx="117">
                  <c:v>420.57215600000001</c:v>
                </c:pt>
                <c:pt idx="118">
                  <c:v>399.85910100000001</c:v>
                </c:pt>
                <c:pt idx="119">
                  <c:v>232.48712800000001</c:v>
                </c:pt>
                <c:pt idx="120">
                  <c:v>202.442035</c:v>
                </c:pt>
                <c:pt idx="121">
                  <c:v>251.89089200000001</c:v>
                </c:pt>
                <c:pt idx="122">
                  <c:v>231.61497</c:v>
                </c:pt>
                <c:pt idx="123">
                  <c:v>303.29086599999999</c:v>
                </c:pt>
                <c:pt idx="124">
                  <c:v>380.76697100000001</c:v>
                </c:pt>
                <c:pt idx="125">
                  <c:v>355.18328200000002</c:v>
                </c:pt>
                <c:pt idx="126">
                  <c:v>272.71803599999998</c:v>
                </c:pt>
                <c:pt idx="127">
                  <c:v>240.085544</c:v>
                </c:pt>
                <c:pt idx="128">
                  <c:v>298.62288599999999</c:v>
                </c:pt>
                <c:pt idx="129">
                  <c:v>289.07174800000001</c:v>
                </c:pt>
                <c:pt idx="130">
                  <c:v>382.054665</c:v>
                </c:pt>
                <c:pt idx="131">
                  <c:v>477.48343999999997</c:v>
                </c:pt>
                <c:pt idx="132">
                  <c:v>466.62869999999998</c:v>
                </c:pt>
                <c:pt idx="133">
                  <c:v>311.95950399999998</c:v>
                </c:pt>
                <c:pt idx="134">
                  <c:v>277.27513800000003</c:v>
                </c:pt>
                <c:pt idx="135">
                  <c:v>345.09265399999998</c:v>
                </c:pt>
                <c:pt idx="136">
                  <c:v>349.92025799999999</c:v>
                </c:pt>
                <c:pt idx="137">
                  <c:v>263.31739199999998</c:v>
                </c:pt>
                <c:pt idx="138">
                  <c:v>231.23671300000001</c:v>
                </c:pt>
                <c:pt idx="139">
                  <c:v>287.70864399999999</c:v>
                </c:pt>
                <c:pt idx="140">
                  <c:v>274.61727200000001</c:v>
                </c:pt>
                <c:pt idx="141">
                  <c:v>308.43057099999999</c:v>
                </c:pt>
                <c:pt idx="142">
                  <c:v>273.81008500000002</c:v>
                </c:pt>
                <c:pt idx="143">
                  <c:v>340.70602200000002</c:v>
                </c:pt>
                <c:pt idx="144">
                  <c:v>343.23237999999998</c:v>
                </c:pt>
                <c:pt idx="145">
                  <c:v>394.26108099999999</c:v>
                </c:pt>
                <c:pt idx="146">
                  <c:v>420.251938</c:v>
                </c:pt>
                <c:pt idx="147">
                  <c:v>293.76613600000002</c:v>
                </c:pt>
                <c:pt idx="148">
                  <c:v>259.80062299999997</c:v>
                </c:pt>
                <c:pt idx="149">
                  <c:v>323.172347</c:v>
                </c:pt>
                <c:pt idx="150">
                  <c:v>319.21847000000002</c:v>
                </c:pt>
                <c:pt idx="151">
                  <c:v>327.23129299999999</c:v>
                </c:pt>
                <c:pt idx="152">
                  <c:v>291.73029000000002</c:v>
                </c:pt>
                <c:pt idx="153">
                  <c:v>363.14312699999999</c:v>
                </c:pt>
                <c:pt idx="154">
                  <c:v>374.47267499999998</c:v>
                </c:pt>
                <c:pt idx="155">
                  <c:v>403.35512799999998</c:v>
                </c:pt>
                <c:pt idx="156">
                  <c:v>433.665278</c:v>
                </c:pt>
              </c:numCache>
            </c:numRef>
          </c:xVal>
          <c:yVal>
            <c:numRef>
              <c:f>HWFET!$F$2:$F$158</c:f>
              <c:numCache>
                <c:formatCode>General</c:formatCode>
                <c:ptCount val="157"/>
                <c:pt idx="0">
                  <c:v>128.04386969683432</c:v>
                </c:pt>
                <c:pt idx="1">
                  <c:v>164.26759217584589</c:v>
                </c:pt>
                <c:pt idx="2">
                  <c:v>163.35750623081654</c:v>
                </c:pt>
                <c:pt idx="3">
                  <c:v>210.89379798607195</c:v>
                </c:pt>
                <c:pt idx="4">
                  <c:v>202.32342055803119</c:v>
                </c:pt>
                <c:pt idx="5">
                  <c:v>261.17228158953043</c:v>
                </c:pt>
                <c:pt idx="6">
                  <c:v>154.63122956452509</c:v>
                </c:pt>
                <c:pt idx="7">
                  <c:v>199.51932431264299</c:v>
                </c:pt>
                <c:pt idx="8">
                  <c:v>197.99306503966673</c:v>
                </c:pt>
                <c:pt idx="9">
                  <c:v>255.80981038920618</c:v>
                </c:pt>
                <c:pt idx="10">
                  <c:v>316.87061848141985</c:v>
                </c:pt>
                <c:pt idx="11">
                  <c:v>183.17795160209664</c:v>
                </c:pt>
                <c:pt idx="12">
                  <c:v>236.73041861932097</c:v>
                </c:pt>
                <c:pt idx="13">
                  <c:v>217.28104696651633</c:v>
                </c:pt>
                <c:pt idx="14">
                  <c:v>280.53000193480682</c:v>
                </c:pt>
                <c:pt idx="15">
                  <c:v>327.01289138409606</c:v>
                </c:pt>
                <c:pt idx="16">
                  <c:v>160.53429394258927</c:v>
                </c:pt>
                <c:pt idx="17">
                  <c:v>195.36807085588896</c:v>
                </c:pt>
                <c:pt idx="18">
                  <c:v>191.87433219240594</c:v>
                </c:pt>
                <c:pt idx="19">
                  <c:v>234.78851573159409</c:v>
                </c:pt>
                <c:pt idx="20">
                  <c:v>224.40695094613523</c:v>
                </c:pt>
                <c:pt idx="21">
                  <c:v>275.40154111121177</c:v>
                </c:pt>
                <c:pt idx="22">
                  <c:v>160.15134137111568</c:v>
                </c:pt>
                <c:pt idx="23">
                  <c:v>146.16351552886624</c:v>
                </c:pt>
                <c:pt idx="24">
                  <c:v>200.42903791464826</c:v>
                </c:pt>
                <c:pt idx="25">
                  <c:v>245.54326842223202</c:v>
                </c:pt>
                <c:pt idx="26">
                  <c:v>161.52494229808127</c:v>
                </c:pt>
                <c:pt idx="27">
                  <c:v>198.81345001275696</c:v>
                </c:pt>
                <c:pt idx="28">
                  <c:v>187.13343670097038</c:v>
                </c:pt>
                <c:pt idx="29">
                  <c:v>258.36781300111812</c:v>
                </c:pt>
                <c:pt idx="30">
                  <c:v>317.62275510400661</c:v>
                </c:pt>
                <c:pt idx="31">
                  <c:v>195.35490177577216</c:v>
                </c:pt>
                <c:pt idx="32">
                  <c:v>241.12783644763073</c:v>
                </c:pt>
                <c:pt idx="33">
                  <c:v>231.75563566630697</c:v>
                </c:pt>
                <c:pt idx="34">
                  <c:v>319.95886588082044</c:v>
                </c:pt>
                <c:pt idx="35">
                  <c:v>393.3545195790137</c:v>
                </c:pt>
                <c:pt idx="36">
                  <c:v>189.3774041812907</c:v>
                </c:pt>
                <c:pt idx="37">
                  <c:v>177.08306153111019</c:v>
                </c:pt>
                <c:pt idx="38">
                  <c:v>244.34514232055179</c:v>
                </c:pt>
                <c:pt idx="39">
                  <c:v>300.28983816451841</c:v>
                </c:pt>
                <c:pt idx="40">
                  <c:v>191.56721701193968</c:v>
                </c:pt>
                <c:pt idx="41">
                  <c:v>236.56606492232845</c:v>
                </c:pt>
                <c:pt idx="42">
                  <c:v>226.90922230696262</c:v>
                </c:pt>
                <c:pt idx="43">
                  <c:v>313.56427899853645</c:v>
                </c:pt>
                <c:pt idx="44">
                  <c:v>385.66978809428008</c:v>
                </c:pt>
                <c:pt idx="45">
                  <c:v>387.55373769217164</c:v>
                </c:pt>
                <c:pt idx="46">
                  <c:v>475.82006003969218</c:v>
                </c:pt>
                <c:pt idx="47">
                  <c:v>220.56282916134654</c:v>
                </c:pt>
                <c:pt idx="48">
                  <c:v>209.96196970323496</c:v>
                </c:pt>
                <c:pt idx="49">
                  <c:v>290.2206088963361</c:v>
                </c:pt>
                <c:pt idx="50">
                  <c:v>356.9957700766858</c:v>
                </c:pt>
                <c:pt idx="51">
                  <c:v>257.53604347518831</c:v>
                </c:pt>
                <c:pt idx="52">
                  <c:v>248.91330904318775</c:v>
                </c:pt>
                <c:pt idx="53">
                  <c:v>343.71668016288805</c:v>
                </c:pt>
                <c:pt idx="54">
                  <c:v>422.61245128207042</c:v>
                </c:pt>
                <c:pt idx="55">
                  <c:v>399.89605756324346</c:v>
                </c:pt>
                <c:pt idx="56">
                  <c:v>490.9124386212585</c:v>
                </c:pt>
                <c:pt idx="57">
                  <c:v>201.90892007389527</c:v>
                </c:pt>
                <c:pt idx="58">
                  <c:v>181.44623697935828</c:v>
                </c:pt>
                <c:pt idx="59">
                  <c:v>237.0401573751671</c:v>
                </c:pt>
                <c:pt idx="60">
                  <c:v>292.38497081013907</c:v>
                </c:pt>
                <c:pt idx="61">
                  <c:v>236.7784522818377</c:v>
                </c:pt>
                <c:pt idx="62">
                  <c:v>217.63451920470803</c:v>
                </c:pt>
                <c:pt idx="63">
                  <c:v>286.15709020193833</c:v>
                </c:pt>
                <c:pt idx="64">
                  <c:v>354.43055423833181</c:v>
                </c:pt>
                <c:pt idx="65">
                  <c:v>272.84056499369268</c:v>
                </c:pt>
                <c:pt idx="66">
                  <c:v>255.01538193397039</c:v>
                </c:pt>
                <c:pt idx="67">
                  <c:v>336.46660353262223</c:v>
                </c:pt>
                <c:pt idx="68">
                  <c:v>417.66871817043722</c:v>
                </c:pt>
                <c:pt idx="69">
                  <c:v>145.75367982566522</c:v>
                </c:pt>
                <c:pt idx="70">
                  <c:v>188.92039146224081</c:v>
                </c:pt>
                <c:pt idx="71">
                  <c:v>246.35339964538809</c:v>
                </c:pt>
                <c:pt idx="72">
                  <c:v>227.50925310798772</c:v>
                </c:pt>
                <c:pt idx="73">
                  <c:v>299.55189925465106</c:v>
                </c:pt>
                <c:pt idx="74">
                  <c:v>371.34543844047755</c:v>
                </c:pt>
                <c:pt idx="75">
                  <c:v>180.17357498871505</c:v>
                </c:pt>
                <c:pt idx="76">
                  <c:v>236.066927061065</c:v>
                </c:pt>
                <c:pt idx="77">
                  <c:v>310.46878915857798</c:v>
                </c:pt>
                <c:pt idx="78">
                  <c:v>293.93245515164045</c:v>
                </c:pt>
                <c:pt idx="79">
                  <c:v>388.60023985079147</c:v>
                </c:pt>
                <c:pt idx="80">
                  <c:v>483.01891758910557</c:v>
                </c:pt>
                <c:pt idx="81">
                  <c:v>218.24574794499736</c:v>
                </c:pt>
                <c:pt idx="82">
                  <c:v>286.86574045312159</c:v>
                </c:pt>
                <c:pt idx="83">
                  <c:v>378.2364564650004</c:v>
                </c:pt>
                <c:pt idx="84">
                  <c:v>364.00793498852568</c:v>
                </c:pt>
                <c:pt idx="85">
                  <c:v>171.73060303492534</c:v>
                </c:pt>
                <c:pt idx="86">
                  <c:v>224.64473347424561</c:v>
                </c:pt>
                <c:pt idx="87">
                  <c:v>295.0743000610525</c:v>
                </c:pt>
                <c:pt idx="88">
                  <c:v>277.92363671572105</c:v>
                </c:pt>
                <c:pt idx="89">
                  <c:v>214.07101980043004</c:v>
                </c:pt>
                <c:pt idx="90">
                  <c:v>281.52988216634958</c:v>
                </c:pt>
                <c:pt idx="91">
                  <c:v>371.3524246552887</c:v>
                </c:pt>
                <c:pt idx="92">
                  <c:v>356.8392613447719</c:v>
                </c:pt>
                <c:pt idx="93">
                  <c:v>343.18535287410396</c:v>
                </c:pt>
                <c:pt idx="94">
                  <c:v>452.40087126517534</c:v>
                </c:pt>
                <c:pt idx="95">
                  <c:v>440.52520798947319</c:v>
                </c:pt>
                <c:pt idx="96">
                  <c:v>199.66688841406628</c:v>
                </c:pt>
                <c:pt idx="97">
                  <c:v>262.32843765613131</c:v>
                </c:pt>
                <c:pt idx="98">
                  <c:v>345.75456264659772</c:v>
                </c:pt>
                <c:pt idx="99">
                  <c:v>330.29738249333514</c:v>
                </c:pt>
                <c:pt idx="100">
                  <c:v>233.00391974625825</c:v>
                </c:pt>
                <c:pt idx="101">
                  <c:v>306.57401793327267</c:v>
                </c:pt>
                <c:pt idx="102">
                  <c:v>404.54487485033832</c:v>
                </c:pt>
                <c:pt idx="103">
                  <c:v>391.06581972318679</c:v>
                </c:pt>
                <c:pt idx="104">
                  <c:v>353.50290434421748</c:v>
                </c:pt>
                <c:pt idx="105">
                  <c:v>466.01849318788237</c:v>
                </c:pt>
                <c:pt idx="106">
                  <c:v>454.51756308684179</c:v>
                </c:pt>
                <c:pt idx="107">
                  <c:v>186.89233463561209</c:v>
                </c:pt>
                <c:pt idx="108">
                  <c:v>246.86526127843095</c:v>
                </c:pt>
                <c:pt idx="109">
                  <c:v>306.58908096041296</c:v>
                </c:pt>
                <c:pt idx="110">
                  <c:v>278.57212122897454</c:v>
                </c:pt>
                <c:pt idx="111">
                  <c:v>218.52970419319917</c:v>
                </c:pt>
                <c:pt idx="112">
                  <c:v>291.43128143743951</c:v>
                </c:pt>
                <c:pt idx="113">
                  <c:v>364.08375172084305</c:v>
                </c:pt>
                <c:pt idx="114">
                  <c:v>337.38554200681193</c:v>
                </c:pt>
                <c:pt idx="115">
                  <c:v>251.35965425469877</c:v>
                </c:pt>
                <c:pt idx="116">
                  <c:v>337.18988210036065</c:v>
                </c:pt>
                <c:pt idx="117">
                  <c:v>422.7710029851857</c:v>
                </c:pt>
                <c:pt idx="118">
                  <c:v>397.39154328856193</c:v>
                </c:pt>
                <c:pt idx="119">
                  <c:v>240.69485067736042</c:v>
                </c:pt>
                <c:pt idx="120">
                  <c:v>206.01727809266927</c:v>
                </c:pt>
                <c:pt idx="121">
                  <c:v>249.51493284712021</c:v>
                </c:pt>
                <c:pt idx="122">
                  <c:v>227.22463276939129</c:v>
                </c:pt>
                <c:pt idx="123">
                  <c:v>303.6462851630647</c:v>
                </c:pt>
                <c:pt idx="124">
                  <c:v>379.81883059590126</c:v>
                </c:pt>
                <c:pt idx="125">
                  <c:v>353.42040742159941</c:v>
                </c:pt>
                <c:pt idx="126">
                  <c:v>274.48080362184635</c:v>
                </c:pt>
                <c:pt idx="127">
                  <c:v>239.17631672272751</c:v>
                </c:pt>
                <c:pt idx="128">
                  <c:v>293.98654075342228</c:v>
                </c:pt>
                <c:pt idx="129">
                  <c:v>285.68373764445931</c:v>
                </c:pt>
                <c:pt idx="130">
                  <c:v>384.73052859062034</c:v>
                </c:pt>
                <c:pt idx="131">
                  <c:v>483.52821257594456</c:v>
                </c:pt>
                <c:pt idx="132">
                  <c:v>459.43760193210551</c:v>
                </c:pt>
                <c:pt idx="133">
                  <c:v>311.91903435956476</c:v>
                </c:pt>
                <c:pt idx="134">
                  <c:v>275.9876331460182</c:v>
                </c:pt>
                <c:pt idx="135">
                  <c:v>342.1104264529568</c:v>
                </c:pt>
                <c:pt idx="136">
                  <c:v>347.79512031275971</c:v>
                </c:pt>
                <c:pt idx="137">
                  <c:v>266.43355809444876</c:v>
                </c:pt>
                <c:pt idx="138">
                  <c:v>231.20516343115625</c:v>
                </c:pt>
                <c:pt idx="139">
                  <c:v>283.36719045471358</c:v>
                </c:pt>
                <c:pt idx="140">
                  <c:v>271.61334705050251</c:v>
                </c:pt>
                <c:pt idx="141">
                  <c:v>308.04946946730894</c:v>
                </c:pt>
                <c:pt idx="142">
                  <c:v>272.10460130181332</c:v>
                </c:pt>
                <c:pt idx="143">
                  <c:v>337.19527892679218</c:v>
                </c:pt>
                <c:pt idx="144">
                  <c:v>341.4271463440279</c:v>
                </c:pt>
                <c:pt idx="145">
                  <c:v>395.79368941452128</c:v>
                </c:pt>
                <c:pt idx="146">
                  <c:v>416.01126765320379</c:v>
                </c:pt>
                <c:pt idx="147">
                  <c:v>294.13162768141785</c:v>
                </c:pt>
                <c:pt idx="148">
                  <c:v>258.35241093952402</c:v>
                </c:pt>
                <c:pt idx="149">
                  <c:v>319.17881023218774</c:v>
                </c:pt>
                <c:pt idx="150">
                  <c:v>317.96142350149455</c:v>
                </c:pt>
                <c:pt idx="151">
                  <c:v>326.92527996912645</c:v>
                </c:pt>
                <c:pt idx="152">
                  <c:v>290.60870810058032</c:v>
                </c:pt>
                <c:pt idx="153">
                  <c:v>361.1315953443102</c:v>
                </c:pt>
                <c:pt idx="154">
                  <c:v>371.90349172970201</c:v>
                </c:pt>
                <c:pt idx="155">
                  <c:v>405.76768659023594</c:v>
                </c:pt>
                <c:pt idx="156">
                  <c:v>428.52886609171293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38-42F2-BCBC-FBC971E0A1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05200"/>
        <c:axId val="1916801872"/>
      </c:scatterChart>
      <c:valAx>
        <c:axId val="1916805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ALPHA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6801872"/>
        <c:crosses val="autoZero"/>
        <c:crossBetween val="midCat"/>
      </c:valAx>
      <c:valAx>
        <c:axId val="191680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RSE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6805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US06_1!$F$1</c:f>
              <c:strCache>
                <c:ptCount val="1"/>
                <c:pt idx="0">
                  <c:v>CO2-RSE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US06_1!$E$2:$E$158</c:f>
              <c:numCache>
                <c:formatCode>General</c:formatCode>
                <c:ptCount val="157"/>
                <c:pt idx="0">
                  <c:v>388.94309900000002</c:v>
                </c:pt>
                <c:pt idx="1">
                  <c:v>502.82906600000001</c:v>
                </c:pt>
                <c:pt idx="2">
                  <c:v>411.30353700000001</c:v>
                </c:pt>
                <c:pt idx="3">
                  <c:v>534.04674899999998</c:v>
                </c:pt>
                <c:pt idx="4">
                  <c:v>435.09201899999999</c:v>
                </c:pt>
                <c:pt idx="5">
                  <c:v>566.73974499999997</c:v>
                </c:pt>
                <c:pt idx="6">
                  <c:v>408.82602400000002</c:v>
                </c:pt>
                <c:pt idx="7">
                  <c:v>529.86704699999996</c:v>
                </c:pt>
                <c:pt idx="8">
                  <c:v>435.30282899999997</c:v>
                </c:pt>
                <c:pt idx="9">
                  <c:v>566.76496299999997</c:v>
                </c:pt>
                <c:pt idx="10">
                  <c:v>603.74356699999998</c:v>
                </c:pt>
                <c:pt idx="11">
                  <c:v>429.39717899999999</c:v>
                </c:pt>
                <c:pt idx="12">
                  <c:v>557.72758499999998</c:v>
                </c:pt>
                <c:pt idx="13">
                  <c:v>450.84144600000002</c:v>
                </c:pt>
                <c:pt idx="14">
                  <c:v>586.12710300000003</c:v>
                </c:pt>
                <c:pt idx="15">
                  <c:v>613.95404900000005</c:v>
                </c:pt>
                <c:pt idx="16">
                  <c:v>591.38932499999999</c:v>
                </c:pt>
                <c:pt idx="17">
                  <c:v>722.35958600000004</c:v>
                </c:pt>
                <c:pt idx="18">
                  <c:v>612.58705399999997</c:v>
                </c:pt>
                <c:pt idx="19">
                  <c:v>747.91327699999999</c:v>
                </c:pt>
                <c:pt idx="20">
                  <c:v>633.72619799999995</c:v>
                </c:pt>
                <c:pt idx="21">
                  <c:v>774.64071000000001</c:v>
                </c:pt>
                <c:pt idx="22">
                  <c:v>443.01189099999999</c:v>
                </c:pt>
                <c:pt idx="23">
                  <c:v>450.35294900000002</c:v>
                </c:pt>
                <c:pt idx="24">
                  <c:v>621.63684499999999</c:v>
                </c:pt>
                <c:pt idx="25">
                  <c:v>758.49493900000004</c:v>
                </c:pt>
                <c:pt idx="26">
                  <c:v>379.301605</c:v>
                </c:pt>
                <c:pt idx="27">
                  <c:v>466.49273399999998</c:v>
                </c:pt>
                <c:pt idx="28">
                  <c:v>477.16841199999999</c:v>
                </c:pt>
                <c:pt idx="29">
                  <c:v>660.086319</c:v>
                </c:pt>
                <c:pt idx="30">
                  <c:v>806.93033300000002</c:v>
                </c:pt>
                <c:pt idx="31">
                  <c:v>400.18332500000002</c:v>
                </c:pt>
                <c:pt idx="32">
                  <c:v>492.32012400000002</c:v>
                </c:pt>
                <c:pt idx="33">
                  <c:v>506.73546800000003</c:v>
                </c:pt>
                <c:pt idx="34">
                  <c:v>699.66178600000001</c:v>
                </c:pt>
                <c:pt idx="35">
                  <c:v>855.767246</c:v>
                </c:pt>
                <c:pt idx="36">
                  <c:v>463.723029</c:v>
                </c:pt>
                <c:pt idx="37">
                  <c:v>473.02308799999997</c:v>
                </c:pt>
                <c:pt idx="38">
                  <c:v>655.49382700000001</c:v>
                </c:pt>
                <c:pt idx="39">
                  <c:v>800.78420900000003</c:v>
                </c:pt>
                <c:pt idx="40">
                  <c:v>400.90650199999999</c:v>
                </c:pt>
                <c:pt idx="41">
                  <c:v>493.00977899999998</c:v>
                </c:pt>
                <c:pt idx="42">
                  <c:v>506.14624099999997</c:v>
                </c:pt>
                <c:pt idx="43">
                  <c:v>701.28115500000001</c:v>
                </c:pt>
                <c:pt idx="44">
                  <c:v>857.57134599999995</c:v>
                </c:pt>
                <c:pt idx="45">
                  <c:v>745.05038000000002</c:v>
                </c:pt>
                <c:pt idx="46">
                  <c:v>920.67829900000004</c:v>
                </c:pt>
                <c:pt idx="47">
                  <c:v>486.37732299999999</c:v>
                </c:pt>
                <c:pt idx="48">
                  <c:v>498.42196000000001</c:v>
                </c:pt>
                <c:pt idx="49">
                  <c:v>691.33763199999999</c:v>
                </c:pt>
                <c:pt idx="50">
                  <c:v>845.61363600000004</c:v>
                </c:pt>
                <c:pt idx="51">
                  <c:v>509.06670300000002</c:v>
                </c:pt>
                <c:pt idx="52">
                  <c:v>525.94369099999994</c:v>
                </c:pt>
                <c:pt idx="53">
                  <c:v>725.96999000000005</c:v>
                </c:pt>
                <c:pt idx="54">
                  <c:v>887.734151</c:v>
                </c:pt>
                <c:pt idx="55">
                  <c:v>760.79224299999998</c:v>
                </c:pt>
                <c:pt idx="56">
                  <c:v>937.93013900000005</c:v>
                </c:pt>
                <c:pt idx="57">
                  <c:v>668.71234100000004</c:v>
                </c:pt>
                <c:pt idx="58">
                  <c:v>682.64438399999995</c:v>
                </c:pt>
                <c:pt idx="59">
                  <c:v>895.14082800000006</c:v>
                </c:pt>
                <c:pt idx="60">
                  <c:v>1119.3951420000001</c:v>
                </c:pt>
                <c:pt idx="61">
                  <c:v>691.38687600000003</c:v>
                </c:pt>
                <c:pt idx="62">
                  <c:v>706.83758699999998</c:v>
                </c:pt>
                <c:pt idx="63">
                  <c:v>934.54052899999999</c:v>
                </c:pt>
                <c:pt idx="64">
                  <c:v>1158.066474</c:v>
                </c:pt>
                <c:pt idx="65">
                  <c:v>680.94391199999995</c:v>
                </c:pt>
                <c:pt idx="66">
                  <c:v>731.41082400000005</c:v>
                </c:pt>
                <c:pt idx="67">
                  <c:v>965.07817699999998</c:v>
                </c:pt>
                <c:pt idx="68">
                  <c:v>1197.2534310000001</c:v>
                </c:pt>
                <c:pt idx="69">
                  <c:v>409.947292</c:v>
                </c:pt>
                <c:pt idx="70">
                  <c:v>536.01168800000005</c:v>
                </c:pt>
                <c:pt idx="71">
                  <c:v>669.72361999999998</c:v>
                </c:pt>
                <c:pt idx="72">
                  <c:v>717.67640700000004</c:v>
                </c:pt>
                <c:pt idx="73">
                  <c:v>949.08524799999998</c:v>
                </c:pt>
                <c:pt idx="74">
                  <c:v>1177.001814</c:v>
                </c:pt>
                <c:pt idx="75">
                  <c:v>431.73255</c:v>
                </c:pt>
                <c:pt idx="76">
                  <c:v>564.47632299999998</c:v>
                </c:pt>
                <c:pt idx="77">
                  <c:v>705.21943799999997</c:v>
                </c:pt>
                <c:pt idx="78">
                  <c:v>761.91981199999998</c:v>
                </c:pt>
                <c:pt idx="79">
                  <c:v>1005.86634</c:v>
                </c:pt>
                <c:pt idx="80">
                  <c:v>1247.916023</c:v>
                </c:pt>
                <c:pt idx="81">
                  <c:v>455.40557200000001</c:v>
                </c:pt>
                <c:pt idx="82">
                  <c:v>595.47598800000003</c:v>
                </c:pt>
                <c:pt idx="83">
                  <c:v>746.277692</c:v>
                </c:pt>
                <c:pt idx="84">
                  <c:v>807.17893900000001</c:v>
                </c:pt>
                <c:pt idx="85">
                  <c:v>429.03838999999999</c:v>
                </c:pt>
                <c:pt idx="86">
                  <c:v>560.42382699999996</c:v>
                </c:pt>
                <c:pt idx="87">
                  <c:v>705.97502899999995</c:v>
                </c:pt>
                <c:pt idx="88">
                  <c:v>757.16547000000003</c:v>
                </c:pt>
                <c:pt idx="89">
                  <c:v>456.35897999999997</c:v>
                </c:pt>
                <c:pt idx="90">
                  <c:v>595.51658599999996</c:v>
                </c:pt>
                <c:pt idx="91">
                  <c:v>744.80454099999997</c:v>
                </c:pt>
                <c:pt idx="92">
                  <c:v>810.18099199999995</c:v>
                </c:pt>
                <c:pt idx="93">
                  <c:v>635.15332599999999</c:v>
                </c:pt>
                <c:pt idx="94">
                  <c:v>800.39901899999995</c:v>
                </c:pt>
                <c:pt idx="95">
                  <c:v>858.61251600000003</c:v>
                </c:pt>
                <c:pt idx="96">
                  <c:v>450.27389599999998</c:v>
                </c:pt>
                <c:pt idx="97">
                  <c:v>586.84529499999996</c:v>
                </c:pt>
                <c:pt idx="98">
                  <c:v>733.79187899999999</c:v>
                </c:pt>
                <c:pt idx="99">
                  <c:v>799.08325500000001</c:v>
                </c:pt>
                <c:pt idx="100">
                  <c:v>471.12537900000001</c:v>
                </c:pt>
                <c:pt idx="101">
                  <c:v>616.92599600000005</c:v>
                </c:pt>
                <c:pt idx="102">
                  <c:v>773.78931499999999</c:v>
                </c:pt>
                <c:pt idx="103">
                  <c:v>837.181872</c:v>
                </c:pt>
                <c:pt idx="104">
                  <c:v>645.67090900000005</c:v>
                </c:pt>
                <c:pt idx="105">
                  <c:v>814.37224100000003</c:v>
                </c:pt>
                <c:pt idx="106">
                  <c:v>876.96456699999999</c:v>
                </c:pt>
                <c:pt idx="107">
                  <c:v>626.49805700000002</c:v>
                </c:pt>
                <c:pt idx="108">
                  <c:v>836.56758600000001</c:v>
                </c:pt>
                <c:pt idx="109">
                  <c:v>1054.919081</c:v>
                </c:pt>
                <c:pt idx="110">
                  <c:v>1078.877925</c:v>
                </c:pt>
                <c:pt idx="111">
                  <c:v>644.34851000000003</c:v>
                </c:pt>
                <c:pt idx="112">
                  <c:v>863.74883599999998</c:v>
                </c:pt>
                <c:pt idx="113">
                  <c:v>1090.411026</c:v>
                </c:pt>
                <c:pt idx="114">
                  <c:v>1115.058276</c:v>
                </c:pt>
                <c:pt idx="115">
                  <c:v>663.79387899999995</c:v>
                </c:pt>
                <c:pt idx="116">
                  <c:v>888.92853000000002</c:v>
                </c:pt>
                <c:pt idx="117">
                  <c:v>1126.6159869999999</c:v>
                </c:pt>
                <c:pt idx="118">
                  <c:v>1153.3008689999999</c:v>
                </c:pt>
                <c:pt idx="119">
                  <c:v>526.79693599999996</c:v>
                </c:pt>
                <c:pt idx="120">
                  <c:v>480.969717</c:v>
                </c:pt>
                <c:pt idx="121">
                  <c:v>605.05073700000003</c:v>
                </c:pt>
                <c:pt idx="122">
                  <c:v>653.52067199999999</c:v>
                </c:pt>
                <c:pt idx="123">
                  <c:v>875.95689400000003</c:v>
                </c:pt>
                <c:pt idx="124">
                  <c:v>1106.992125</c:v>
                </c:pt>
                <c:pt idx="125">
                  <c:v>1133.928797</c:v>
                </c:pt>
                <c:pt idx="126">
                  <c:v>553.67981099999997</c:v>
                </c:pt>
                <c:pt idx="127">
                  <c:v>503.60551600000002</c:v>
                </c:pt>
                <c:pt idx="128">
                  <c:v>634.80316200000004</c:v>
                </c:pt>
                <c:pt idx="129">
                  <c:v>689.53508299999999</c:v>
                </c:pt>
                <c:pt idx="130">
                  <c:v>922.06036700000004</c:v>
                </c:pt>
                <c:pt idx="131">
                  <c:v>1132.0293670000001</c:v>
                </c:pt>
                <c:pt idx="132">
                  <c:v>1203.191106</c:v>
                </c:pt>
                <c:pt idx="133">
                  <c:v>579.99223800000004</c:v>
                </c:pt>
                <c:pt idx="134">
                  <c:v>530.50262599999996</c:v>
                </c:pt>
                <c:pt idx="135">
                  <c:v>668.13498400000003</c:v>
                </c:pt>
                <c:pt idx="136">
                  <c:v>729.56320700000003</c:v>
                </c:pt>
                <c:pt idx="137">
                  <c:v>552.52830300000005</c:v>
                </c:pt>
                <c:pt idx="138">
                  <c:v>501.23218400000002</c:v>
                </c:pt>
                <c:pt idx="139">
                  <c:v>631.78796599999998</c:v>
                </c:pt>
                <c:pt idx="140">
                  <c:v>655.98385399999995</c:v>
                </c:pt>
                <c:pt idx="141">
                  <c:v>577.83570999999995</c:v>
                </c:pt>
                <c:pt idx="142">
                  <c:v>528.21549200000004</c:v>
                </c:pt>
                <c:pt idx="143">
                  <c:v>666.45120699999995</c:v>
                </c:pt>
                <c:pt idx="144">
                  <c:v>699.77379299999996</c:v>
                </c:pt>
                <c:pt idx="145">
                  <c:v>714.85639800000001</c:v>
                </c:pt>
                <c:pt idx="146">
                  <c:v>744.95151799999996</c:v>
                </c:pt>
                <c:pt idx="147">
                  <c:v>571.46087</c:v>
                </c:pt>
                <c:pt idx="148">
                  <c:v>522.31678299999999</c:v>
                </c:pt>
                <c:pt idx="149">
                  <c:v>658.16158499999995</c:v>
                </c:pt>
                <c:pt idx="150">
                  <c:v>689.00483099999997</c:v>
                </c:pt>
                <c:pt idx="151">
                  <c:v>598.16795400000001</c:v>
                </c:pt>
                <c:pt idx="152">
                  <c:v>545.72700699999996</c:v>
                </c:pt>
                <c:pt idx="153">
                  <c:v>687.16228000000001</c:v>
                </c:pt>
                <c:pt idx="154">
                  <c:v>718.84307000000001</c:v>
                </c:pt>
                <c:pt idx="155">
                  <c:v>724.59671600000001</c:v>
                </c:pt>
                <c:pt idx="156">
                  <c:v>759.41014700000005</c:v>
                </c:pt>
              </c:numCache>
            </c:numRef>
          </c:xVal>
          <c:yVal>
            <c:numRef>
              <c:f>US06_1!$F$2:$F$158</c:f>
              <c:numCache>
                <c:formatCode>General</c:formatCode>
                <c:ptCount val="157"/>
                <c:pt idx="0">
                  <c:v>392.99714021032031</c:v>
                </c:pt>
                <c:pt idx="1">
                  <c:v>507.95459115927815</c:v>
                </c:pt>
                <c:pt idx="2">
                  <c:v>414.83673846950757</c:v>
                </c:pt>
                <c:pt idx="3">
                  <c:v>536.22675880225427</c:v>
                </c:pt>
                <c:pt idx="4">
                  <c:v>440.1193573020837</c:v>
                </c:pt>
                <c:pt idx="5">
                  <c:v>567.94194701861943</c:v>
                </c:pt>
                <c:pt idx="6">
                  <c:v>413.2351591615016</c:v>
                </c:pt>
                <c:pt idx="7">
                  <c:v>532.97725720384881</c:v>
                </c:pt>
                <c:pt idx="8">
                  <c:v>441.64120854881583</c:v>
                </c:pt>
                <c:pt idx="9">
                  <c:v>568.73481445835046</c:v>
                </c:pt>
                <c:pt idx="10">
                  <c:v>608.98937817605417</c:v>
                </c:pt>
                <c:pt idx="11">
                  <c:v>435.42019900726876</c:v>
                </c:pt>
                <c:pt idx="12">
                  <c:v>559.94694414300534</c:v>
                </c:pt>
                <c:pt idx="13">
                  <c:v>458.67722590362041</c:v>
                </c:pt>
                <c:pt idx="14">
                  <c:v>588.71760193974762</c:v>
                </c:pt>
                <c:pt idx="15">
                  <c:v>620.01782587204093</c:v>
                </c:pt>
                <c:pt idx="16">
                  <c:v>597.58929239323345</c:v>
                </c:pt>
                <c:pt idx="17">
                  <c:v>737.21621172938615</c:v>
                </c:pt>
                <c:pt idx="18">
                  <c:v>615.50794776886823</c:v>
                </c:pt>
                <c:pt idx="19">
                  <c:v>759.72955952201301</c:v>
                </c:pt>
                <c:pt idx="20">
                  <c:v>634.55085476030354</c:v>
                </c:pt>
                <c:pt idx="21">
                  <c:v>783.3671589304405</c:v>
                </c:pt>
                <c:pt idx="22">
                  <c:v>443.12018979751002</c:v>
                </c:pt>
                <c:pt idx="23">
                  <c:v>450.39898609765839</c:v>
                </c:pt>
                <c:pt idx="24">
                  <c:v>623.52707880536286</c:v>
                </c:pt>
                <c:pt idx="25">
                  <c:v>768.85758371830332</c:v>
                </c:pt>
                <c:pt idx="26">
                  <c:v>379.18195234983324</c:v>
                </c:pt>
                <c:pt idx="27">
                  <c:v>467.75733430968739</c:v>
                </c:pt>
                <c:pt idx="28">
                  <c:v>475.45486904874019</c:v>
                </c:pt>
                <c:pt idx="29">
                  <c:v>658.23181583212795</c:v>
                </c:pt>
                <c:pt idx="30">
                  <c:v>811.60303247480476</c:v>
                </c:pt>
                <c:pt idx="31">
                  <c:v>402.43769039755779</c:v>
                </c:pt>
                <c:pt idx="32">
                  <c:v>495.8374993952537</c:v>
                </c:pt>
                <c:pt idx="33">
                  <c:v>503.95377257321081</c:v>
                </c:pt>
                <c:pt idx="34">
                  <c:v>696.3795734322822</c:v>
                </c:pt>
                <c:pt idx="35">
                  <c:v>857.79150180469526</c:v>
                </c:pt>
                <c:pt idx="36">
                  <c:v>464.67338522702295</c:v>
                </c:pt>
                <c:pt idx="37">
                  <c:v>473.02932859553437</c:v>
                </c:pt>
                <c:pt idx="38">
                  <c:v>653.334391943323</c:v>
                </c:pt>
                <c:pt idx="39">
                  <c:v>804.64570572300022</c:v>
                </c:pt>
                <c:pt idx="40">
                  <c:v>403.42355918959521</c:v>
                </c:pt>
                <c:pt idx="41">
                  <c:v>496.27663033204016</c:v>
                </c:pt>
                <c:pt idx="42">
                  <c:v>505.11113191644233</c:v>
                </c:pt>
                <c:pt idx="43">
                  <c:v>696.44345706501224</c:v>
                </c:pt>
                <c:pt idx="44">
                  <c:v>856.94415567867384</c:v>
                </c:pt>
                <c:pt idx="45">
                  <c:v>744.04952864990321</c:v>
                </c:pt>
                <c:pt idx="46">
                  <c:v>913.73961209754896</c:v>
                </c:pt>
                <c:pt idx="47">
                  <c:v>488.17360155112192</c:v>
                </c:pt>
                <c:pt idx="48">
                  <c:v>497.60669198799633</c:v>
                </c:pt>
                <c:pt idx="49">
                  <c:v>685.08872597586901</c:v>
                </c:pt>
                <c:pt idx="50">
                  <c:v>842.380848622283</c:v>
                </c:pt>
                <c:pt idx="51">
                  <c:v>513.8285252357507</c:v>
                </c:pt>
                <c:pt idx="52">
                  <c:v>523.62053433454321</c:v>
                </c:pt>
                <c:pt idx="53">
                  <c:v>719.37301467300188</c:v>
                </c:pt>
                <c:pt idx="54">
                  <c:v>883.55717594490409</c:v>
                </c:pt>
                <c:pt idx="55">
                  <c:v>756.18686950568588</c:v>
                </c:pt>
                <c:pt idx="56">
                  <c:v>927.26306940307643</c:v>
                </c:pt>
                <c:pt idx="57">
                  <c:v>667.99843913442794</c:v>
                </c:pt>
                <c:pt idx="58">
                  <c:v>681.25012461421386</c:v>
                </c:pt>
                <c:pt idx="59">
                  <c:v>906.03702812059385</c:v>
                </c:pt>
                <c:pt idx="60">
                  <c:v>1133.2840784154816</c:v>
                </c:pt>
                <c:pt idx="61">
                  <c:v>688.43463085231258</c:v>
                </c:pt>
                <c:pt idx="62">
                  <c:v>701.92559544004382</c:v>
                </c:pt>
                <c:pt idx="63">
                  <c:v>934.06400681361129</c:v>
                </c:pt>
                <c:pt idx="64">
                  <c:v>1168.6625649756866</c:v>
                </c:pt>
                <c:pt idx="65">
                  <c:v>709.99507418599785</c:v>
                </c:pt>
                <c:pt idx="66">
                  <c:v>723.72531788167453</c:v>
                </c:pt>
                <c:pt idx="67">
                  <c:v>963.21523712242936</c:v>
                </c:pt>
                <c:pt idx="68">
                  <c:v>1205.1653031516919</c:v>
                </c:pt>
                <c:pt idx="69">
                  <c:v>401.20146756873703</c:v>
                </c:pt>
                <c:pt idx="70">
                  <c:v>527.21710286165614</c:v>
                </c:pt>
                <c:pt idx="71">
                  <c:v>696.44880341635042</c:v>
                </c:pt>
                <c:pt idx="72">
                  <c:v>710.61006237241588</c:v>
                </c:pt>
                <c:pt idx="73">
                  <c:v>944.52270280165646</c:v>
                </c:pt>
                <c:pt idx="74">
                  <c:v>1180.8954900194046</c:v>
                </c:pt>
                <c:pt idx="75">
                  <c:v>423.42639856199355</c:v>
                </c:pt>
                <c:pt idx="76">
                  <c:v>556.67867441167539</c:v>
                </c:pt>
                <c:pt idx="77">
                  <c:v>735.55922904205283</c:v>
                </c:pt>
                <c:pt idx="78">
                  <c:v>750.13922643702278</c:v>
                </c:pt>
                <c:pt idx="79">
                  <c:v>996.91700563384131</c:v>
                </c:pt>
                <c:pt idx="80">
                  <c:v>1246.1549316191674</c:v>
                </c:pt>
                <c:pt idx="81">
                  <c:v>449.09435012863901</c:v>
                </c:pt>
                <c:pt idx="82">
                  <c:v>589.58326653508334</c:v>
                </c:pt>
                <c:pt idx="83">
                  <c:v>778.11267524114453</c:v>
                </c:pt>
                <c:pt idx="84">
                  <c:v>793.11141107501874</c:v>
                </c:pt>
                <c:pt idx="85">
                  <c:v>420.96042033822903</c:v>
                </c:pt>
                <c:pt idx="86">
                  <c:v>552.35878361121127</c:v>
                </c:pt>
                <c:pt idx="87">
                  <c:v>728.7674548059897</c:v>
                </c:pt>
                <c:pt idx="88">
                  <c:v>744.0058608304181</c:v>
                </c:pt>
                <c:pt idx="89">
                  <c:v>449.80684999305095</c:v>
                </c:pt>
                <c:pt idx="90">
                  <c:v>589.47565961661905</c:v>
                </c:pt>
                <c:pt idx="91">
                  <c:v>776.91159261217854</c:v>
                </c:pt>
                <c:pt idx="92">
                  <c:v>792.62855685249792</c:v>
                </c:pt>
                <c:pt idx="93">
                  <c:v>631.08954208522891</c:v>
                </c:pt>
                <c:pt idx="94">
                  <c:v>829.55273688156933</c:v>
                </c:pt>
                <c:pt idx="95">
                  <c:v>845.74825933777947</c:v>
                </c:pt>
                <c:pt idx="96">
                  <c:v>442.66639400230696</c:v>
                </c:pt>
                <c:pt idx="97">
                  <c:v>579.44748525535226</c:v>
                </c:pt>
                <c:pt idx="98">
                  <c:v>763.03312709021452</c:v>
                </c:pt>
                <c:pt idx="99">
                  <c:v>779.34868018300619</c:v>
                </c:pt>
                <c:pt idx="100">
                  <c:v>466.25370609928939</c:v>
                </c:pt>
                <c:pt idx="101">
                  <c:v>609.2376321152741</c:v>
                </c:pt>
                <c:pt idx="102">
                  <c:v>801.09372030072234</c:v>
                </c:pt>
                <c:pt idx="103">
                  <c:v>817.768192055432</c:v>
                </c:pt>
                <c:pt idx="104">
                  <c:v>641.55734511074706</c:v>
                </c:pt>
                <c:pt idx="105">
                  <c:v>841.68387964678129</c:v>
                </c:pt>
                <c:pt idx="106">
                  <c:v>858.71727006340893</c:v>
                </c:pt>
                <c:pt idx="107">
                  <c:v>613.71554733929656</c:v>
                </c:pt>
                <c:pt idx="108">
                  <c:v>831.76966956551234</c:v>
                </c:pt>
                <c:pt idx="109">
                  <c:v>1052.2839385802356</c:v>
                </c:pt>
                <c:pt idx="110">
                  <c:v>1076.241677080337</c:v>
                </c:pt>
                <c:pt idx="111">
                  <c:v>632.31386209038442</c:v>
                </c:pt>
                <c:pt idx="112">
                  <c:v>857.71949218378757</c:v>
                </c:pt>
                <c:pt idx="113">
                  <c:v>1085.5852690656984</c:v>
                </c:pt>
                <c:pt idx="114">
                  <c:v>1109.7822866737449</c:v>
                </c:pt>
                <c:pt idx="115">
                  <c:v>652.03642845727268</c:v>
                </c:pt>
                <c:pt idx="116">
                  <c:v>884.7935664178633</c:v>
                </c:pt>
                <c:pt idx="117">
                  <c:v>1120.0108511669616</c:v>
                </c:pt>
                <c:pt idx="118">
                  <c:v>1144.4471478829537</c:v>
                </c:pt>
                <c:pt idx="119">
                  <c:v>544.1195124246974</c:v>
                </c:pt>
                <c:pt idx="120">
                  <c:v>481.40877508689971</c:v>
                </c:pt>
                <c:pt idx="121">
                  <c:v>586.32087045519415</c:v>
                </c:pt>
                <c:pt idx="122">
                  <c:v>639.88447739050389</c:v>
                </c:pt>
                <c:pt idx="123">
                  <c:v>867.06433653958027</c:v>
                </c:pt>
                <c:pt idx="124">
                  <c:v>1096.7043424771641</c:v>
                </c:pt>
                <c:pt idx="125">
                  <c:v>1121.5716544535451</c:v>
                </c:pt>
                <c:pt idx="126">
                  <c:v>568.96690162797324</c:v>
                </c:pt>
                <c:pt idx="127">
                  <c:v>505.04742127418513</c:v>
                </c:pt>
                <c:pt idx="128">
                  <c:v>616.39208602626854</c:v>
                </c:pt>
                <c:pt idx="129">
                  <c:v>675.77861832431188</c:v>
                </c:pt>
                <c:pt idx="130">
                  <c:v>915.8236162409662</c:v>
                </c:pt>
                <c:pt idx="131">
                  <c:v>1158.3287609461281</c:v>
                </c:pt>
                <c:pt idx="132">
                  <c:v>1183.6148113614133</c:v>
                </c:pt>
                <c:pt idx="133">
                  <c:v>597.25731140463802</c:v>
                </c:pt>
                <c:pt idx="134">
                  <c:v>532.12908803485925</c:v>
                </c:pt>
                <c:pt idx="135">
                  <c:v>649.90632217073176</c:v>
                </c:pt>
                <c:pt idx="136">
                  <c:v>715.11577983150903</c:v>
                </c:pt>
                <c:pt idx="137">
                  <c:v>563.27297008527637</c:v>
                </c:pt>
                <c:pt idx="138">
                  <c:v>500.39347084335452</c:v>
                </c:pt>
                <c:pt idx="139">
                  <c:v>610.09021330503856</c:v>
                </c:pt>
                <c:pt idx="140">
                  <c:v>669.81080523344849</c:v>
                </c:pt>
                <c:pt idx="141">
                  <c:v>595.11649483726319</c:v>
                </c:pt>
                <c:pt idx="142">
                  <c:v>530.855575005638</c:v>
                </c:pt>
                <c:pt idx="143">
                  <c:v>647.90382533450929</c:v>
                </c:pt>
                <c:pt idx="144">
                  <c:v>714.27918910604365</c:v>
                </c:pt>
                <c:pt idx="145">
                  <c:v>690.21444382718232</c:v>
                </c:pt>
                <c:pt idx="146">
                  <c:v>763.24457944184087</c:v>
                </c:pt>
                <c:pt idx="147">
                  <c:v>584.37344864044132</c:v>
                </c:pt>
                <c:pt idx="148">
                  <c:v>521.32518749439532</c:v>
                </c:pt>
                <c:pt idx="149">
                  <c:v>635.80657704946861</c:v>
                </c:pt>
                <c:pt idx="150">
                  <c:v>701.68415397097863</c:v>
                </c:pt>
                <c:pt idx="151">
                  <c:v>610.20858206029732</c:v>
                </c:pt>
                <c:pt idx="152">
                  <c:v>546.12425547197381</c:v>
                </c:pt>
                <c:pt idx="153">
                  <c:v>666.11927592743768</c:v>
                </c:pt>
                <c:pt idx="154">
                  <c:v>736.98793173129104</c:v>
                </c:pt>
                <c:pt idx="155">
                  <c:v>698.961540940958</c:v>
                </c:pt>
                <c:pt idx="156">
                  <c:v>774.82127562715459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8E-4A8F-A6B2-260392E9E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3590160"/>
        <c:axId val="1173586832"/>
      </c:scatterChart>
      <c:valAx>
        <c:axId val="1173590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ALPHA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586832"/>
        <c:crosses val="autoZero"/>
        <c:crossBetween val="midCat"/>
      </c:valAx>
      <c:valAx>
        <c:axId val="117358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RSE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590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US06_1!$F$1</c:f>
              <c:strCache>
                <c:ptCount val="1"/>
                <c:pt idx="0">
                  <c:v>CO2-RSE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US06_1!$E$2:$E$158</c:f>
              <c:numCache>
                <c:formatCode>General</c:formatCode>
                <c:ptCount val="157"/>
                <c:pt idx="0">
                  <c:v>388.94309900000002</c:v>
                </c:pt>
                <c:pt idx="1">
                  <c:v>502.82906600000001</c:v>
                </c:pt>
                <c:pt idx="2">
                  <c:v>411.30353700000001</c:v>
                </c:pt>
                <c:pt idx="3">
                  <c:v>534.04674899999998</c:v>
                </c:pt>
                <c:pt idx="4">
                  <c:v>435.09201899999999</c:v>
                </c:pt>
                <c:pt idx="5">
                  <c:v>566.73974499999997</c:v>
                </c:pt>
                <c:pt idx="6">
                  <c:v>408.82602400000002</c:v>
                </c:pt>
                <c:pt idx="7">
                  <c:v>529.86704699999996</c:v>
                </c:pt>
                <c:pt idx="8">
                  <c:v>435.30282899999997</c:v>
                </c:pt>
                <c:pt idx="9">
                  <c:v>566.76496299999997</c:v>
                </c:pt>
                <c:pt idx="10">
                  <c:v>603.74356699999998</c:v>
                </c:pt>
                <c:pt idx="11">
                  <c:v>429.39717899999999</c:v>
                </c:pt>
                <c:pt idx="12">
                  <c:v>557.72758499999998</c:v>
                </c:pt>
                <c:pt idx="13">
                  <c:v>450.84144600000002</c:v>
                </c:pt>
                <c:pt idx="14">
                  <c:v>586.12710300000003</c:v>
                </c:pt>
                <c:pt idx="15">
                  <c:v>613.95404900000005</c:v>
                </c:pt>
                <c:pt idx="16">
                  <c:v>591.38932499999999</c:v>
                </c:pt>
                <c:pt idx="17">
                  <c:v>722.35958600000004</c:v>
                </c:pt>
                <c:pt idx="18">
                  <c:v>612.58705399999997</c:v>
                </c:pt>
                <c:pt idx="19">
                  <c:v>747.91327699999999</c:v>
                </c:pt>
                <c:pt idx="20">
                  <c:v>633.72619799999995</c:v>
                </c:pt>
                <c:pt idx="21">
                  <c:v>774.64071000000001</c:v>
                </c:pt>
                <c:pt idx="22">
                  <c:v>443.01189099999999</c:v>
                </c:pt>
                <c:pt idx="23">
                  <c:v>450.35294900000002</c:v>
                </c:pt>
                <c:pt idx="24">
                  <c:v>621.63684499999999</c:v>
                </c:pt>
                <c:pt idx="25">
                  <c:v>758.49493900000004</c:v>
                </c:pt>
                <c:pt idx="26">
                  <c:v>379.301605</c:v>
                </c:pt>
                <c:pt idx="27">
                  <c:v>466.49273399999998</c:v>
                </c:pt>
                <c:pt idx="28">
                  <c:v>477.16841199999999</c:v>
                </c:pt>
                <c:pt idx="29">
                  <c:v>660.086319</c:v>
                </c:pt>
                <c:pt idx="30">
                  <c:v>806.93033300000002</c:v>
                </c:pt>
                <c:pt idx="31">
                  <c:v>400.18332500000002</c:v>
                </c:pt>
                <c:pt idx="32">
                  <c:v>492.32012400000002</c:v>
                </c:pt>
                <c:pt idx="33">
                  <c:v>506.73546800000003</c:v>
                </c:pt>
                <c:pt idx="34">
                  <c:v>699.66178600000001</c:v>
                </c:pt>
                <c:pt idx="35">
                  <c:v>855.767246</c:v>
                </c:pt>
                <c:pt idx="36">
                  <c:v>463.723029</c:v>
                </c:pt>
                <c:pt idx="37">
                  <c:v>473.02308799999997</c:v>
                </c:pt>
                <c:pt idx="38">
                  <c:v>655.49382700000001</c:v>
                </c:pt>
                <c:pt idx="39">
                  <c:v>800.78420900000003</c:v>
                </c:pt>
                <c:pt idx="40">
                  <c:v>400.90650199999999</c:v>
                </c:pt>
                <c:pt idx="41">
                  <c:v>493.00977899999998</c:v>
                </c:pt>
                <c:pt idx="42">
                  <c:v>506.14624099999997</c:v>
                </c:pt>
                <c:pt idx="43">
                  <c:v>701.28115500000001</c:v>
                </c:pt>
                <c:pt idx="44">
                  <c:v>857.57134599999995</c:v>
                </c:pt>
                <c:pt idx="45">
                  <c:v>745.05038000000002</c:v>
                </c:pt>
                <c:pt idx="46">
                  <c:v>920.67829900000004</c:v>
                </c:pt>
                <c:pt idx="47">
                  <c:v>486.37732299999999</c:v>
                </c:pt>
                <c:pt idx="48">
                  <c:v>498.42196000000001</c:v>
                </c:pt>
                <c:pt idx="49">
                  <c:v>691.33763199999999</c:v>
                </c:pt>
                <c:pt idx="50">
                  <c:v>845.61363600000004</c:v>
                </c:pt>
                <c:pt idx="51">
                  <c:v>509.06670300000002</c:v>
                </c:pt>
                <c:pt idx="52">
                  <c:v>525.94369099999994</c:v>
                </c:pt>
                <c:pt idx="53">
                  <c:v>725.96999000000005</c:v>
                </c:pt>
                <c:pt idx="54">
                  <c:v>887.734151</c:v>
                </c:pt>
                <c:pt idx="55">
                  <c:v>760.79224299999998</c:v>
                </c:pt>
                <c:pt idx="56">
                  <c:v>937.93013900000005</c:v>
                </c:pt>
                <c:pt idx="57">
                  <c:v>668.71234100000004</c:v>
                </c:pt>
                <c:pt idx="58">
                  <c:v>682.64438399999995</c:v>
                </c:pt>
                <c:pt idx="59">
                  <c:v>895.14082800000006</c:v>
                </c:pt>
                <c:pt idx="60">
                  <c:v>1119.3951420000001</c:v>
                </c:pt>
                <c:pt idx="61">
                  <c:v>691.38687600000003</c:v>
                </c:pt>
                <c:pt idx="62">
                  <c:v>706.83758699999998</c:v>
                </c:pt>
                <c:pt idx="63">
                  <c:v>934.54052899999999</c:v>
                </c:pt>
                <c:pt idx="64">
                  <c:v>1158.066474</c:v>
                </c:pt>
                <c:pt idx="65">
                  <c:v>680.94391199999995</c:v>
                </c:pt>
                <c:pt idx="66">
                  <c:v>731.41082400000005</c:v>
                </c:pt>
                <c:pt idx="67">
                  <c:v>965.07817699999998</c:v>
                </c:pt>
                <c:pt idx="68">
                  <c:v>1197.2534310000001</c:v>
                </c:pt>
                <c:pt idx="69">
                  <c:v>409.947292</c:v>
                </c:pt>
                <c:pt idx="70">
                  <c:v>536.01168800000005</c:v>
                </c:pt>
                <c:pt idx="71">
                  <c:v>669.72361999999998</c:v>
                </c:pt>
                <c:pt idx="72">
                  <c:v>717.67640700000004</c:v>
                </c:pt>
                <c:pt idx="73">
                  <c:v>949.08524799999998</c:v>
                </c:pt>
                <c:pt idx="74">
                  <c:v>1177.001814</c:v>
                </c:pt>
                <c:pt idx="75">
                  <c:v>431.73255</c:v>
                </c:pt>
                <c:pt idx="76">
                  <c:v>564.47632299999998</c:v>
                </c:pt>
                <c:pt idx="77">
                  <c:v>705.21943799999997</c:v>
                </c:pt>
                <c:pt idx="78">
                  <c:v>761.91981199999998</c:v>
                </c:pt>
                <c:pt idx="79">
                  <c:v>1005.86634</c:v>
                </c:pt>
                <c:pt idx="80">
                  <c:v>1247.916023</c:v>
                </c:pt>
                <c:pt idx="81">
                  <c:v>455.40557200000001</c:v>
                </c:pt>
                <c:pt idx="82">
                  <c:v>595.47598800000003</c:v>
                </c:pt>
                <c:pt idx="83">
                  <c:v>746.277692</c:v>
                </c:pt>
                <c:pt idx="84">
                  <c:v>807.17893900000001</c:v>
                </c:pt>
                <c:pt idx="85">
                  <c:v>429.03838999999999</c:v>
                </c:pt>
                <c:pt idx="86">
                  <c:v>560.42382699999996</c:v>
                </c:pt>
                <c:pt idx="87">
                  <c:v>705.97502899999995</c:v>
                </c:pt>
                <c:pt idx="88">
                  <c:v>757.16547000000003</c:v>
                </c:pt>
                <c:pt idx="89">
                  <c:v>456.35897999999997</c:v>
                </c:pt>
                <c:pt idx="90">
                  <c:v>595.51658599999996</c:v>
                </c:pt>
                <c:pt idx="91">
                  <c:v>744.80454099999997</c:v>
                </c:pt>
                <c:pt idx="92">
                  <c:v>810.18099199999995</c:v>
                </c:pt>
                <c:pt idx="93">
                  <c:v>635.15332599999999</c:v>
                </c:pt>
                <c:pt idx="94">
                  <c:v>800.39901899999995</c:v>
                </c:pt>
                <c:pt idx="95">
                  <c:v>858.61251600000003</c:v>
                </c:pt>
                <c:pt idx="96">
                  <c:v>450.27389599999998</c:v>
                </c:pt>
                <c:pt idx="97">
                  <c:v>586.84529499999996</c:v>
                </c:pt>
                <c:pt idx="98">
                  <c:v>733.79187899999999</c:v>
                </c:pt>
                <c:pt idx="99">
                  <c:v>799.08325500000001</c:v>
                </c:pt>
                <c:pt idx="100">
                  <c:v>471.12537900000001</c:v>
                </c:pt>
                <c:pt idx="101">
                  <c:v>616.92599600000005</c:v>
                </c:pt>
                <c:pt idx="102">
                  <c:v>773.78931499999999</c:v>
                </c:pt>
                <c:pt idx="103">
                  <c:v>837.181872</c:v>
                </c:pt>
                <c:pt idx="104">
                  <c:v>645.67090900000005</c:v>
                </c:pt>
                <c:pt idx="105">
                  <c:v>814.37224100000003</c:v>
                </c:pt>
                <c:pt idx="106">
                  <c:v>876.96456699999999</c:v>
                </c:pt>
                <c:pt idx="107">
                  <c:v>626.49805700000002</c:v>
                </c:pt>
                <c:pt idx="108">
                  <c:v>836.56758600000001</c:v>
                </c:pt>
                <c:pt idx="109">
                  <c:v>1054.919081</c:v>
                </c:pt>
                <c:pt idx="110">
                  <c:v>1078.877925</c:v>
                </c:pt>
                <c:pt idx="111">
                  <c:v>644.34851000000003</c:v>
                </c:pt>
                <c:pt idx="112">
                  <c:v>863.74883599999998</c:v>
                </c:pt>
                <c:pt idx="113">
                  <c:v>1090.411026</c:v>
                </c:pt>
                <c:pt idx="114">
                  <c:v>1115.058276</c:v>
                </c:pt>
                <c:pt idx="115">
                  <c:v>663.79387899999995</c:v>
                </c:pt>
                <c:pt idx="116">
                  <c:v>888.92853000000002</c:v>
                </c:pt>
                <c:pt idx="117">
                  <c:v>1126.6159869999999</c:v>
                </c:pt>
                <c:pt idx="118">
                  <c:v>1153.3008689999999</c:v>
                </c:pt>
                <c:pt idx="119">
                  <c:v>526.79693599999996</c:v>
                </c:pt>
                <c:pt idx="120">
                  <c:v>480.969717</c:v>
                </c:pt>
                <c:pt idx="121">
                  <c:v>605.05073700000003</c:v>
                </c:pt>
                <c:pt idx="122">
                  <c:v>653.52067199999999</c:v>
                </c:pt>
                <c:pt idx="123">
                  <c:v>875.95689400000003</c:v>
                </c:pt>
                <c:pt idx="124">
                  <c:v>1106.992125</c:v>
                </c:pt>
                <c:pt idx="125">
                  <c:v>1133.928797</c:v>
                </c:pt>
                <c:pt idx="126">
                  <c:v>553.67981099999997</c:v>
                </c:pt>
                <c:pt idx="127">
                  <c:v>503.60551600000002</c:v>
                </c:pt>
                <c:pt idx="128">
                  <c:v>634.80316200000004</c:v>
                </c:pt>
                <c:pt idx="129">
                  <c:v>689.53508299999999</c:v>
                </c:pt>
                <c:pt idx="130">
                  <c:v>922.06036700000004</c:v>
                </c:pt>
                <c:pt idx="131">
                  <c:v>1132.0293670000001</c:v>
                </c:pt>
                <c:pt idx="132">
                  <c:v>1203.191106</c:v>
                </c:pt>
                <c:pt idx="133">
                  <c:v>579.99223800000004</c:v>
                </c:pt>
                <c:pt idx="134">
                  <c:v>530.50262599999996</c:v>
                </c:pt>
                <c:pt idx="135">
                  <c:v>668.13498400000003</c:v>
                </c:pt>
                <c:pt idx="136">
                  <c:v>729.56320700000003</c:v>
                </c:pt>
                <c:pt idx="137">
                  <c:v>552.52830300000005</c:v>
                </c:pt>
                <c:pt idx="138">
                  <c:v>501.23218400000002</c:v>
                </c:pt>
                <c:pt idx="139">
                  <c:v>631.78796599999998</c:v>
                </c:pt>
                <c:pt idx="140">
                  <c:v>655.98385399999995</c:v>
                </c:pt>
                <c:pt idx="141">
                  <c:v>577.83570999999995</c:v>
                </c:pt>
                <c:pt idx="142">
                  <c:v>528.21549200000004</c:v>
                </c:pt>
                <c:pt idx="143">
                  <c:v>666.45120699999995</c:v>
                </c:pt>
                <c:pt idx="144">
                  <c:v>699.77379299999996</c:v>
                </c:pt>
                <c:pt idx="145">
                  <c:v>714.85639800000001</c:v>
                </c:pt>
                <c:pt idx="146">
                  <c:v>744.95151799999996</c:v>
                </c:pt>
                <c:pt idx="147">
                  <c:v>571.46087</c:v>
                </c:pt>
                <c:pt idx="148">
                  <c:v>522.31678299999999</c:v>
                </c:pt>
                <c:pt idx="149">
                  <c:v>658.16158499999995</c:v>
                </c:pt>
                <c:pt idx="150">
                  <c:v>689.00483099999997</c:v>
                </c:pt>
                <c:pt idx="151">
                  <c:v>598.16795400000001</c:v>
                </c:pt>
                <c:pt idx="152">
                  <c:v>545.72700699999996</c:v>
                </c:pt>
                <c:pt idx="153">
                  <c:v>687.16228000000001</c:v>
                </c:pt>
                <c:pt idx="154">
                  <c:v>718.84307000000001</c:v>
                </c:pt>
                <c:pt idx="155">
                  <c:v>724.59671600000001</c:v>
                </c:pt>
                <c:pt idx="156">
                  <c:v>759.41014700000005</c:v>
                </c:pt>
              </c:numCache>
            </c:numRef>
          </c:xVal>
          <c:yVal>
            <c:numRef>
              <c:f>US06_1!$F$2:$F$158</c:f>
              <c:numCache>
                <c:formatCode>General</c:formatCode>
                <c:ptCount val="157"/>
                <c:pt idx="0">
                  <c:v>392.99714021032031</c:v>
                </c:pt>
                <c:pt idx="1">
                  <c:v>507.95459115927815</c:v>
                </c:pt>
                <c:pt idx="2">
                  <c:v>414.83673846950757</c:v>
                </c:pt>
                <c:pt idx="3">
                  <c:v>536.22675880225427</c:v>
                </c:pt>
                <c:pt idx="4">
                  <c:v>440.1193573020837</c:v>
                </c:pt>
                <c:pt idx="5">
                  <c:v>567.94194701861943</c:v>
                </c:pt>
                <c:pt idx="6">
                  <c:v>413.2351591615016</c:v>
                </c:pt>
                <c:pt idx="7">
                  <c:v>532.97725720384881</c:v>
                </c:pt>
                <c:pt idx="8">
                  <c:v>441.64120854881583</c:v>
                </c:pt>
                <c:pt idx="9">
                  <c:v>568.73481445835046</c:v>
                </c:pt>
                <c:pt idx="10">
                  <c:v>608.98937817605417</c:v>
                </c:pt>
                <c:pt idx="11">
                  <c:v>435.42019900726876</c:v>
                </c:pt>
                <c:pt idx="12">
                  <c:v>559.94694414300534</c:v>
                </c:pt>
                <c:pt idx="13">
                  <c:v>458.67722590362041</c:v>
                </c:pt>
                <c:pt idx="14">
                  <c:v>588.71760193974762</c:v>
                </c:pt>
                <c:pt idx="15">
                  <c:v>620.01782587204093</c:v>
                </c:pt>
                <c:pt idx="16">
                  <c:v>597.58929239323345</c:v>
                </c:pt>
                <c:pt idx="17">
                  <c:v>737.21621172938615</c:v>
                </c:pt>
                <c:pt idx="18">
                  <c:v>615.50794776886823</c:v>
                </c:pt>
                <c:pt idx="19">
                  <c:v>759.72955952201301</c:v>
                </c:pt>
                <c:pt idx="20">
                  <c:v>634.55085476030354</c:v>
                </c:pt>
                <c:pt idx="21">
                  <c:v>783.3671589304405</c:v>
                </c:pt>
                <c:pt idx="22">
                  <c:v>443.12018979751002</c:v>
                </c:pt>
                <c:pt idx="23">
                  <c:v>450.39898609765839</c:v>
                </c:pt>
                <c:pt idx="24">
                  <c:v>623.52707880536286</c:v>
                </c:pt>
                <c:pt idx="25">
                  <c:v>768.85758371830332</c:v>
                </c:pt>
                <c:pt idx="26">
                  <c:v>379.18195234983324</c:v>
                </c:pt>
                <c:pt idx="27">
                  <c:v>467.75733430968739</c:v>
                </c:pt>
                <c:pt idx="28">
                  <c:v>475.45486904874019</c:v>
                </c:pt>
                <c:pt idx="29">
                  <c:v>658.23181583212795</c:v>
                </c:pt>
                <c:pt idx="30">
                  <c:v>811.60303247480476</c:v>
                </c:pt>
                <c:pt idx="31">
                  <c:v>402.43769039755779</c:v>
                </c:pt>
                <c:pt idx="32">
                  <c:v>495.8374993952537</c:v>
                </c:pt>
                <c:pt idx="33">
                  <c:v>503.95377257321081</c:v>
                </c:pt>
                <c:pt idx="34">
                  <c:v>696.3795734322822</c:v>
                </c:pt>
                <c:pt idx="35">
                  <c:v>857.79150180469526</c:v>
                </c:pt>
                <c:pt idx="36">
                  <c:v>464.67338522702295</c:v>
                </c:pt>
                <c:pt idx="37">
                  <c:v>473.02932859553437</c:v>
                </c:pt>
                <c:pt idx="38">
                  <c:v>653.334391943323</c:v>
                </c:pt>
                <c:pt idx="39">
                  <c:v>804.64570572300022</c:v>
                </c:pt>
                <c:pt idx="40">
                  <c:v>403.42355918959521</c:v>
                </c:pt>
                <c:pt idx="41">
                  <c:v>496.27663033204016</c:v>
                </c:pt>
                <c:pt idx="42">
                  <c:v>505.11113191644233</c:v>
                </c:pt>
                <c:pt idx="43">
                  <c:v>696.44345706501224</c:v>
                </c:pt>
                <c:pt idx="44">
                  <c:v>856.94415567867384</c:v>
                </c:pt>
                <c:pt idx="45">
                  <c:v>744.04952864990321</c:v>
                </c:pt>
                <c:pt idx="46">
                  <c:v>913.73961209754896</c:v>
                </c:pt>
                <c:pt idx="47">
                  <c:v>488.17360155112192</c:v>
                </c:pt>
                <c:pt idx="48">
                  <c:v>497.60669198799633</c:v>
                </c:pt>
                <c:pt idx="49">
                  <c:v>685.08872597586901</c:v>
                </c:pt>
                <c:pt idx="50">
                  <c:v>842.380848622283</c:v>
                </c:pt>
                <c:pt idx="51">
                  <c:v>513.8285252357507</c:v>
                </c:pt>
                <c:pt idx="52">
                  <c:v>523.62053433454321</c:v>
                </c:pt>
                <c:pt idx="53">
                  <c:v>719.37301467300188</c:v>
                </c:pt>
                <c:pt idx="54">
                  <c:v>883.55717594490409</c:v>
                </c:pt>
                <c:pt idx="55">
                  <c:v>756.18686950568588</c:v>
                </c:pt>
                <c:pt idx="56">
                  <c:v>927.26306940307643</c:v>
                </c:pt>
                <c:pt idx="57">
                  <c:v>667.99843913442794</c:v>
                </c:pt>
                <c:pt idx="58">
                  <c:v>681.25012461421386</c:v>
                </c:pt>
                <c:pt idx="59">
                  <c:v>906.03702812059385</c:v>
                </c:pt>
                <c:pt idx="60">
                  <c:v>1133.2840784154816</c:v>
                </c:pt>
                <c:pt idx="61">
                  <c:v>688.43463085231258</c:v>
                </c:pt>
                <c:pt idx="62">
                  <c:v>701.92559544004382</c:v>
                </c:pt>
                <c:pt idx="63">
                  <c:v>934.06400681361129</c:v>
                </c:pt>
                <c:pt idx="64">
                  <c:v>1168.6625649756866</c:v>
                </c:pt>
                <c:pt idx="65">
                  <c:v>709.99507418599785</c:v>
                </c:pt>
                <c:pt idx="66">
                  <c:v>723.72531788167453</c:v>
                </c:pt>
                <c:pt idx="67">
                  <c:v>963.21523712242936</c:v>
                </c:pt>
                <c:pt idx="68">
                  <c:v>1205.1653031516919</c:v>
                </c:pt>
                <c:pt idx="69">
                  <c:v>401.20146756873703</c:v>
                </c:pt>
                <c:pt idx="70">
                  <c:v>527.21710286165614</c:v>
                </c:pt>
                <c:pt idx="71">
                  <c:v>696.44880341635042</c:v>
                </c:pt>
                <c:pt idx="72">
                  <c:v>710.61006237241588</c:v>
                </c:pt>
                <c:pt idx="73">
                  <c:v>944.52270280165646</c:v>
                </c:pt>
                <c:pt idx="74">
                  <c:v>1180.8954900194046</c:v>
                </c:pt>
                <c:pt idx="75">
                  <c:v>423.42639856199355</c:v>
                </c:pt>
                <c:pt idx="76">
                  <c:v>556.67867441167539</c:v>
                </c:pt>
                <c:pt idx="77">
                  <c:v>735.55922904205283</c:v>
                </c:pt>
                <c:pt idx="78">
                  <c:v>750.13922643702278</c:v>
                </c:pt>
                <c:pt idx="79">
                  <c:v>996.91700563384131</c:v>
                </c:pt>
                <c:pt idx="80">
                  <c:v>1246.1549316191674</c:v>
                </c:pt>
                <c:pt idx="81">
                  <c:v>449.09435012863901</c:v>
                </c:pt>
                <c:pt idx="82">
                  <c:v>589.58326653508334</c:v>
                </c:pt>
                <c:pt idx="83">
                  <c:v>778.11267524114453</c:v>
                </c:pt>
                <c:pt idx="84">
                  <c:v>793.11141107501874</c:v>
                </c:pt>
                <c:pt idx="85">
                  <c:v>420.96042033822903</c:v>
                </c:pt>
                <c:pt idx="86">
                  <c:v>552.35878361121127</c:v>
                </c:pt>
                <c:pt idx="87">
                  <c:v>728.7674548059897</c:v>
                </c:pt>
                <c:pt idx="88">
                  <c:v>744.0058608304181</c:v>
                </c:pt>
                <c:pt idx="89">
                  <c:v>449.80684999305095</c:v>
                </c:pt>
                <c:pt idx="90">
                  <c:v>589.47565961661905</c:v>
                </c:pt>
                <c:pt idx="91">
                  <c:v>776.91159261217854</c:v>
                </c:pt>
                <c:pt idx="92">
                  <c:v>792.62855685249792</c:v>
                </c:pt>
                <c:pt idx="93">
                  <c:v>631.08954208522891</c:v>
                </c:pt>
                <c:pt idx="94">
                  <c:v>829.55273688156933</c:v>
                </c:pt>
                <c:pt idx="95">
                  <c:v>845.74825933777947</c:v>
                </c:pt>
                <c:pt idx="96">
                  <c:v>442.66639400230696</c:v>
                </c:pt>
                <c:pt idx="97">
                  <c:v>579.44748525535226</c:v>
                </c:pt>
                <c:pt idx="98">
                  <c:v>763.03312709021452</c:v>
                </c:pt>
                <c:pt idx="99">
                  <c:v>779.34868018300619</c:v>
                </c:pt>
                <c:pt idx="100">
                  <c:v>466.25370609928939</c:v>
                </c:pt>
                <c:pt idx="101">
                  <c:v>609.2376321152741</c:v>
                </c:pt>
                <c:pt idx="102">
                  <c:v>801.09372030072234</c:v>
                </c:pt>
                <c:pt idx="103">
                  <c:v>817.768192055432</c:v>
                </c:pt>
                <c:pt idx="104">
                  <c:v>641.55734511074706</c:v>
                </c:pt>
                <c:pt idx="105">
                  <c:v>841.68387964678129</c:v>
                </c:pt>
                <c:pt idx="106">
                  <c:v>858.71727006340893</c:v>
                </c:pt>
                <c:pt idx="107">
                  <c:v>613.71554733929656</c:v>
                </c:pt>
                <c:pt idx="108">
                  <c:v>831.76966956551234</c:v>
                </c:pt>
                <c:pt idx="109">
                  <c:v>1052.2839385802356</c:v>
                </c:pt>
                <c:pt idx="110">
                  <c:v>1076.241677080337</c:v>
                </c:pt>
                <c:pt idx="111">
                  <c:v>632.31386209038442</c:v>
                </c:pt>
                <c:pt idx="112">
                  <c:v>857.71949218378757</c:v>
                </c:pt>
                <c:pt idx="113">
                  <c:v>1085.5852690656984</c:v>
                </c:pt>
                <c:pt idx="114">
                  <c:v>1109.7822866737449</c:v>
                </c:pt>
                <c:pt idx="115">
                  <c:v>652.03642845727268</c:v>
                </c:pt>
                <c:pt idx="116">
                  <c:v>884.7935664178633</c:v>
                </c:pt>
                <c:pt idx="117">
                  <c:v>1120.0108511669616</c:v>
                </c:pt>
                <c:pt idx="118">
                  <c:v>1144.4471478829537</c:v>
                </c:pt>
                <c:pt idx="119">
                  <c:v>544.1195124246974</c:v>
                </c:pt>
                <c:pt idx="120">
                  <c:v>481.40877508689971</c:v>
                </c:pt>
                <c:pt idx="121">
                  <c:v>586.32087045519415</c:v>
                </c:pt>
                <c:pt idx="122">
                  <c:v>639.88447739050389</c:v>
                </c:pt>
                <c:pt idx="123">
                  <c:v>867.06433653958027</c:v>
                </c:pt>
                <c:pt idx="124">
                  <c:v>1096.7043424771641</c:v>
                </c:pt>
                <c:pt idx="125">
                  <c:v>1121.5716544535451</c:v>
                </c:pt>
                <c:pt idx="126">
                  <c:v>568.96690162797324</c:v>
                </c:pt>
                <c:pt idx="127">
                  <c:v>505.04742127418513</c:v>
                </c:pt>
                <c:pt idx="128">
                  <c:v>616.39208602626854</c:v>
                </c:pt>
                <c:pt idx="129">
                  <c:v>675.77861832431188</c:v>
                </c:pt>
                <c:pt idx="130">
                  <c:v>915.8236162409662</c:v>
                </c:pt>
                <c:pt idx="131">
                  <c:v>1158.3287609461281</c:v>
                </c:pt>
                <c:pt idx="132">
                  <c:v>1183.6148113614133</c:v>
                </c:pt>
                <c:pt idx="133">
                  <c:v>597.25731140463802</c:v>
                </c:pt>
                <c:pt idx="134">
                  <c:v>532.12908803485925</c:v>
                </c:pt>
                <c:pt idx="135">
                  <c:v>649.90632217073176</c:v>
                </c:pt>
                <c:pt idx="136">
                  <c:v>715.11577983150903</c:v>
                </c:pt>
                <c:pt idx="137">
                  <c:v>563.27297008527637</c:v>
                </c:pt>
                <c:pt idx="138">
                  <c:v>500.39347084335452</c:v>
                </c:pt>
                <c:pt idx="139">
                  <c:v>610.09021330503856</c:v>
                </c:pt>
                <c:pt idx="140">
                  <c:v>669.81080523344849</c:v>
                </c:pt>
                <c:pt idx="141">
                  <c:v>595.11649483726319</c:v>
                </c:pt>
                <c:pt idx="142">
                  <c:v>530.855575005638</c:v>
                </c:pt>
                <c:pt idx="143">
                  <c:v>647.90382533450929</c:v>
                </c:pt>
                <c:pt idx="144">
                  <c:v>714.27918910604365</c:v>
                </c:pt>
                <c:pt idx="145">
                  <c:v>690.21444382718232</c:v>
                </c:pt>
                <c:pt idx="146">
                  <c:v>763.24457944184087</c:v>
                </c:pt>
                <c:pt idx="147">
                  <c:v>584.37344864044132</c:v>
                </c:pt>
                <c:pt idx="148">
                  <c:v>521.32518749439532</c:v>
                </c:pt>
                <c:pt idx="149">
                  <c:v>635.80657704946861</c:v>
                </c:pt>
                <c:pt idx="150">
                  <c:v>701.68415397097863</c:v>
                </c:pt>
                <c:pt idx="151">
                  <c:v>610.20858206029732</c:v>
                </c:pt>
                <c:pt idx="152">
                  <c:v>546.12425547197381</c:v>
                </c:pt>
                <c:pt idx="153">
                  <c:v>666.11927592743768</c:v>
                </c:pt>
                <c:pt idx="154">
                  <c:v>736.98793173129104</c:v>
                </c:pt>
                <c:pt idx="155">
                  <c:v>698.961540940958</c:v>
                </c:pt>
                <c:pt idx="156">
                  <c:v>774.82127562715459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2C-4B32-BC77-8F8C48764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8613552"/>
        <c:axId val="1348609808"/>
      </c:scatterChart>
      <c:valAx>
        <c:axId val="1348613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ALPHA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8609808"/>
        <c:crosses val="autoZero"/>
        <c:crossBetween val="midCat"/>
      </c:valAx>
      <c:valAx>
        <c:axId val="13486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RSE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8613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US06_1!$F$1</c:f>
              <c:strCache>
                <c:ptCount val="1"/>
                <c:pt idx="0">
                  <c:v>CO2-RSE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US06_1!$E$2:$E$158</c:f>
              <c:numCache>
                <c:formatCode>General</c:formatCode>
                <c:ptCount val="157"/>
                <c:pt idx="0">
                  <c:v>388.94309900000002</c:v>
                </c:pt>
                <c:pt idx="1">
                  <c:v>502.82906600000001</c:v>
                </c:pt>
                <c:pt idx="2">
                  <c:v>411.30353700000001</c:v>
                </c:pt>
                <c:pt idx="3">
                  <c:v>534.04674899999998</c:v>
                </c:pt>
                <c:pt idx="4">
                  <c:v>435.09201899999999</c:v>
                </c:pt>
                <c:pt idx="5">
                  <c:v>566.73974499999997</c:v>
                </c:pt>
                <c:pt idx="6">
                  <c:v>408.82602400000002</c:v>
                </c:pt>
                <c:pt idx="7">
                  <c:v>529.86704699999996</c:v>
                </c:pt>
                <c:pt idx="8">
                  <c:v>435.30282899999997</c:v>
                </c:pt>
                <c:pt idx="9">
                  <c:v>566.76496299999997</c:v>
                </c:pt>
                <c:pt idx="10">
                  <c:v>603.74356699999998</c:v>
                </c:pt>
                <c:pt idx="11">
                  <c:v>429.39717899999999</c:v>
                </c:pt>
                <c:pt idx="12">
                  <c:v>557.72758499999998</c:v>
                </c:pt>
                <c:pt idx="13">
                  <c:v>450.84144600000002</c:v>
                </c:pt>
                <c:pt idx="14">
                  <c:v>586.12710300000003</c:v>
                </c:pt>
                <c:pt idx="15">
                  <c:v>613.95404900000005</c:v>
                </c:pt>
                <c:pt idx="16">
                  <c:v>591.38932499999999</c:v>
                </c:pt>
                <c:pt idx="17">
                  <c:v>722.35958600000004</c:v>
                </c:pt>
                <c:pt idx="18">
                  <c:v>612.58705399999997</c:v>
                </c:pt>
                <c:pt idx="19">
                  <c:v>747.91327699999999</c:v>
                </c:pt>
                <c:pt idx="20">
                  <c:v>633.72619799999995</c:v>
                </c:pt>
                <c:pt idx="21">
                  <c:v>774.64071000000001</c:v>
                </c:pt>
                <c:pt idx="22">
                  <c:v>443.01189099999999</c:v>
                </c:pt>
                <c:pt idx="23">
                  <c:v>450.35294900000002</c:v>
                </c:pt>
                <c:pt idx="24">
                  <c:v>621.63684499999999</c:v>
                </c:pt>
                <c:pt idx="25">
                  <c:v>758.49493900000004</c:v>
                </c:pt>
                <c:pt idx="26">
                  <c:v>379.301605</c:v>
                </c:pt>
                <c:pt idx="27">
                  <c:v>466.49273399999998</c:v>
                </c:pt>
                <c:pt idx="28">
                  <c:v>477.16841199999999</c:v>
                </c:pt>
                <c:pt idx="29">
                  <c:v>660.086319</c:v>
                </c:pt>
                <c:pt idx="30">
                  <c:v>806.93033300000002</c:v>
                </c:pt>
                <c:pt idx="31">
                  <c:v>400.18332500000002</c:v>
                </c:pt>
                <c:pt idx="32">
                  <c:v>492.32012400000002</c:v>
                </c:pt>
                <c:pt idx="33">
                  <c:v>506.73546800000003</c:v>
                </c:pt>
                <c:pt idx="34">
                  <c:v>699.66178600000001</c:v>
                </c:pt>
                <c:pt idx="35">
                  <c:v>855.767246</c:v>
                </c:pt>
                <c:pt idx="36">
                  <c:v>463.723029</c:v>
                </c:pt>
                <c:pt idx="37">
                  <c:v>473.02308799999997</c:v>
                </c:pt>
                <c:pt idx="38">
                  <c:v>655.49382700000001</c:v>
                </c:pt>
                <c:pt idx="39">
                  <c:v>800.78420900000003</c:v>
                </c:pt>
                <c:pt idx="40">
                  <c:v>400.90650199999999</c:v>
                </c:pt>
                <c:pt idx="41">
                  <c:v>493.00977899999998</c:v>
                </c:pt>
                <c:pt idx="42">
                  <c:v>506.14624099999997</c:v>
                </c:pt>
                <c:pt idx="43">
                  <c:v>701.28115500000001</c:v>
                </c:pt>
                <c:pt idx="44">
                  <c:v>857.57134599999995</c:v>
                </c:pt>
                <c:pt idx="45">
                  <c:v>745.05038000000002</c:v>
                </c:pt>
                <c:pt idx="46">
                  <c:v>920.67829900000004</c:v>
                </c:pt>
                <c:pt idx="47">
                  <c:v>486.37732299999999</c:v>
                </c:pt>
                <c:pt idx="48">
                  <c:v>498.42196000000001</c:v>
                </c:pt>
                <c:pt idx="49">
                  <c:v>691.33763199999999</c:v>
                </c:pt>
                <c:pt idx="50">
                  <c:v>845.61363600000004</c:v>
                </c:pt>
                <c:pt idx="51">
                  <c:v>509.06670300000002</c:v>
                </c:pt>
                <c:pt idx="52">
                  <c:v>525.94369099999994</c:v>
                </c:pt>
                <c:pt idx="53">
                  <c:v>725.96999000000005</c:v>
                </c:pt>
                <c:pt idx="54">
                  <c:v>887.734151</c:v>
                </c:pt>
                <c:pt idx="55">
                  <c:v>760.79224299999998</c:v>
                </c:pt>
                <c:pt idx="56">
                  <c:v>937.93013900000005</c:v>
                </c:pt>
                <c:pt idx="57">
                  <c:v>668.71234100000004</c:v>
                </c:pt>
                <c:pt idx="58">
                  <c:v>682.64438399999995</c:v>
                </c:pt>
                <c:pt idx="59">
                  <c:v>895.14082800000006</c:v>
                </c:pt>
                <c:pt idx="60">
                  <c:v>1119.3951420000001</c:v>
                </c:pt>
                <c:pt idx="61">
                  <c:v>691.38687600000003</c:v>
                </c:pt>
                <c:pt idx="62">
                  <c:v>706.83758699999998</c:v>
                </c:pt>
                <c:pt idx="63">
                  <c:v>934.54052899999999</c:v>
                </c:pt>
                <c:pt idx="64">
                  <c:v>1158.066474</c:v>
                </c:pt>
                <c:pt idx="65">
                  <c:v>680.94391199999995</c:v>
                </c:pt>
                <c:pt idx="66">
                  <c:v>731.41082400000005</c:v>
                </c:pt>
                <c:pt idx="67">
                  <c:v>965.07817699999998</c:v>
                </c:pt>
                <c:pt idx="68">
                  <c:v>1197.2534310000001</c:v>
                </c:pt>
                <c:pt idx="69">
                  <c:v>409.947292</c:v>
                </c:pt>
                <c:pt idx="70">
                  <c:v>536.01168800000005</c:v>
                </c:pt>
                <c:pt idx="71">
                  <c:v>669.72361999999998</c:v>
                </c:pt>
                <c:pt idx="72">
                  <c:v>717.67640700000004</c:v>
                </c:pt>
                <c:pt idx="73">
                  <c:v>949.08524799999998</c:v>
                </c:pt>
                <c:pt idx="74">
                  <c:v>1177.001814</c:v>
                </c:pt>
                <c:pt idx="75">
                  <c:v>431.73255</c:v>
                </c:pt>
                <c:pt idx="76">
                  <c:v>564.47632299999998</c:v>
                </c:pt>
                <c:pt idx="77">
                  <c:v>705.21943799999997</c:v>
                </c:pt>
                <c:pt idx="78">
                  <c:v>761.91981199999998</c:v>
                </c:pt>
                <c:pt idx="79">
                  <c:v>1005.86634</c:v>
                </c:pt>
                <c:pt idx="80">
                  <c:v>1247.916023</c:v>
                </c:pt>
                <c:pt idx="81">
                  <c:v>455.40557200000001</c:v>
                </c:pt>
                <c:pt idx="82">
                  <c:v>595.47598800000003</c:v>
                </c:pt>
                <c:pt idx="83">
                  <c:v>746.277692</c:v>
                </c:pt>
                <c:pt idx="84">
                  <c:v>807.17893900000001</c:v>
                </c:pt>
                <c:pt idx="85">
                  <c:v>429.03838999999999</c:v>
                </c:pt>
                <c:pt idx="86">
                  <c:v>560.42382699999996</c:v>
                </c:pt>
                <c:pt idx="87">
                  <c:v>705.97502899999995</c:v>
                </c:pt>
                <c:pt idx="88">
                  <c:v>757.16547000000003</c:v>
                </c:pt>
                <c:pt idx="89">
                  <c:v>456.35897999999997</c:v>
                </c:pt>
                <c:pt idx="90">
                  <c:v>595.51658599999996</c:v>
                </c:pt>
                <c:pt idx="91">
                  <c:v>744.80454099999997</c:v>
                </c:pt>
                <c:pt idx="92">
                  <c:v>810.18099199999995</c:v>
                </c:pt>
                <c:pt idx="93">
                  <c:v>635.15332599999999</c:v>
                </c:pt>
                <c:pt idx="94">
                  <c:v>800.39901899999995</c:v>
                </c:pt>
                <c:pt idx="95">
                  <c:v>858.61251600000003</c:v>
                </c:pt>
                <c:pt idx="96">
                  <c:v>450.27389599999998</c:v>
                </c:pt>
                <c:pt idx="97">
                  <c:v>586.84529499999996</c:v>
                </c:pt>
                <c:pt idx="98">
                  <c:v>733.79187899999999</c:v>
                </c:pt>
                <c:pt idx="99">
                  <c:v>799.08325500000001</c:v>
                </c:pt>
                <c:pt idx="100">
                  <c:v>471.12537900000001</c:v>
                </c:pt>
                <c:pt idx="101">
                  <c:v>616.92599600000005</c:v>
                </c:pt>
                <c:pt idx="102">
                  <c:v>773.78931499999999</c:v>
                </c:pt>
                <c:pt idx="103">
                  <c:v>837.181872</c:v>
                </c:pt>
                <c:pt idx="104">
                  <c:v>645.67090900000005</c:v>
                </c:pt>
                <c:pt idx="105">
                  <c:v>814.37224100000003</c:v>
                </c:pt>
                <c:pt idx="106">
                  <c:v>876.96456699999999</c:v>
                </c:pt>
                <c:pt idx="107">
                  <c:v>626.49805700000002</c:v>
                </c:pt>
                <c:pt idx="108">
                  <c:v>836.56758600000001</c:v>
                </c:pt>
                <c:pt idx="109">
                  <c:v>1054.919081</c:v>
                </c:pt>
                <c:pt idx="110">
                  <c:v>1078.877925</c:v>
                </c:pt>
                <c:pt idx="111">
                  <c:v>644.34851000000003</c:v>
                </c:pt>
                <c:pt idx="112">
                  <c:v>863.74883599999998</c:v>
                </c:pt>
                <c:pt idx="113">
                  <c:v>1090.411026</c:v>
                </c:pt>
                <c:pt idx="114">
                  <c:v>1115.058276</c:v>
                </c:pt>
                <c:pt idx="115">
                  <c:v>663.79387899999995</c:v>
                </c:pt>
                <c:pt idx="116">
                  <c:v>888.92853000000002</c:v>
                </c:pt>
                <c:pt idx="117">
                  <c:v>1126.6159869999999</c:v>
                </c:pt>
                <c:pt idx="118">
                  <c:v>1153.3008689999999</c:v>
                </c:pt>
                <c:pt idx="119">
                  <c:v>526.79693599999996</c:v>
                </c:pt>
                <c:pt idx="120">
                  <c:v>480.969717</c:v>
                </c:pt>
                <c:pt idx="121">
                  <c:v>605.05073700000003</c:v>
                </c:pt>
                <c:pt idx="122">
                  <c:v>653.52067199999999</c:v>
                </c:pt>
                <c:pt idx="123">
                  <c:v>875.95689400000003</c:v>
                </c:pt>
                <c:pt idx="124">
                  <c:v>1106.992125</c:v>
                </c:pt>
                <c:pt idx="125">
                  <c:v>1133.928797</c:v>
                </c:pt>
                <c:pt idx="126">
                  <c:v>553.67981099999997</c:v>
                </c:pt>
                <c:pt idx="127">
                  <c:v>503.60551600000002</c:v>
                </c:pt>
                <c:pt idx="128">
                  <c:v>634.80316200000004</c:v>
                </c:pt>
                <c:pt idx="129">
                  <c:v>689.53508299999999</c:v>
                </c:pt>
                <c:pt idx="130">
                  <c:v>922.06036700000004</c:v>
                </c:pt>
                <c:pt idx="131">
                  <c:v>1132.0293670000001</c:v>
                </c:pt>
                <c:pt idx="132">
                  <c:v>1203.191106</c:v>
                </c:pt>
                <c:pt idx="133">
                  <c:v>579.99223800000004</c:v>
                </c:pt>
                <c:pt idx="134">
                  <c:v>530.50262599999996</c:v>
                </c:pt>
                <c:pt idx="135">
                  <c:v>668.13498400000003</c:v>
                </c:pt>
                <c:pt idx="136">
                  <c:v>729.56320700000003</c:v>
                </c:pt>
                <c:pt idx="137">
                  <c:v>552.52830300000005</c:v>
                </c:pt>
                <c:pt idx="138">
                  <c:v>501.23218400000002</c:v>
                </c:pt>
                <c:pt idx="139">
                  <c:v>631.78796599999998</c:v>
                </c:pt>
                <c:pt idx="140">
                  <c:v>655.98385399999995</c:v>
                </c:pt>
                <c:pt idx="141">
                  <c:v>577.83570999999995</c:v>
                </c:pt>
                <c:pt idx="142">
                  <c:v>528.21549200000004</c:v>
                </c:pt>
                <c:pt idx="143">
                  <c:v>666.45120699999995</c:v>
                </c:pt>
                <c:pt idx="144">
                  <c:v>699.77379299999996</c:v>
                </c:pt>
                <c:pt idx="145">
                  <c:v>714.85639800000001</c:v>
                </c:pt>
                <c:pt idx="146">
                  <c:v>744.95151799999996</c:v>
                </c:pt>
                <c:pt idx="147">
                  <c:v>571.46087</c:v>
                </c:pt>
                <c:pt idx="148">
                  <c:v>522.31678299999999</c:v>
                </c:pt>
                <c:pt idx="149">
                  <c:v>658.16158499999995</c:v>
                </c:pt>
                <c:pt idx="150">
                  <c:v>689.00483099999997</c:v>
                </c:pt>
                <c:pt idx="151">
                  <c:v>598.16795400000001</c:v>
                </c:pt>
                <c:pt idx="152">
                  <c:v>545.72700699999996</c:v>
                </c:pt>
                <c:pt idx="153">
                  <c:v>687.16228000000001</c:v>
                </c:pt>
                <c:pt idx="154">
                  <c:v>718.84307000000001</c:v>
                </c:pt>
                <c:pt idx="155">
                  <c:v>724.59671600000001</c:v>
                </c:pt>
                <c:pt idx="156">
                  <c:v>759.41014700000005</c:v>
                </c:pt>
              </c:numCache>
            </c:numRef>
          </c:xVal>
          <c:yVal>
            <c:numRef>
              <c:f>US06_1!$F$2:$F$158</c:f>
              <c:numCache>
                <c:formatCode>General</c:formatCode>
                <c:ptCount val="157"/>
                <c:pt idx="0">
                  <c:v>392.99714021032031</c:v>
                </c:pt>
                <c:pt idx="1">
                  <c:v>507.95459115927815</c:v>
                </c:pt>
                <c:pt idx="2">
                  <c:v>414.83673846950757</c:v>
                </c:pt>
                <c:pt idx="3">
                  <c:v>536.22675880225427</c:v>
                </c:pt>
                <c:pt idx="4">
                  <c:v>440.1193573020837</c:v>
                </c:pt>
                <c:pt idx="5">
                  <c:v>567.94194701861943</c:v>
                </c:pt>
                <c:pt idx="6">
                  <c:v>413.2351591615016</c:v>
                </c:pt>
                <c:pt idx="7">
                  <c:v>532.97725720384881</c:v>
                </c:pt>
                <c:pt idx="8">
                  <c:v>441.64120854881583</c:v>
                </c:pt>
                <c:pt idx="9">
                  <c:v>568.73481445835046</c:v>
                </c:pt>
                <c:pt idx="10">
                  <c:v>608.98937817605417</c:v>
                </c:pt>
                <c:pt idx="11">
                  <c:v>435.42019900726876</c:v>
                </c:pt>
                <c:pt idx="12">
                  <c:v>559.94694414300534</c:v>
                </c:pt>
                <c:pt idx="13">
                  <c:v>458.67722590362041</c:v>
                </c:pt>
                <c:pt idx="14">
                  <c:v>588.71760193974762</c:v>
                </c:pt>
                <c:pt idx="15">
                  <c:v>620.01782587204093</c:v>
                </c:pt>
                <c:pt idx="16">
                  <c:v>597.58929239323345</c:v>
                </c:pt>
                <c:pt idx="17">
                  <c:v>737.21621172938615</c:v>
                </c:pt>
                <c:pt idx="18">
                  <c:v>615.50794776886823</c:v>
                </c:pt>
                <c:pt idx="19">
                  <c:v>759.72955952201301</c:v>
                </c:pt>
                <c:pt idx="20">
                  <c:v>634.55085476030354</c:v>
                </c:pt>
                <c:pt idx="21">
                  <c:v>783.3671589304405</c:v>
                </c:pt>
                <c:pt idx="22">
                  <c:v>443.12018979751002</c:v>
                </c:pt>
                <c:pt idx="23">
                  <c:v>450.39898609765839</c:v>
                </c:pt>
                <c:pt idx="24">
                  <c:v>623.52707880536286</c:v>
                </c:pt>
                <c:pt idx="25">
                  <c:v>768.85758371830332</c:v>
                </c:pt>
                <c:pt idx="26">
                  <c:v>379.18195234983324</c:v>
                </c:pt>
                <c:pt idx="27">
                  <c:v>467.75733430968739</c:v>
                </c:pt>
                <c:pt idx="28">
                  <c:v>475.45486904874019</c:v>
                </c:pt>
                <c:pt idx="29">
                  <c:v>658.23181583212795</c:v>
                </c:pt>
                <c:pt idx="30">
                  <c:v>811.60303247480476</c:v>
                </c:pt>
                <c:pt idx="31">
                  <c:v>402.43769039755779</c:v>
                </c:pt>
                <c:pt idx="32">
                  <c:v>495.8374993952537</c:v>
                </c:pt>
                <c:pt idx="33">
                  <c:v>503.95377257321081</c:v>
                </c:pt>
                <c:pt idx="34">
                  <c:v>696.3795734322822</c:v>
                </c:pt>
                <c:pt idx="35">
                  <c:v>857.79150180469526</c:v>
                </c:pt>
                <c:pt idx="36">
                  <c:v>464.67338522702295</c:v>
                </c:pt>
                <c:pt idx="37">
                  <c:v>473.02932859553437</c:v>
                </c:pt>
                <c:pt idx="38">
                  <c:v>653.334391943323</c:v>
                </c:pt>
                <c:pt idx="39">
                  <c:v>804.64570572300022</c:v>
                </c:pt>
                <c:pt idx="40">
                  <c:v>403.42355918959521</c:v>
                </c:pt>
                <c:pt idx="41">
                  <c:v>496.27663033204016</c:v>
                </c:pt>
                <c:pt idx="42">
                  <c:v>505.11113191644233</c:v>
                </c:pt>
                <c:pt idx="43">
                  <c:v>696.44345706501224</c:v>
                </c:pt>
                <c:pt idx="44">
                  <c:v>856.94415567867384</c:v>
                </c:pt>
                <c:pt idx="45">
                  <c:v>744.04952864990321</c:v>
                </c:pt>
                <c:pt idx="46">
                  <c:v>913.73961209754896</c:v>
                </c:pt>
                <c:pt idx="47">
                  <c:v>488.17360155112192</c:v>
                </c:pt>
                <c:pt idx="48">
                  <c:v>497.60669198799633</c:v>
                </c:pt>
                <c:pt idx="49">
                  <c:v>685.08872597586901</c:v>
                </c:pt>
                <c:pt idx="50">
                  <c:v>842.380848622283</c:v>
                </c:pt>
                <c:pt idx="51">
                  <c:v>513.8285252357507</c:v>
                </c:pt>
                <c:pt idx="52">
                  <c:v>523.62053433454321</c:v>
                </c:pt>
                <c:pt idx="53">
                  <c:v>719.37301467300188</c:v>
                </c:pt>
                <c:pt idx="54">
                  <c:v>883.55717594490409</c:v>
                </c:pt>
                <c:pt idx="55">
                  <c:v>756.18686950568588</c:v>
                </c:pt>
                <c:pt idx="56">
                  <c:v>927.26306940307643</c:v>
                </c:pt>
                <c:pt idx="57">
                  <c:v>667.99843913442794</c:v>
                </c:pt>
                <c:pt idx="58">
                  <c:v>681.25012461421386</c:v>
                </c:pt>
                <c:pt idx="59">
                  <c:v>906.03702812059385</c:v>
                </c:pt>
                <c:pt idx="60">
                  <c:v>1133.2840784154816</c:v>
                </c:pt>
                <c:pt idx="61">
                  <c:v>688.43463085231258</c:v>
                </c:pt>
                <c:pt idx="62">
                  <c:v>701.92559544004382</c:v>
                </c:pt>
                <c:pt idx="63">
                  <c:v>934.06400681361129</c:v>
                </c:pt>
                <c:pt idx="64">
                  <c:v>1168.6625649756866</c:v>
                </c:pt>
                <c:pt idx="65">
                  <c:v>709.99507418599785</c:v>
                </c:pt>
                <c:pt idx="66">
                  <c:v>723.72531788167453</c:v>
                </c:pt>
                <c:pt idx="67">
                  <c:v>963.21523712242936</c:v>
                </c:pt>
                <c:pt idx="68">
                  <c:v>1205.1653031516919</c:v>
                </c:pt>
                <c:pt idx="69">
                  <c:v>401.20146756873703</c:v>
                </c:pt>
                <c:pt idx="70">
                  <c:v>527.21710286165614</c:v>
                </c:pt>
                <c:pt idx="71">
                  <c:v>696.44880341635042</c:v>
                </c:pt>
                <c:pt idx="72">
                  <c:v>710.61006237241588</c:v>
                </c:pt>
                <c:pt idx="73">
                  <c:v>944.52270280165646</c:v>
                </c:pt>
                <c:pt idx="74">
                  <c:v>1180.8954900194046</c:v>
                </c:pt>
                <c:pt idx="75">
                  <c:v>423.42639856199355</c:v>
                </c:pt>
                <c:pt idx="76">
                  <c:v>556.67867441167539</c:v>
                </c:pt>
                <c:pt idx="77">
                  <c:v>735.55922904205283</c:v>
                </c:pt>
                <c:pt idx="78">
                  <c:v>750.13922643702278</c:v>
                </c:pt>
                <c:pt idx="79">
                  <c:v>996.91700563384131</c:v>
                </c:pt>
                <c:pt idx="80">
                  <c:v>1246.1549316191674</c:v>
                </c:pt>
                <c:pt idx="81">
                  <c:v>449.09435012863901</c:v>
                </c:pt>
                <c:pt idx="82">
                  <c:v>589.58326653508334</c:v>
                </c:pt>
                <c:pt idx="83">
                  <c:v>778.11267524114453</c:v>
                </c:pt>
                <c:pt idx="84">
                  <c:v>793.11141107501874</c:v>
                </c:pt>
                <c:pt idx="85">
                  <c:v>420.96042033822903</c:v>
                </c:pt>
                <c:pt idx="86">
                  <c:v>552.35878361121127</c:v>
                </c:pt>
                <c:pt idx="87">
                  <c:v>728.7674548059897</c:v>
                </c:pt>
                <c:pt idx="88">
                  <c:v>744.0058608304181</c:v>
                </c:pt>
                <c:pt idx="89">
                  <c:v>449.80684999305095</c:v>
                </c:pt>
                <c:pt idx="90">
                  <c:v>589.47565961661905</c:v>
                </c:pt>
                <c:pt idx="91">
                  <c:v>776.91159261217854</c:v>
                </c:pt>
                <c:pt idx="92">
                  <c:v>792.62855685249792</c:v>
                </c:pt>
                <c:pt idx="93">
                  <c:v>631.08954208522891</c:v>
                </c:pt>
                <c:pt idx="94">
                  <c:v>829.55273688156933</c:v>
                </c:pt>
                <c:pt idx="95">
                  <c:v>845.74825933777947</c:v>
                </c:pt>
                <c:pt idx="96">
                  <c:v>442.66639400230696</c:v>
                </c:pt>
                <c:pt idx="97">
                  <c:v>579.44748525535226</c:v>
                </c:pt>
                <c:pt idx="98">
                  <c:v>763.03312709021452</c:v>
                </c:pt>
                <c:pt idx="99">
                  <c:v>779.34868018300619</c:v>
                </c:pt>
                <c:pt idx="100">
                  <c:v>466.25370609928939</c:v>
                </c:pt>
                <c:pt idx="101">
                  <c:v>609.2376321152741</c:v>
                </c:pt>
                <c:pt idx="102">
                  <c:v>801.09372030072234</c:v>
                </c:pt>
                <c:pt idx="103">
                  <c:v>817.768192055432</c:v>
                </c:pt>
                <c:pt idx="104">
                  <c:v>641.55734511074706</c:v>
                </c:pt>
                <c:pt idx="105">
                  <c:v>841.68387964678129</c:v>
                </c:pt>
                <c:pt idx="106">
                  <c:v>858.71727006340893</c:v>
                </c:pt>
                <c:pt idx="107">
                  <c:v>613.71554733929656</c:v>
                </c:pt>
                <c:pt idx="108">
                  <c:v>831.76966956551234</c:v>
                </c:pt>
                <c:pt idx="109">
                  <c:v>1052.2839385802356</c:v>
                </c:pt>
                <c:pt idx="110">
                  <c:v>1076.241677080337</c:v>
                </c:pt>
                <c:pt idx="111">
                  <c:v>632.31386209038442</c:v>
                </c:pt>
                <c:pt idx="112">
                  <c:v>857.71949218378757</c:v>
                </c:pt>
                <c:pt idx="113">
                  <c:v>1085.5852690656984</c:v>
                </c:pt>
                <c:pt idx="114">
                  <c:v>1109.7822866737449</c:v>
                </c:pt>
                <c:pt idx="115">
                  <c:v>652.03642845727268</c:v>
                </c:pt>
                <c:pt idx="116">
                  <c:v>884.7935664178633</c:v>
                </c:pt>
                <c:pt idx="117">
                  <c:v>1120.0108511669616</c:v>
                </c:pt>
                <c:pt idx="118">
                  <c:v>1144.4471478829537</c:v>
                </c:pt>
                <c:pt idx="119">
                  <c:v>544.1195124246974</c:v>
                </c:pt>
                <c:pt idx="120">
                  <c:v>481.40877508689971</c:v>
                </c:pt>
                <c:pt idx="121">
                  <c:v>586.32087045519415</c:v>
                </c:pt>
                <c:pt idx="122">
                  <c:v>639.88447739050389</c:v>
                </c:pt>
                <c:pt idx="123">
                  <c:v>867.06433653958027</c:v>
                </c:pt>
                <c:pt idx="124">
                  <c:v>1096.7043424771641</c:v>
                </c:pt>
                <c:pt idx="125">
                  <c:v>1121.5716544535451</c:v>
                </c:pt>
                <c:pt idx="126">
                  <c:v>568.96690162797324</c:v>
                </c:pt>
                <c:pt idx="127">
                  <c:v>505.04742127418513</c:v>
                </c:pt>
                <c:pt idx="128">
                  <c:v>616.39208602626854</c:v>
                </c:pt>
                <c:pt idx="129">
                  <c:v>675.77861832431188</c:v>
                </c:pt>
                <c:pt idx="130">
                  <c:v>915.8236162409662</c:v>
                </c:pt>
                <c:pt idx="131">
                  <c:v>1158.3287609461281</c:v>
                </c:pt>
                <c:pt idx="132">
                  <c:v>1183.6148113614133</c:v>
                </c:pt>
                <c:pt idx="133">
                  <c:v>597.25731140463802</c:v>
                </c:pt>
                <c:pt idx="134">
                  <c:v>532.12908803485925</c:v>
                </c:pt>
                <c:pt idx="135">
                  <c:v>649.90632217073176</c:v>
                </c:pt>
                <c:pt idx="136">
                  <c:v>715.11577983150903</c:v>
                </c:pt>
                <c:pt idx="137">
                  <c:v>563.27297008527637</c:v>
                </c:pt>
                <c:pt idx="138">
                  <c:v>500.39347084335452</c:v>
                </c:pt>
                <c:pt idx="139">
                  <c:v>610.09021330503856</c:v>
                </c:pt>
                <c:pt idx="140">
                  <c:v>669.81080523344849</c:v>
                </c:pt>
                <c:pt idx="141">
                  <c:v>595.11649483726319</c:v>
                </c:pt>
                <c:pt idx="142">
                  <c:v>530.855575005638</c:v>
                </c:pt>
                <c:pt idx="143">
                  <c:v>647.90382533450929</c:v>
                </c:pt>
                <c:pt idx="144">
                  <c:v>714.27918910604365</c:v>
                </c:pt>
                <c:pt idx="145">
                  <c:v>690.21444382718232</c:v>
                </c:pt>
                <c:pt idx="146">
                  <c:v>763.24457944184087</c:v>
                </c:pt>
                <c:pt idx="147">
                  <c:v>584.37344864044132</c:v>
                </c:pt>
                <c:pt idx="148">
                  <c:v>521.32518749439532</c:v>
                </c:pt>
                <c:pt idx="149">
                  <c:v>635.80657704946861</c:v>
                </c:pt>
                <c:pt idx="150">
                  <c:v>701.68415397097863</c:v>
                </c:pt>
                <c:pt idx="151">
                  <c:v>610.20858206029732</c:v>
                </c:pt>
                <c:pt idx="152">
                  <c:v>546.12425547197381</c:v>
                </c:pt>
                <c:pt idx="153">
                  <c:v>666.11927592743768</c:v>
                </c:pt>
                <c:pt idx="154">
                  <c:v>736.98793173129104</c:v>
                </c:pt>
                <c:pt idx="155">
                  <c:v>698.961540940958</c:v>
                </c:pt>
                <c:pt idx="156">
                  <c:v>774.82127562715459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FA-47AB-BA00-269DE0B8FE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6532736"/>
        <c:axId val="1356533152"/>
      </c:scatterChart>
      <c:valAx>
        <c:axId val="1356532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ALPHA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6533152"/>
        <c:crosses val="autoZero"/>
        <c:crossBetween val="midCat"/>
      </c:valAx>
      <c:valAx>
        <c:axId val="135653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RSE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6532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US06_1!$F$1</c:f>
              <c:strCache>
                <c:ptCount val="1"/>
                <c:pt idx="0">
                  <c:v>CO2-RSE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US06_1!$E$2:$E$158</c:f>
              <c:numCache>
                <c:formatCode>General</c:formatCode>
                <c:ptCount val="157"/>
                <c:pt idx="0">
                  <c:v>388.94309900000002</c:v>
                </c:pt>
                <c:pt idx="1">
                  <c:v>502.82906600000001</c:v>
                </c:pt>
                <c:pt idx="2">
                  <c:v>411.30353700000001</c:v>
                </c:pt>
                <c:pt idx="3">
                  <c:v>534.04674899999998</c:v>
                </c:pt>
                <c:pt idx="4">
                  <c:v>435.09201899999999</c:v>
                </c:pt>
                <c:pt idx="5">
                  <c:v>566.73974499999997</c:v>
                </c:pt>
                <c:pt idx="6">
                  <c:v>408.82602400000002</c:v>
                </c:pt>
                <c:pt idx="7">
                  <c:v>529.86704699999996</c:v>
                </c:pt>
                <c:pt idx="8">
                  <c:v>435.30282899999997</c:v>
                </c:pt>
                <c:pt idx="9">
                  <c:v>566.76496299999997</c:v>
                </c:pt>
                <c:pt idx="10">
                  <c:v>603.74356699999998</c:v>
                </c:pt>
                <c:pt idx="11">
                  <c:v>429.39717899999999</c:v>
                </c:pt>
                <c:pt idx="12">
                  <c:v>557.72758499999998</c:v>
                </c:pt>
                <c:pt idx="13">
                  <c:v>450.84144600000002</c:v>
                </c:pt>
                <c:pt idx="14">
                  <c:v>586.12710300000003</c:v>
                </c:pt>
                <c:pt idx="15">
                  <c:v>613.95404900000005</c:v>
                </c:pt>
                <c:pt idx="16">
                  <c:v>591.38932499999999</c:v>
                </c:pt>
                <c:pt idx="17">
                  <c:v>722.35958600000004</c:v>
                </c:pt>
                <c:pt idx="18">
                  <c:v>612.58705399999997</c:v>
                </c:pt>
                <c:pt idx="19">
                  <c:v>747.91327699999999</c:v>
                </c:pt>
                <c:pt idx="20">
                  <c:v>633.72619799999995</c:v>
                </c:pt>
                <c:pt idx="21">
                  <c:v>774.64071000000001</c:v>
                </c:pt>
                <c:pt idx="22">
                  <c:v>443.01189099999999</c:v>
                </c:pt>
                <c:pt idx="23">
                  <c:v>450.35294900000002</c:v>
                </c:pt>
                <c:pt idx="24">
                  <c:v>621.63684499999999</c:v>
                </c:pt>
                <c:pt idx="25">
                  <c:v>758.49493900000004</c:v>
                </c:pt>
                <c:pt idx="26">
                  <c:v>379.301605</c:v>
                </c:pt>
                <c:pt idx="27">
                  <c:v>466.49273399999998</c:v>
                </c:pt>
                <c:pt idx="28">
                  <c:v>477.16841199999999</c:v>
                </c:pt>
                <c:pt idx="29">
                  <c:v>660.086319</c:v>
                </c:pt>
                <c:pt idx="30">
                  <c:v>806.93033300000002</c:v>
                </c:pt>
                <c:pt idx="31">
                  <c:v>400.18332500000002</c:v>
                </c:pt>
                <c:pt idx="32">
                  <c:v>492.32012400000002</c:v>
                </c:pt>
                <c:pt idx="33">
                  <c:v>506.73546800000003</c:v>
                </c:pt>
                <c:pt idx="34">
                  <c:v>699.66178600000001</c:v>
                </c:pt>
                <c:pt idx="35">
                  <c:v>855.767246</c:v>
                </c:pt>
                <c:pt idx="36">
                  <c:v>463.723029</c:v>
                </c:pt>
                <c:pt idx="37">
                  <c:v>473.02308799999997</c:v>
                </c:pt>
                <c:pt idx="38">
                  <c:v>655.49382700000001</c:v>
                </c:pt>
                <c:pt idx="39">
                  <c:v>800.78420900000003</c:v>
                </c:pt>
                <c:pt idx="40">
                  <c:v>400.90650199999999</c:v>
                </c:pt>
                <c:pt idx="41">
                  <c:v>493.00977899999998</c:v>
                </c:pt>
                <c:pt idx="42">
                  <c:v>506.14624099999997</c:v>
                </c:pt>
                <c:pt idx="43">
                  <c:v>701.28115500000001</c:v>
                </c:pt>
                <c:pt idx="44">
                  <c:v>857.57134599999995</c:v>
                </c:pt>
                <c:pt idx="45">
                  <c:v>745.05038000000002</c:v>
                </c:pt>
                <c:pt idx="46">
                  <c:v>920.67829900000004</c:v>
                </c:pt>
                <c:pt idx="47">
                  <c:v>486.37732299999999</c:v>
                </c:pt>
                <c:pt idx="48">
                  <c:v>498.42196000000001</c:v>
                </c:pt>
                <c:pt idx="49">
                  <c:v>691.33763199999999</c:v>
                </c:pt>
                <c:pt idx="50">
                  <c:v>845.61363600000004</c:v>
                </c:pt>
                <c:pt idx="51">
                  <c:v>509.06670300000002</c:v>
                </c:pt>
                <c:pt idx="52">
                  <c:v>525.94369099999994</c:v>
                </c:pt>
                <c:pt idx="53">
                  <c:v>725.96999000000005</c:v>
                </c:pt>
                <c:pt idx="54">
                  <c:v>887.734151</c:v>
                </c:pt>
                <c:pt idx="55">
                  <c:v>760.79224299999998</c:v>
                </c:pt>
                <c:pt idx="56">
                  <c:v>937.93013900000005</c:v>
                </c:pt>
                <c:pt idx="57">
                  <c:v>668.71234100000004</c:v>
                </c:pt>
                <c:pt idx="58">
                  <c:v>682.64438399999995</c:v>
                </c:pt>
                <c:pt idx="59">
                  <c:v>895.14082800000006</c:v>
                </c:pt>
                <c:pt idx="60">
                  <c:v>1119.3951420000001</c:v>
                </c:pt>
                <c:pt idx="61">
                  <c:v>691.38687600000003</c:v>
                </c:pt>
                <c:pt idx="62">
                  <c:v>706.83758699999998</c:v>
                </c:pt>
                <c:pt idx="63">
                  <c:v>934.54052899999999</c:v>
                </c:pt>
                <c:pt idx="64">
                  <c:v>1158.066474</c:v>
                </c:pt>
                <c:pt idx="65">
                  <c:v>680.94391199999995</c:v>
                </c:pt>
                <c:pt idx="66">
                  <c:v>731.41082400000005</c:v>
                </c:pt>
                <c:pt idx="67">
                  <c:v>965.07817699999998</c:v>
                </c:pt>
                <c:pt idx="68">
                  <c:v>1197.2534310000001</c:v>
                </c:pt>
                <c:pt idx="69">
                  <c:v>409.947292</c:v>
                </c:pt>
                <c:pt idx="70">
                  <c:v>536.01168800000005</c:v>
                </c:pt>
                <c:pt idx="71">
                  <c:v>669.72361999999998</c:v>
                </c:pt>
                <c:pt idx="72">
                  <c:v>717.67640700000004</c:v>
                </c:pt>
                <c:pt idx="73">
                  <c:v>949.08524799999998</c:v>
                </c:pt>
                <c:pt idx="74">
                  <c:v>1177.001814</c:v>
                </c:pt>
                <c:pt idx="75">
                  <c:v>431.73255</c:v>
                </c:pt>
                <c:pt idx="76">
                  <c:v>564.47632299999998</c:v>
                </c:pt>
                <c:pt idx="77">
                  <c:v>705.21943799999997</c:v>
                </c:pt>
                <c:pt idx="78">
                  <c:v>761.91981199999998</c:v>
                </c:pt>
                <c:pt idx="79">
                  <c:v>1005.86634</c:v>
                </c:pt>
                <c:pt idx="80">
                  <c:v>1247.916023</c:v>
                </c:pt>
                <c:pt idx="81">
                  <c:v>455.40557200000001</c:v>
                </c:pt>
                <c:pt idx="82">
                  <c:v>595.47598800000003</c:v>
                </c:pt>
                <c:pt idx="83">
                  <c:v>746.277692</c:v>
                </c:pt>
                <c:pt idx="84">
                  <c:v>807.17893900000001</c:v>
                </c:pt>
                <c:pt idx="85">
                  <c:v>429.03838999999999</c:v>
                </c:pt>
                <c:pt idx="86">
                  <c:v>560.42382699999996</c:v>
                </c:pt>
                <c:pt idx="87">
                  <c:v>705.97502899999995</c:v>
                </c:pt>
                <c:pt idx="88">
                  <c:v>757.16547000000003</c:v>
                </c:pt>
                <c:pt idx="89">
                  <c:v>456.35897999999997</c:v>
                </c:pt>
                <c:pt idx="90">
                  <c:v>595.51658599999996</c:v>
                </c:pt>
                <c:pt idx="91">
                  <c:v>744.80454099999997</c:v>
                </c:pt>
                <c:pt idx="92">
                  <c:v>810.18099199999995</c:v>
                </c:pt>
                <c:pt idx="93">
                  <c:v>635.15332599999999</c:v>
                </c:pt>
                <c:pt idx="94">
                  <c:v>800.39901899999995</c:v>
                </c:pt>
                <c:pt idx="95">
                  <c:v>858.61251600000003</c:v>
                </c:pt>
                <c:pt idx="96">
                  <c:v>450.27389599999998</c:v>
                </c:pt>
                <c:pt idx="97">
                  <c:v>586.84529499999996</c:v>
                </c:pt>
                <c:pt idx="98">
                  <c:v>733.79187899999999</c:v>
                </c:pt>
                <c:pt idx="99">
                  <c:v>799.08325500000001</c:v>
                </c:pt>
                <c:pt idx="100">
                  <c:v>471.12537900000001</c:v>
                </c:pt>
                <c:pt idx="101">
                  <c:v>616.92599600000005</c:v>
                </c:pt>
                <c:pt idx="102">
                  <c:v>773.78931499999999</c:v>
                </c:pt>
                <c:pt idx="103">
                  <c:v>837.181872</c:v>
                </c:pt>
                <c:pt idx="104">
                  <c:v>645.67090900000005</c:v>
                </c:pt>
                <c:pt idx="105">
                  <c:v>814.37224100000003</c:v>
                </c:pt>
                <c:pt idx="106">
                  <c:v>876.96456699999999</c:v>
                </c:pt>
                <c:pt idx="107">
                  <c:v>626.49805700000002</c:v>
                </c:pt>
                <c:pt idx="108">
                  <c:v>836.56758600000001</c:v>
                </c:pt>
                <c:pt idx="109">
                  <c:v>1054.919081</c:v>
                </c:pt>
                <c:pt idx="110">
                  <c:v>1078.877925</c:v>
                </c:pt>
                <c:pt idx="111">
                  <c:v>644.34851000000003</c:v>
                </c:pt>
                <c:pt idx="112">
                  <c:v>863.74883599999998</c:v>
                </c:pt>
                <c:pt idx="113">
                  <c:v>1090.411026</c:v>
                </c:pt>
                <c:pt idx="114">
                  <c:v>1115.058276</c:v>
                </c:pt>
                <c:pt idx="115">
                  <c:v>663.79387899999995</c:v>
                </c:pt>
                <c:pt idx="116">
                  <c:v>888.92853000000002</c:v>
                </c:pt>
                <c:pt idx="117">
                  <c:v>1126.6159869999999</c:v>
                </c:pt>
                <c:pt idx="118">
                  <c:v>1153.3008689999999</c:v>
                </c:pt>
                <c:pt idx="119">
                  <c:v>526.79693599999996</c:v>
                </c:pt>
                <c:pt idx="120">
                  <c:v>480.969717</c:v>
                </c:pt>
                <c:pt idx="121">
                  <c:v>605.05073700000003</c:v>
                </c:pt>
                <c:pt idx="122">
                  <c:v>653.52067199999999</c:v>
                </c:pt>
                <c:pt idx="123">
                  <c:v>875.95689400000003</c:v>
                </c:pt>
                <c:pt idx="124">
                  <c:v>1106.992125</c:v>
                </c:pt>
                <c:pt idx="125">
                  <c:v>1133.928797</c:v>
                </c:pt>
                <c:pt idx="126">
                  <c:v>553.67981099999997</c:v>
                </c:pt>
                <c:pt idx="127">
                  <c:v>503.60551600000002</c:v>
                </c:pt>
                <c:pt idx="128">
                  <c:v>634.80316200000004</c:v>
                </c:pt>
                <c:pt idx="129">
                  <c:v>689.53508299999999</c:v>
                </c:pt>
                <c:pt idx="130">
                  <c:v>922.06036700000004</c:v>
                </c:pt>
                <c:pt idx="131">
                  <c:v>1132.0293670000001</c:v>
                </c:pt>
                <c:pt idx="132">
                  <c:v>1203.191106</c:v>
                </c:pt>
                <c:pt idx="133">
                  <c:v>579.99223800000004</c:v>
                </c:pt>
                <c:pt idx="134">
                  <c:v>530.50262599999996</c:v>
                </c:pt>
                <c:pt idx="135">
                  <c:v>668.13498400000003</c:v>
                </c:pt>
                <c:pt idx="136">
                  <c:v>729.56320700000003</c:v>
                </c:pt>
                <c:pt idx="137">
                  <c:v>552.52830300000005</c:v>
                </c:pt>
                <c:pt idx="138">
                  <c:v>501.23218400000002</c:v>
                </c:pt>
                <c:pt idx="139">
                  <c:v>631.78796599999998</c:v>
                </c:pt>
                <c:pt idx="140">
                  <c:v>655.98385399999995</c:v>
                </c:pt>
                <c:pt idx="141">
                  <c:v>577.83570999999995</c:v>
                </c:pt>
                <c:pt idx="142">
                  <c:v>528.21549200000004</c:v>
                </c:pt>
                <c:pt idx="143">
                  <c:v>666.45120699999995</c:v>
                </c:pt>
                <c:pt idx="144">
                  <c:v>699.77379299999996</c:v>
                </c:pt>
                <c:pt idx="145">
                  <c:v>714.85639800000001</c:v>
                </c:pt>
                <c:pt idx="146">
                  <c:v>744.95151799999996</c:v>
                </c:pt>
                <c:pt idx="147">
                  <c:v>571.46087</c:v>
                </c:pt>
                <c:pt idx="148">
                  <c:v>522.31678299999999</c:v>
                </c:pt>
                <c:pt idx="149">
                  <c:v>658.16158499999995</c:v>
                </c:pt>
                <c:pt idx="150">
                  <c:v>689.00483099999997</c:v>
                </c:pt>
                <c:pt idx="151">
                  <c:v>598.16795400000001</c:v>
                </c:pt>
                <c:pt idx="152">
                  <c:v>545.72700699999996</c:v>
                </c:pt>
                <c:pt idx="153">
                  <c:v>687.16228000000001</c:v>
                </c:pt>
                <c:pt idx="154">
                  <c:v>718.84307000000001</c:v>
                </c:pt>
                <c:pt idx="155">
                  <c:v>724.59671600000001</c:v>
                </c:pt>
                <c:pt idx="156">
                  <c:v>759.41014700000005</c:v>
                </c:pt>
              </c:numCache>
            </c:numRef>
          </c:xVal>
          <c:yVal>
            <c:numRef>
              <c:f>US06_1!$F$2:$F$158</c:f>
              <c:numCache>
                <c:formatCode>General</c:formatCode>
                <c:ptCount val="157"/>
                <c:pt idx="0">
                  <c:v>392.99714021032031</c:v>
                </c:pt>
                <c:pt idx="1">
                  <c:v>507.95459115927815</c:v>
                </c:pt>
                <c:pt idx="2">
                  <c:v>414.83673846950757</c:v>
                </c:pt>
                <c:pt idx="3">
                  <c:v>536.22675880225427</c:v>
                </c:pt>
                <c:pt idx="4">
                  <c:v>440.1193573020837</c:v>
                </c:pt>
                <c:pt idx="5">
                  <c:v>567.94194701861943</c:v>
                </c:pt>
                <c:pt idx="6">
                  <c:v>413.2351591615016</c:v>
                </c:pt>
                <c:pt idx="7">
                  <c:v>532.97725720384881</c:v>
                </c:pt>
                <c:pt idx="8">
                  <c:v>441.64120854881583</c:v>
                </c:pt>
                <c:pt idx="9">
                  <c:v>568.73481445835046</c:v>
                </c:pt>
                <c:pt idx="10">
                  <c:v>608.98937817605417</c:v>
                </c:pt>
                <c:pt idx="11">
                  <c:v>435.42019900726876</c:v>
                </c:pt>
                <c:pt idx="12">
                  <c:v>559.94694414300534</c:v>
                </c:pt>
                <c:pt idx="13">
                  <c:v>458.67722590362041</c:v>
                </c:pt>
                <c:pt idx="14">
                  <c:v>588.71760193974762</c:v>
                </c:pt>
                <c:pt idx="15">
                  <c:v>620.01782587204093</c:v>
                </c:pt>
                <c:pt idx="16">
                  <c:v>597.58929239323345</c:v>
                </c:pt>
                <c:pt idx="17">
                  <c:v>737.21621172938615</c:v>
                </c:pt>
                <c:pt idx="18">
                  <c:v>615.50794776886823</c:v>
                </c:pt>
                <c:pt idx="19">
                  <c:v>759.72955952201301</c:v>
                </c:pt>
                <c:pt idx="20">
                  <c:v>634.55085476030354</c:v>
                </c:pt>
                <c:pt idx="21">
                  <c:v>783.3671589304405</c:v>
                </c:pt>
                <c:pt idx="22">
                  <c:v>443.12018979751002</c:v>
                </c:pt>
                <c:pt idx="23">
                  <c:v>450.39898609765839</c:v>
                </c:pt>
                <c:pt idx="24">
                  <c:v>623.52707880536286</c:v>
                </c:pt>
                <c:pt idx="25">
                  <c:v>768.85758371830332</c:v>
                </c:pt>
                <c:pt idx="26">
                  <c:v>379.18195234983324</c:v>
                </c:pt>
                <c:pt idx="27">
                  <c:v>467.75733430968739</c:v>
                </c:pt>
                <c:pt idx="28">
                  <c:v>475.45486904874019</c:v>
                </c:pt>
                <c:pt idx="29">
                  <c:v>658.23181583212795</c:v>
                </c:pt>
                <c:pt idx="30">
                  <c:v>811.60303247480476</c:v>
                </c:pt>
                <c:pt idx="31">
                  <c:v>402.43769039755779</c:v>
                </c:pt>
                <c:pt idx="32">
                  <c:v>495.8374993952537</c:v>
                </c:pt>
                <c:pt idx="33">
                  <c:v>503.95377257321081</c:v>
                </c:pt>
                <c:pt idx="34">
                  <c:v>696.3795734322822</c:v>
                </c:pt>
                <c:pt idx="35">
                  <c:v>857.79150180469526</c:v>
                </c:pt>
                <c:pt idx="36">
                  <c:v>464.67338522702295</c:v>
                </c:pt>
                <c:pt idx="37">
                  <c:v>473.02932859553437</c:v>
                </c:pt>
                <c:pt idx="38">
                  <c:v>653.334391943323</c:v>
                </c:pt>
                <c:pt idx="39">
                  <c:v>804.64570572300022</c:v>
                </c:pt>
                <c:pt idx="40">
                  <c:v>403.42355918959521</c:v>
                </c:pt>
                <c:pt idx="41">
                  <c:v>496.27663033204016</c:v>
                </c:pt>
                <c:pt idx="42">
                  <c:v>505.11113191644233</c:v>
                </c:pt>
                <c:pt idx="43">
                  <c:v>696.44345706501224</c:v>
                </c:pt>
                <c:pt idx="44">
                  <c:v>856.94415567867384</c:v>
                </c:pt>
                <c:pt idx="45">
                  <c:v>744.04952864990321</c:v>
                </c:pt>
                <c:pt idx="46">
                  <c:v>913.73961209754896</c:v>
                </c:pt>
                <c:pt idx="47">
                  <c:v>488.17360155112192</c:v>
                </c:pt>
                <c:pt idx="48">
                  <c:v>497.60669198799633</c:v>
                </c:pt>
                <c:pt idx="49">
                  <c:v>685.08872597586901</c:v>
                </c:pt>
                <c:pt idx="50">
                  <c:v>842.380848622283</c:v>
                </c:pt>
                <c:pt idx="51">
                  <c:v>513.8285252357507</c:v>
                </c:pt>
                <c:pt idx="52">
                  <c:v>523.62053433454321</c:v>
                </c:pt>
                <c:pt idx="53">
                  <c:v>719.37301467300188</c:v>
                </c:pt>
                <c:pt idx="54">
                  <c:v>883.55717594490409</c:v>
                </c:pt>
                <c:pt idx="55">
                  <c:v>756.18686950568588</c:v>
                </c:pt>
                <c:pt idx="56">
                  <c:v>927.26306940307643</c:v>
                </c:pt>
                <c:pt idx="57">
                  <c:v>667.99843913442794</c:v>
                </c:pt>
                <c:pt idx="58">
                  <c:v>681.25012461421386</c:v>
                </c:pt>
                <c:pt idx="59">
                  <c:v>906.03702812059385</c:v>
                </c:pt>
                <c:pt idx="60">
                  <c:v>1133.2840784154816</c:v>
                </c:pt>
                <c:pt idx="61">
                  <c:v>688.43463085231258</c:v>
                </c:pt>
                <c:pt idx="62">
                  <c:v>701.92559544004382</c:v>
                </c:pt>
                <c:pt idx="63">
                  <c:v>934.06400681361129</c:v>
                </c:pt>
                <c:pt idx="64">
                  <c:v>1168.6625649756866</c:v>
                </c:pt>
                <c:pt idx="65">
                  <c:v>709.99507418599785</c:v>
                </c:pt>
                <c:pt idx="66">
                  <c:v>723.72531788167453</c:v>
                </c:pt>
                <c:pt idx="67">
                  <c:v>963.21523712242936</c:v>
                </c:pt>
                <c:pt idx="68">
                  <c:v>1205.1653031516919</c:v>
                </c:pt>
                <c:pt idx="69">
                  <c:v>401.20146756873703</c:v>
                </c:pt>
                <c:pt idx="70">
                  <c:v>527.21710286165614</c:v>
                </c:pt>
                <c:pt idx="71">
                  <c:v>696.44880341635042</c:v>
                </c:pt>
                <c:pt idx="72">
                  <c:v>710.61006237241588</c:v>
                </c:pt>
                <c:pt idx="73">
                  <c:v>944.52270280165646</c:v>
                </c:pt>
                <c:pt idx="74">
                  <c:v>1180.8954900194046</c:v>
                </c:pt>
                <c:pt idx="75">
                  <c:v>423.42639856199355</c:v>
                </c:pt>
                <c:pt idx="76">
                  <c:v>556.67867441167539</c:v>
                </c:pt>
                <c:pt idx="77">
                  <c:v>735.55922904205283</c:v>
                </c:pt>
                <c:pt idx="78">
                  <c:v>750.13922643702278</c:v>
                </c:pt>
                <c:pt idx="79">
                  <c:v>996.91700563384131</c:v>
                </c:pt>
                <c:pt idx="80">
                  <c:v>1246.1549316191674</c:v>
                </c:pt>
                <c:pt idx="81">
                  <c:v>449.09435012863901</c:v>
                </c:pt>
                <c:pt idx="82">
                  <c:v>589.58326653508334</c:v>
                </c:pt>
                <c:pt idx="83">
                  <c:v>778.11267524114453</c:v>
                </c:pt>
                <c:pt idx="84">
                  <c:v>793.11141107501874</c:v>
                </c:pt>
                <c:pt idx="85">
                  <c:v>420.96042033822903</c:v>
                </c:pt>
                <c:pt idx="86">
                  <c:v>552.35878361121127</c:v>
                </c:pt>
                <c:pt idx="87">
                  <c:v>728.7674548059897</c:v>
                </c:pt>
                <c:pt idx="88">
                  <c:v>744.0058608304181</c:v>
                </c:pt>
                <c:pt idx="89">
                  <c:v>449.80684999305095</c:v>
                </c:pt>
                <c:pt idx="90">
                  <c:v>589.47565961661905</c:v>
                </c:pt>
                <c:pt idx="91">
                  <c:v>776.91159261217854</c:v>
                </c:pt>
                <c:pt idx="92">
                  <c:v>792.62855685249792</c:v>
                </c:pt>
                <c:pt idx="93">
                  <c:v>631.08954208522891</c:v>
                </c:pt>
                <c:pt idx="94">
                  <c:v>829.55273688156933</c:v>
                </c:pt>
                <c:pt idx="95">
                  <c:v>845.74825933777947</c:v>
                </c:pt>
                <c:pt idx="96">
                  <c:v>442.66639400230696</c:v>
                </c:pt>
                <c:pt idx="97">
                  <c:v>579.44748525535226</c:v>
                </c:pt>
                <c:pt idx="98">
                  <c:v>763.03312709021452</c:v>
                </c:pt>
                <c:pt idx="99">
                  <c:v>779.34868018300619</c:v>
                </c:pt>
                <c:pt idx="100">
                  <c:v>466.25370609928939</c:v>
                </c:pt>
                <c:pt idx="101">
                  <c:v>609.2376321152741</c:v>
                </c:pt>
                <c:pt idx="102">
                  <c:v>801.09372030072234</c:v>
                </c:pt>
                <c:pt idx="103">
                  <c:v>817.768192055432</c:v>
                </c:pt>
                <c:pt idx="104">
                  <c:v>641.55734511074706</c:v>
                </c:pt>
                <c:pt idx="105">
                  <c:v>841.68387964678129</c:v>
                </c:pt>
                <c:pt idx="106">
                  <c:v>858.71727006340893</c:v>
                </c:pt>
                <c:pt idx="107">
                  <c:v>613.71554733929656</c:v>
                </c:pt>
                <c:pt idx="108">
                  <c:v>831.76966956551234</c:v>
                </c:pt>
                <c:pt idx="109">
                  <c:v>1052.2839385802356</c:v>
                </c:pt>
                <c:pt idx="110">
                  <c:v>1076.241677080337</c:v>
                </c:pt>
                <c:pt idx="111">
                  <c:v>632.31386209038442</c:v>
                </c:pt>
                <c:pt idx="112">
                  <c:v>857.71949218378757</c:v>
                </c:pt>
                <c:pt idx="113">
                  <c:v>1085.5852690656984</c:v>
                </c:pt>
                <c:pt idx="114">
                  <c:v>1109.7822866737449</c:v>
                </c:pt>
                <c:pt idx="115">
                  <c:v>652.03642845727268</c:v>
                </c:pt>
                <c:pt idx="116">
                  <c:v>884.7935664178633</c:v>
                </c:pt>
                <c:pt idx="117">
                  <c:v>1120.0108511669616</c:v>
                </c:pt>
                <c:pt idx="118">
                  <c:v>1144.4471478829537</c:v>
                </c:pt>
                <c:pt idx="119">
                  <c:v>544.1195124246974</c:v>
                </c:pt>
                <c:pt idx="120">
                  <c:v>481.40877508689971</c:v>
                </c:pt>
                <c:pt idx="121">
                  <c:v>586.32087045519415</c:v>
                </c:pt>
                <c:pt idx="122">
                  <c:v>639.88447739050389</c:v>
                </c:pt>
                <c:pt idx="123">
                  <c:v>867.06433653958027</c:v>
                </c:pt>
                <c:pt idx="124">
                  <c:v>1096.7043424771641</c:v>
                </c:pt>
                <c:pt idx="125">
                  <c:v>1121.5716544535451</c:v>
                </c:pt>
                <c:pt idx="126">
                  <c:v>568.96690162797324</c:v>
                </c:pt>
                <c:pt idx="127">
                  <c:v>505.04742127418513</c:v>
                </c:pt>
                <c:pt idx="128">
                  <c:v>616.39208602626854</c:v>
                </c:pt>
                <c:pt idx="129">
                  <c:v>675.77861832431188</c:v>
                </c:pt>
                <c:pt idx="130">
                  <c:v>915.8236162409662</c:v>
                </c:pt>
                <c:pt idx="131">
                  <c:v>1158.3287609461281</c:v>
                </c:pt>
                <c:pt idx="132">
                  <c:v>1183.6148113614133</c:v>
                </c:pt>
                <c:pt idx="133">
                  <c:v>597.25731140463802</c:v>
                </c:pt>
                <c:pt idx="134">
                  <c:v>532.12908803485925</c:v>
                </c:pt>
                <c:pt idx="135">
                  <c:v>649.90632217073176</c:v>
                </c:pt>
                <c:pt idx="136">
                  <c:v>715.11577983150903</c:v>
                </c:pt>
                <c:pt idx="137">
                  <c:v>563.27297008527637</c:v>
                </c:pt>
                <c:pt idx="138">
                  <c:v>500.39347084335452</c:v>
                </c:pt>
                <c:pt idx="139">
                  <c:v>610.09021330503856</c:v>
                </c:pt>
                <c:pt idx="140">
                  <c:v>669.81080523344849</c:v>
                </c:pt>
                <c:pt idx="141">
                  <c:v>595.11649483726319</c:v>
                </c:pt>
                <c:pt idx="142">
                  <c:v>530.855575005638</c:v>
                </c:pt>
                <c:pt idx="143">
                  <c:v>647.90382533450929</c:v>
                </c:pt>
                <c:pt idx="144">
                  <c:v>714.27918910604365</c:v>
                </c:pt>
                <c:pt idx="145">
                  <c:v>690.21444382718232</c:v>
                </c:pt>
                <c:pt idx="146">
                  <c:v>763.24457944184087</c:v>
                </c:pt>
                <c:pt idx="147">
                  <c:v>584.37344864044132</c:v>
                </c:pt>
                <c:pt idx="148">
                  <c:v>521.32518749439532</c:v>
                </c:pt>
                <c:pt idx="149">
                  <c:v>635.80657704946861</c:v>
                </c:pt>
                <c:pt idx="150">
                  <c:v>701.68415397097863</c:v>
                </c:pt>
                <c:pt idx="151">
                  <c:v>610.20858206029732</c:v>
                </c:pt>
                <c:pt idx="152">
                  <c:v>546.12425547197381</c:v>
                </c:pt>
                <c:pt idx="153">
                  <c:v>666.11927592743768</c:v>
                </c:pt>
                <c:pt idx="154">
                  <c:v>736.98793173129104</c:v>
                </c:pt>
                <c:pt idx="155">
                  <c:v>698.961540940958</c:v>
                </c:pt>
                <c:pt idx="156">
                  <c:v>774.82127562715459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B5-48A2-9BB0-EDCA9EAFF1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0138288"/>
        <c:axId val="1450138704"/>
      </c:scatterChart>
      <c:valAx>
        <c:axId val="1450138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ALPHA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0138704"/>
        <c:crosses val="autoZero"/>
        <c:crossBetween val="midCat"/>
      </c:valAx>
      <c:valAx>
        <c:axId val="145013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RSE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0138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US06_2!$F$1</c:f>
              <c:strCache>
                <c:ptCount val="1"/>
                <c:pt idx="0">
                  <c:v>CO2-RSE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US06_2!$E$2:$E$158</c:f>
              <c:numCache>
                <c:formatCode>General</c:formatCode>
                <c:ptCount val="157"/>
                <c:pt idx="0">
                  <c:v>168.70164</c:v>
                </c:pt>
                <c:pt idx="1">
                  <c:v>215.92046300000001</c:v>
                </c:pt>
                <c:pt idx="2">
                  <c:v>233.27793</c:v>
                </c:pt>
                <c:pt idx="3">
                  <c:v>301.19882699999999</c:v>
                </c:pt>
                <c:pt idx="4">
                  <c:v>300.74313899999999</c:v>
                </c:pt>
                <c:pt idx="5">
                  <c:v>397.58553499999999</c:v>
                </c:pt>
                <c:pt idx="6">
                  <c:v>198.96360100000001</c:v>
                </c:pt>
                <c:pt idx="7">
                  <c:v>257.49034799999998</c:v>
                </c:pt>
                <c:pt idx="8">
                  <c:v>275.63861600000001</c:v>
                </c:pt>
                <c:pt idx="9">
                  <c:v>360.64714600000002</c:v>
                </c:pt>
                <c:pt idx="10">
                  <c:v>486.81286299999999</c:v>
                </c:pt>
                <c:pt idx="11">
                  <c:v>232.02024700000001</c:v>
                </c:pt>
                <c:pt idx="12">
                  <c:v>300.56853799999999</c:v>
                </c:pt>
                <c:pt idx="13">
                  <c:v>289.47889900000001</c:v>
                </c:pt>
                <c:pt idx="14">
                  <c:v>380.67385999999999</c:v>
                </c:pt>
                <c:pt idx="15">
                  <c:v>476.91112199999998</c:v>
                </c:pt>
                <c:pt idx="16">
                  <c:v>216.76514700000001</c:v>
                </c:pt>
                <c:pt idx="17">
                  <c:v>265.02172200000001</c:v>
                </c:pt>
                <c:pt idx="18">
                  <c:v>274.12512500000003</c:v>
                </c:pt>
                <c:pt idx="19">
                  <c:v>335.60003899999998</c:v>
                </c:pt>
                <c:pt idx="20">
                  <c:v>334.531184</c:v>
                </c:pt>
                <c:pt idx="21">
                  <c:v>409.79359099999999</c:v>
                </c:pt>
                <c:pt idx="22">
                  <c:v>200.54295500000001</c:v>
                </c:pt>
                <c:pt idx="23">
                  <c:v>196.04308599999999</c:v>
                </c:pt>
                <c:pt idx="24">
                  <c:v>267.30363299999999</c:v>
                </c:pt>
                <c:pt idx="25">
                  <c:v>327.06854499999997</c:v>
                </c:pt>
                <c:pt idx="26">
                  <c:v>215.65247400000001</c:v>
                </c:pt>
                <c:pt idx="27">
                  <c:v>267.05263200000002</c:v>
                </c:pt>
                <c:pt idx="28">
                  <c:v>272.640962</c:v>
                </c:pt>
                <c:pt idx="29">
                  <c:v>374.13548300000002</c:v>
                </c:pt>
                <c:pt idx="30">
                  <c:v>459.06971399999998</c:v>
                </c:pt>
                <c:pt idx="31">
                  <c:v>278.31309099999999</c:v>
                </c:pt>
                <c:pt idx="32">
                  <c:v>342.47806000000003</c:v>
                </c:pt>
                <c:pt idx="33">
                  <c:v>353.534199</c:v>
                </c:pt>
                <c:pt idx="34">
                  <c:v>501.42740099999997</c:v>
                </c:pt>
                <c:pt idx="35">
                  <c:v>615.38271499999996</c:v>
                </c:pt>
                <c:pt idx="36">
                  <c:v>230.99541300000001</c:v>
                </c:pt>
                <c:pt idx="37">
                  <c:v>232.788073</c:v>
                </c:pt>
                <c:pt idx="38">
                  <c:v>318.56037800000001</c:v>
                </c:pt>
                <c:pt idx="39">
                  <c:v>390.00152800000001</c:v>
                </c:pt>
                <c:pt idx="40">
                  <c:v>254.24744999999999</c:v>
                </c:pt>
                <c:pt idx="41">
                  <c:v>315.84851500000002</c:v>
                </c:pt>
                <c:pt idx="42">
                  <c:v>322.21695399999999</c:v>
                </c:pt>
                <c:pt idx="43">
                  <c:v>450.33141499999999</c:v>
                </c:pt>
                <c:pt idx="44">
                  <c:v>553.00362399999995</c:v>
                </c:pt>
                <c:pt idx="45">
                  <c:v>606.20795799999996</c:v>
                </c:pt>
                <c:pt idx="46">
                  <c:v>744.967127</c:v>
                </c:pt>
                <c:pt idx="47">
                  <c:v>265.41685200000001</c:v>
                </c:pt>
                <c:pt idx="48">
                  <c:v>271.32258100000001</c:v>
                </c:pt>
                <c:pt idx="49">
                  <c:v>371.129819</c:v>
                </c:pt>
                <c:pt idx="50">
                  <c:v>455.91226399999999</c:v>
                </c:pt>
                <c:pt idx="51">
                  <c:v>329.47374500000001</c:v>
                </c:pt>
                <c:pt idx="52">
                  <c:v>339.97568799999999</c:v>
                </c:pt>
                <c:pt idx="53">
                  <c:v>477.82692900000001</c:v>
                </c:pt>
                <c:pt idx="54">
                  <c:v>586.96635400000002</c:v>
                </c:pt>
                <c:pt idx="55">
                  <c:v>595.81213200000002</c:v>
                </c:pt>
                <c:pt idx="56">
                  <c:v>729.84624199999996</c:v>
                </c:pt>
                <c:pt idx="57">
                  <c:v>260.476159</c:v>
                </c:pt>
                <c:pt idx="58">
                  <c:v>251.33394799999999</c:v>
                </c:pt>
                <c:pt idx="59">
                  <c:v>328.56040100000001</c:v>
                </c:pt>
                <c:pt idx="60">
                  <c:v>407.22058199999998</c:v>
                </c:pt>
                <c:pt idx="61">
                  <c:v>320.38050500000003</c:v>
                </c:pt>
                <c:pt idx="62">
                  <c:v>317.02178800000002</c:v>
                </c:pt>
                <c:pt idx="63">
                  <c:v>415.29161099999999</c:v>
                </c:pt>
                <c:pt idx="64">
                  <c:v>514.291561</c:v>
                </c:pt>
                <c:pt idx="65">
                  <c:v>384.74588799999998</c:v>
                </c:pt>
                <c:pt idx="66">
                  <c:v>386.66072700000001</c:v>
                </c:pt>
                <c:pt idx="67">
                  <c:v>506.81575500000002</c:v>
                </c:pt>
                <c:pt idx="68">
                  <c:v>633.37566100000004</c:v>
                </c:pt>
                <c:pt idx="69">
                  <c:v>184.038915</c:v>
                </c:pt>
                <c:pt idx="70">
                  <c:v>239.287676</c:v>
                </c:pt>
                <c:pt idx="71">
                  <c:v>312.55059299999999</c:v>
                </c:pt>
                <c:pt idx="72">
                  <c:v>309.27006399999999</c:v>
                </c:pt>
                <c:pt idx="73">
                  <c:v>404.66925199999997</c:v>
                </c:pt>
                <c:pt idx="74">
                  <c:v>503.09143299999999</c:v>
                </c:pt>
                <c:pt idx="75">
                  <c:v>246.16730100000001</c:v>
                </c:pt>
                <c:pt idx="76">
                  <c:v>327.57763699999998</c:v>
                </c:pt>
                <c:pt idx="77">
                  <c:v>430.45909999999998</c:v>
                </c:pt>
                <c:pt idx="78">
                  <c:v>432.769903</c:v>
                </c:pt>
                <c:pt idx="79">
                  <c:v>571.34742600000004</c:v>
                </c:pt>
                <c:pt idx="80">
                  <c:v>714.76771299999996</c:v>
                </c:pt>
                <c:pt idx="81">
                  <c:v>317.48121400000002</c:v>
                </c:pt>
                <c:pt idx="82">
                  <c:v>421.49501500000002</c:v>
                </c:pt>
                <c:pt idx="83">
                  <c:v>555.94966699999998</c:v>
                </c:pt>
                <c:pt idx="84">
                  <c:v>579.65220899999997</c:v>
                </c:pt>
                <c:pt idx="85">
                  <c:v>212.91619</c:v>
                </c:pt>
                <c:pt idx="86">
                  <c:v>283.72726399999999</c:v>
                </c:pt>
                <c:pt idx="87">
                  <c:v>367.58081700000002</c:v>
                </c:pt>
                <c:pt idx="88">
                  <c:v>368.28005200000001</c:v>
                </c:pt>
                <c:pt idx="89">
                  <c:v>290.08537699999999</c:v>
                </c:pt>
                <c:pt idx="90">
                  <c:v>387.09448099999997</c:v>
                </c:pt>
                <c:pt idx="91">
                  <c:v>509.37572499999999</c:v>
                </c:pt>
                <c:pt idx="92">
                  <c:v>521.35248899999999</c:v>
                </c:pt>
                <c:pt idx="93">
                  <c:v>496.533187</c:v>
                </c:pt>
                <c:pt idx="94">
                  <c:v>661.484283</c:v>
                </c:pt>
                <c:pt idx="95">
                  <c:v>701.64218900000003</c:v>
                </c:pt>
                <c:pt idx="96">
                  <c:v>244.47701599999999</c:v>
                </c:pt>
                <c:pt idx="97">
                  <c:v>325.50360499999999</c:v>
                </c:pt>
                <c:pt idx="98">
                  <c:v>427.31330200000002</c:v>
                </c:pt>
                <c:pt idx="99">
                  <c:v>430.50336700000003</c:v>
                </c:pt>
                <c:pt idx="100">
                  <c:v>310.59441800000002</c:v>
                </c:pt>
                <c:pt idx="101">
                  <c:v>406.47799700000002</c:v>
                </c:pt>
                <c:pt idx="102">
                  <c:v>536.32668699999999</c:v>
                </c:pt>
                <c:pt idx="103">
                  <c:v>553.67306399999995</c:v>
                </c:pt>
                <c:pt idx="104">
                  <c:v>489.32727699999998</c:v>
                </c:pt>
                <c:pt idx="105">
                  <c:v>650.91174899999999</c:v>
                </c:pt>
                <c:pt idx="106">
                  <c:v>687.65980200000001</c:v>
                </c:pt>
                <c:pt idx="107">
                  <c:v>244.59487200000001</c:v>
                </c:pt>
                <c:pt idx="108">
                  <c:v>322.32281</c:v>
                </c:pt>
                <c:pt idx="109">
                  <c:v>398.12718100000001</c:v>
                </c:pt>
                <c:pt idx="110">
                  <c:v>392.44100700000001</c:v>
                </c:pt>
                <c:pt idx="111">
                  <c:v>302.16503599999999</c:v>
                </c:pt>
                <c:pt idx="112">
                  <c:v>399.01952599999998</c:v>
                </c:pt>
                <c:pt idx="113">
                  <c:v>501.752475</c:v>
                </c:pt>
                <c:pt idx="114">
                  <c:v>496.27469400000001</c:v>
                </c:pt>
                <c:pt idx="115">
                  <c:v>361.69996099999997</c:v>
                </c:pt>
                <c:pt idx="116">
                  <c:v>484.63953299999997</c:v>
                </c:pt>
                <c:pt idx="117">
                  <c:v>607.819479</c:v>
                </c:pt>
                <c:pt idx="118">
                  <c:v>608.77833599999997</c:v>
                </c:pt>
                <c:pt idx="119">
                  <c:v>245.61717300000001</c:v>
                </c:pt>
                <c:pt idx="120">
                  <c:v>228.75350800000001</c:v>
                </c:pt>
                <c:pt idx="121">
                  <c:v>276.00219800000002</c:v>
                </c:pt>
                <c:pt idx="122">
                  <c:v>295.22686099999999</c:v>
                </c:pt>
                <c:pt idx="123">
                  <c:v>390.282017</c:v>
                </c:pt>
                <c:pt idx="124">
                  <c:v>488.32804499999997</c:v>
                </c:pt>
                <c:pt idx="125">
                  <c:v>484.50285400000001</c:v>
                </c:pt>
                <c:pt idx="126">
                  <c:v>316.43447700000002</c:v>
                </c:pt>
                <c:pt idx="127">
                  <c:v>295.68525399999999</c:v>
                </c:pt>
                <c:pt idx="128">
                  <c:v>359.15189600000002</c:v>
                </c:pt>
                <c:pt idx="129">
                  <c:v>401.28982000000002</c:v>
                </c:pt>
                <c:pt idx="130">
                  <c:v>542.45666300000005</c:v>
                </c:pt>
                <c:pt idx="131">
                  <c:v>681.29206799999997</c:v>
                </c:pt>
                <c:pt idx="132">
                  <c:v>684.54010000000005</c:v>
                </c:pt>
                <c:pt idx="133">
                  <c:v>390.28236500000003</c:v>
                </c:pt>
                <c:pt idx="134">
                  <c:v>367.50205599999998</c:v>
                </c:pt>
                <c:pt idx="135">
                  <c:v>454.133803</c:v>
                </c:pt>
                <c:pt idx="136">
                  <c:v>519.32737199999997</c:v>
                </c:pt>
                <c:pt idx="137">
                  <c:v>279.42349899999999</c:v>
                </c:pt>
                <c:pt idx="138">
                  <c:v>260.74862400000001</c:v>
                </c:pt>
                <c:pt idx="139">
                  <c:v>316.441282</c:v>
                </c:pt>
                <c:pt idx="140">
                  <c:v>345.82369599999998</c:v>
                </c:pt>
                <c:pt idx="141">
                  <c:v>362.04977000000002</c:v>
                </c:pt>
                <c:pt idx="142">
                  <c:v>341.72748100000001</c:v>
                </c:pt>
                <c:pt idx="143">
                  <c:v>418.97887700000001</c:v>
                </c:pt>
                <c:pt idx="144">
                  <c:v>474.24856399999999</c:v>
                </c:pt>
                <c:pt idx="145">
                  <c:v>536.58568300000002</c:v>
                </c:pt>
                <c:pt idx="146">
                  <c:v>611.71442000000002</c:v>
                </c:pt>
                <c:pt idx="147">
                  <c:v>314.76941699999998</c:v>
                </c:pt>
                <c:pt idx="148">
                  <c:v>294.76227899999998</c:v>
                </c:pt>
                <c:pt idx="149">
                  <c:v>357.04092300000002</c:v>
                </c:pt>
                <c:pt idx="150">
                  <c:v>398.50573300000002</c:v>
                </c:pt>
                <c:pt idx="151">
                  <c:v>377.583777</c:v>
                </c:pt>
                <c:pt idx="152">
                  <c:v>355.618786</c:v>
                </c:pt>
                <c:pt idx="153">
                  <c:v>436.89670699999999</c:v>
                </c:pt>
                <c:pt idx="154">
                  <c:v>498.44593099999997</c:v>
                </c:pt>
                <c:pt idx="155">
                  <c:v>527.53734399999996</c:v>
                </c:pt>
                <c:pt idx="156">
                  <c:v>601.19556299999999</c:v>
                </c:pt>
              </c:numCache>
            </c:numRef>
          </c:xVal>
          <c:yVal>
            <c:numRef>
              <c:f>US06_2!$F$2:$F$158</c:f>
              <c:numCache>
                <c:formatCode>General</c:formatCode>
                <c:ptCount val="157"/>
                <c:pt idx="0">
                  <c:v>168.04586988044466</c:v>
                </c:pt>
                <c:pt idx="1">
                  <c:v>219.09415973019242</c:v>
                </c:pt>
                <c:pt idx="2">
                  <c:v>229.66791838365054</c:v>
                </c:pt>
                <c:pt idx="3">
                  <c:v>302.91216992320324</c:v>
                </c:pt>
                <c:pt idx="4">
                  <c:v>305.18435116025739</c:v>
                </c:pt>
                <c:pt idx="5">
                  <c:v>400.62456438961516</c:v>
                </c:pt>
                <c:pt idx="6">
                  <c:v>197.66386095882501</c:v>
                </c:pt>
                <c:pt idx="7">
                  <c:v>259.23866531752208</c:v>
                </c:pt>
                <c:pt idx="8">
                  <c:v>277.10462122883121</c:v>
                </c:pt>
                <c:pt idx="9">
                  <c:v>364.04623894730537</c:v>
                </c:pt>
                <c:pt idx="10">
                  <c:v>487.00157979132672</c:v>
                </c:pt>
                <c:pt idx="11">
                  <c:v>230.60823453789124</c:v>
                </c:pt>
                <c:pt idx="12">
                  <c:v>302.70955340553758</c:v>
                </c:pt>
                <c:pt idx="13">
                  <c:v>294.39844646136464</c:v>
                </c:pt>
                <c:pt idx="14">
                  <c:v>385.52487534884386</c:v>
                </c:pt>
                <c:pt idx="15">
                  <c:v>478.54831635015904</c:v>
                </c:pt>
                <c:pt idx="16">
                  <c:v>221.05589069293106</c:v>
                </c:pt>
                <c:pt idx="17">
                  <c:v>270.25496288522368</c:v>
                </c:pt>
                <c:pt idx="18">
                  <c:v>275.87403104845538</c:v>
                </c:pt>
                <c:pt idx="19">
                  <c:v>340.92736159060877</c:v>
                </c:pt>
                <c:pt idx="20">
                  <c:v>335.22911320753917</c:v>
                </c:pt>
                <c:pt idx="21">
                  <c:v>416.1367020995533</c:v>
                </c:pt>
                <c:pt idx="22">
                  <c:v>201.59259585210853</c:v>
                </c:pt>
                <c:pt idx="23">
                  <c:v>193.61302299077593</c:v>
                </c:pt>
                <c:pt idx="24">
                  <c:v>269.79838409628059</c:v>
                </c:pt>
                <c:pt idx="25">
                  <c:v>332.69482246749476</c:v>
                </c:pt>
                <c:pt idx="26">
                  <c:v>215.24693114178913</c:v>
                </c:pt>
                <c:pt idx="27">
                  <c:v>269.75321519910239</c:v>
                </c:pt>
                <c:pt idx="28">
                  <c:v>266.33305233888433</c:v>
                </c:pt>
                <c:pt idx="29">
                  <c:v>375.81235597909654</c:v>
                </c:pt>
                <c:pt idx="30">
                  <c:v>466.45374646256698</c:v>
                </c:pt>
                <c:pt idx="31">
                  <c:v>280.65496349483027</c:v>
                </c:pt>
                <c:pt idx="32">
                  <c:v>351.80821881949743</c:v>
                </c:pt>
                <c:pt idx="33">
                  <c:v>352.94746596039374</c:v>
                </c:pt>
                <c:pt idx="34">
                  <c:v>495.72071213531348</c:v>
                </c:pt>
                <c:pt idx="35">
                  <c:v>614.10705473104031</c:v>
                </c:pt>
                <c:pt idx="36">
                  <c:v>233.96028108995975</c:v>
                </c:pt>
                <c:pt idx="37">
                  <c:v>228.49427132363098</c:v>
                </c:pt>
                <c:pt idx="38">
                  <c:v>320.46940419255964</c:v>
                </c:pt>
                <c:pt idx="39">
                  <c:v>396.52398569996041</c:v>
                </c:pt>
                <c:pt idx="40">
                  <c:v>256.09438506136206</c:v>
                </c:pt>
                <c:pt idx="41">
                  <c:v>320.87369375286653</c:v>
                </c:pt>
                <c:pt idx="42">
                  <c:v>320.61843827352573</c:v>
                </c:pt>
                <c:pt idx="43">
                  <c:v>450.6437911821202</c:v>
                </c:pt>
                <c:pt idx="44">
                  <c:v>558.40688938924245</c:v>
                </c:pt>
                <c:pt idx="45">
                  <c:v>598.96594538591876</c:v>
                </c:pt>
                <c:pt idx="46">
                  <c:v>738.43756029276244</c:v>
                </c:pt>
                <c:pt idx="47">
                  <c:v>269.65434882849678</c:v>
                </c:pt>
                <c:pt idx="48">
                  <c:v>266.70190215717184</c:v>
                </c:pt>
                <c:pt idx="49">
                  <c:v>374.46680678952447</c:v>
                </c:pt>
                <c:pt idx="50">
                  <c:v>463.679531433112</c:v>
                </c:pt>
                <c:pt idx="51">
                  <c:v>339.04905004664568</c:v>
                </c:pt>
                <c:pt idx="52">
                  <c:v>340.00466909056172</c:v>
                </c:pt>
                <c:pt idx="53">
                  <c:v>476.30723875266364</c:v>
                </c:pt>
                <c:pt idx="54">
                  <c:v>589.30135092104229</c:v>
                </c:pt>
                <c:pt idx="55">
                  <c:v>588.35578977381181</c:v>
                </c:pt>
                <c:pt idx="56">
                  <c:v>725.13128946698134</c:v>
                </c:pt>
                <c:pt idx="57">
                  <c:v>259.58032600863578</c:v>
                </c:pt>
                <c:pt idx="58">
                  <c:v>250.63984628649277</c:v>
                </c:pt>
                <c:pt idx="59">
                  <c:v>328.58421445592705</c:v>
                </c:pt>
                <c:pt idx="60">
                  <c:v>405.15232069072334</c:v>
                </c:pt>
                <c:pt idx="61">
                  <c:v>321.30564423058257</c:v>
                </c:pt>
                <c:pt idx="62">
                  <c:v>314.97054165193356</c:v>
                </c:pt>
                <c:pt idx="63">
                  <c:v>418.28172318114503</c:v>
                </c:pt>
                <c:pt idx="64">
                  <c:v>520.21664277571858</c:v>
                </c:pt>
                <c:pt idx="65">
                  <c:v>387.56790425608887</c:v>
                </c:pt>
                <c:pt idx="66">
                  <c:v>383.83817882093382</c:v>
                </c:pt>
                <c:pt idx="67">
                  <c:v>512.51617370992255</c:v>
                </c:pt>
                <c:pt idx="68">
                  <c:v>639.81790666427321</c:v>
                </c:pt>
                <c:pt idx="69">
                  <c:v>182.68713156144855</c:v>
                </c:pt>
                <c:pt idx="70">
                  <c:v>239.25837180750963</c:v>
                </c:pt>
                <c:pt idx="71">
                  <c:v>314.00931321463639</c:v>
                </c:pt>
                <c:pt idx="72">
                  <c:v>307.60075939719525</c:v>
                </c:pt>
                <c:pt idx="73">
                  <c:v>407.46091345290387</c:v>
                </c:pt>
                <c:pt idx="74">
                  <c:v>505.94480557397458</c:v>
                </c:pt>
                <c:pt idx="75">
                  <c:v>242.52426527476561</c:v>
                </c:pt>
                <c:pt idx="76">
                  <c:v>324.06596242185731</c:v>
                </c:pt>
                <c:pt idx="77">
                  <c:v>432.11084636369162</c:v>
                </c:pt>
                <c:pt idx="78">
                  <c:v>430.26170254736496</c:v>
                </c:pt>
                <c:pt idx="79">
                  <c:v>574.51377998268379</c:v>
                </c:pt>
                <c:pt idx="80">
                  <c:v>717.38959548336447</c:v>
                </c:pt>
                <c:pt idx="81">
                  <c:v>316.25578326148366</c:v>
                </c:pt>
                <c:pt idx="82">
                  <c:v>422.767937309606</c:v>
                </c:pt>
                <c:pt idx="83">
                  <c:v>564.10676378614778</c:v>
                </c:pt>
                <c:pt idx="84">
                  <c:v>566.81702997093578</c:v>
                </c:pt>
                <c:pt idx="85">
                  <c:v>211.10737385844376</c:v>
                </c:pt>
                <c:pt idx="86">
                  <c:v>279.52094292707278</c:v>
                </c:pt>
                <c:pt idx="87">
                  <c:v>370.06165609762365</c:v>
                </c:pt>
                <c:pt idx="88">
                  <c:v>366.16666537518626</c:v>
                </c:pt>
                <c:pt idx="89">
                  <c:v>288.50823151143408</c:v>
                </c:pt>
                <c:pt idx="90">
                  <c:v>385.45946560981253</c:v>
                </c:pt>
                <c:pt idx="91">
                  <c:v>514.05039882002905</c:v>
                </c:pt>
                <c:pt idx="92">
                  <c:v>515.36616238457975</c:v>
                </c:pt>
                <c:pt idx="93">
                  <c:v>509.54575550679021</c:v>
                </c:pt>
                <c:pt idx="94">
                  <c:v>676.18690875667255</c:v>
                </c:pt>
                <c:pt idx="95">
                  <c:v>682.71342660821119</c:v>
                </c:pt>
                <c:pt idx="96">
                  <c:v>242.85399865612487</c:v>
                </c:pt>
                <c:pt idx="97">
                  <c:v>323.10989654732191</c:v>
                </c:pt>
                <c:pt idx="98">
                  <c:v>429.44038148129664</c:v>
                </c:pt>
                <c:pt idx="99">
                  <c:v>428.0589538538631</c:v>
                </c:pt>
                <c:pt idx="100">
                  <c:v>305.11428361683642</c:v>
                </c:pt>
                <c:pt idx="101">
                  <c:v>406.77343028034539</c:v>
                </c:pt>
                <c:pt idx="102">
                  <c:v>541.64158024406947</c:v>
                </c:pt>
                <c:pt idx="103">
                  <c:v>544.16821833187703</c:v>
                </c:pt>
                <c:pt idx="104">
                  <c:v>500.64508307137777</c:v>
                </c:pt>
                <c:pt idx="105">
                  <c:v>664.05089806485125</c:v>
                </c:pt>
                <c:pt idx="106">
                  <c:v>670.48560186789985</c:v>
                </c:pt>
                <c:pt idx="107">
                  <c:v>240.22830838207696</c:v>
                </c:pt>
                <c:pt idx="108">
                  <c:v>317.12028066282289</c:v>
                </c:pt>
                <c:pt idx="109">
                  <c:v>392.6359910089306</c:v>
                </c:pt>
                <c:pt idx="110">
                  <c:v>386.13931868839654</c:v>
                </c:pt>
                <c:pt idx="111">
                  <c:v>295.61192326407945</c:v>
                </c:pt>
                <c:pt idx="112">
                  <c:v>397.87070890460251</c:v>
                </c:pt>
                <c:pt idx="113">
                  <c:v>498.7532326104876</c:v>
                </c:pt>
                <c:pt idx="114">
                  <c:v>494.86193743344751</c:v>
                </c:pt>
                <c:pt idx="115">
                  <c:v>355.53247994964147</c:v>
                </c:pt>
                <c:pt idx="116">
                  <c:v>483.15807894994174</c:v>
                </c:pt>
                <c:pt idx="117">
                  <c:v>609.40741601560399</c:v>
                </c:pt>
                <c:pt idx="118">
                  <c:v>608.12149798205792</c:v>
                </c:pt>
                <c:pt idx="119">
                  <c:v>259.64358631957367</c:v>
                </c:pt>
                <c:pt idx="120">
                  <c:v>231.44096710795449</c:v>
                </c:pt>
                <c:pt idx="121">
                  <c:v>279.9540349164958</c:v>
                </c:pt>
                <c:pt idx="122">
                  <c:v>289.17834911650903</c:v>
                </c:pt>
                <c:pt idx="123">
                  <c:v>387.98610728352918</c:v>
                </c:pt>
                <c:pt idx="124">
                  <c:v>485.41760351591137</c:v>
                </c:pt>
                <c:pt idx="125">
                  <c:v>481.4528571000792</c:v>
                </c:pt>
                <c:pt idx="126">
                  <c:v>318.13226589515335</c:v>
                </c:pt>
                <c:pt idx="127">
                  <c:v>288.72949345933017</c:v>
                </c:pt>
                <c:pt idx="128">
                  <c:v>359.43852295767653</c:v>
                </c:pt>
                <c:pt idx="129">
                  <c:v>396.1819014206618</c:v>
                </c:pt>
                <c:pt idx="130">
                  <c:v>539.38158296729193</c:v>
                </c:pt>
                <c:pt idx="131">
                  <c:v>681.20500257928438</c:v>
                </c:pt>
                <c:pt idx="132">
                  <c:v>681.7996661645667</c:v>
                </c:pt>
                <c:pt idx="133">
                  <c:v>390.51532974413402</c:v>
                </c:pt>
                <c:pt idx="134">
                  <c:v>359.91240408410687</c:v>
                </c:pt>
                <c:pt idx="135">
                  <c:v>452.8173952722583</c:v>
                </c:pt>
                <c:pt idx="136">
                  <c:v>517.07983799821545</c:v>
                </c:pt>
                <c:pt idx="137">
                  <c:v>286.25173369654686</c:v>
                </c:pt>
                <c:pt idx="138">
                  <c:v>257.8149619971519</c:v>
                </c:pt>
                <c:pt idx="139">
                  <c:v>316.85454431464257</c:v>
                </c:pt>
                <c:pt idx="140">
                  <c:v>339.96743474502159</c:v>
                </c:pt>
                <c:pt idx="141">
                  <c:v>362.11150090640882</c:v>
                </c:pt>
                <c:pt idx="142">
                  <c:v>332.30312552220926</c:v>
                </c:pt>
                <c:pt idx="143">
                  <c:v>416.70952119947719</c:v>
                </c:pt>
                <c:pt idx="144">
                  <c:v>471.27277078753843</c:v>
                </c:pt>
                <c:pt idx="145">
                  <c:v>534.71226529854971</c:v>
                </c:pt>
                <c:pt idx="146">
                  <c:v>620.72587404429328</c:v>
                </c:pt>
                <c:pt idx="147">
                  <c:v>316.18626357420595</c:v>
                </c:pt>
                <c:pt idx="148">
                  <c:v>287.51533938703517</c:v>
                </c:pt>
                <c:pt idx="149">
                  <c:v>357.08143621347517</c:v>
                </c:pt>
                <c:pt idx="150">
                  <c:v>394.08290287421994</c:v>
                </c:pt>
                <c:pt idx="151">
                  <c:v>377.29073070257124</c:v>
                </c:pt>
                <c:pt idx="152">
                  <c:v>347.59110375179699</c:v>
                </c:pt>
                <c:pt idx="153">
                  <c:v>436.18231059806982</c:v>
                </c:pt>
                <c:pt idx="154">
                  <c:v>496.77154662707642</c:v>
                </c:pt>
                <c:pt idx="155">
                  <c:v>525.49130404067353</c:v>
                </c:pt>
                <c:pt idx="156">
                  <c:v>609.66830943794162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5A-4E9C-BDFF-E1401245E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13728"/>
        <c:axId val="1321714144"/>
      </c:scatterChart>
      <c:valAx>
        <c:axId val="1321713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ALPHA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14144"/>
        <c:crosses val="autoZero"/>
        <c:crossBetween val="midCat"/>
      </c:valAx>
      <c:valAx>
        <c:axId val="132171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RSE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13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US06_2!$F$1</c:f>
              <c:strCache>
                <c:ptCount val="1"/>
                <c:pt idx="0">
                  <c:v>CO2-RSE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US06_2!$E$2:$E$158</c:f>
              <c:numCache>
                <c:formatCode>General</c:formatCode>
                <c:ptCount val="157"/>
                <c:pt idx="0">
                  <c:v>168.70164</c:v>
                </c:pt>
                <c:pt idx="1">
                  <c:v>215.92046300000001</c:v>
                </c:pt>
                <c:pt idx="2">
                  <c:v>233.27793</c:v>
                </c:pt>
                <c:pt idx="3">
                  <c:v>301.19882699999999</c:v>
                </c:pt>
                <c:pt idx="4">
                  <c:v>300.74313899999999</c:v>
                </c:pt>
                <c:pt idx="5">
                  <c:v>397.58553499999999</c:v>
                </c:pt>
                <c:pt idx="6">
                  <c:v>198.96360100000001</c:v>
                </c:pt>
                <c:pt idx="7">
                  <c:v>257.49034799999998</c:v>
                </c:pt>
                <c:pt idx="8">
                  <c:v>275.63861600000001</c:v>
                </c:pt>
                <c:pt idx="9">
                  <c:v>360.64714600000002</c:v>
                </c:pt>
                <c:pt idx="10">
                  <c:v>486.81286299999999</c:v>
                </c:pt>
                <c:pt idx="11">
                  <c:v>232.02024700000001</c:v>
                </c:pt>
                <c:pt idx="12">
                  <c:v>300.56853799999999</c:v>
                </c:pt>
                <c:pt idx="13">
                  <c:v>289.47889900000001</c:v>
                </c:pt>
                <c:pt idx="14">
                  <c:v>380.67385999999999</c:v>
                </c:pt>
                <c:pt idx="15">
                  <c:v>476.91112199999998</c:v>
                </c:pt>
                <c:pt idx="16">
                  <c:v>216.76514700000001</c:v>
                </c:pt>
                <c:pt idx="17">
                  <c:v>265.02172200000001</c:v>
                </c:pt>
                <c:pt idx="18">
                  <c:v>274.12512500000003</c:v>
                </c:pt>
                <c:pt idx="19">
                  <c:v>335.60003899999998</c:v>
                </c:pt>
                <c:pt idx="20">
                  <c:v>334.531184</c:v>
                </c:pt>
                <c:pt idx="21">
                  <c:v>409.79359099999999</c:v>
                </c:pt>
                <c:pt idx="22">
                  <c:v>200.54295500000001</c:v>
                </c:pt>
                <c:pt idx="23">
                  <c:v>196.04308599999999</c:v>
                </c:pt>
                <c:pt idx="24">
                  <c:v>267.30363299999999</c:v>
                </c:pt>
                <c:pt idx="25">
                  <c:v>327.06854499999997</c:v>
                </c:pt>
                <c:pt idx="26">
                  <c:v>215.65247400000001</c:v>
                </c:pt>
                <c:pt idx="27">
                  <c:v>267.05263200000002</c:v>
                </c:pt>
                <c:pt idx="28">
                  <c:v>272.640962</c:v>
                </c:pt>
                <c:pt idx="29">
                  <c:v>374.13548300000002</c:v>
                </c:pt>
                <c:pt idx="30">
                  <c:v>459.06971399999998</c:v>
                </c:pt>
                <c:pt idx="31">
                  <c:v>278.31309099999999</c:v>
                </c:pt>
                <c:pt idx="32">
                  <c:v>342.47806000000003</c:v>
                </c:pt>
                <c:pt idx="33">
                  <c:v>353.534199</c:v>
                </c:pt>
                <c:pt idx="34">
                  <c:v>501.42740099999997</c:v>
                </c:pt>
                <c:pt idx="35">
                  <c:v>615.38271499999996</c:v>
                </c:pt>
                <c:pt idx="36">
                  <c:v>230.99541300000001</c:v>
                </c:pt>
                <c:pt idx="37">
                  <c:v>232.788073</c:v>
                </c:pt>
                <c:pt idx="38">
                  <c:v>318.56037800000001</c:v>
                </c:pt>
                <c:pt idx="39">
                  <c:v>390.00152800000001</c:v>
                </c:pt>
                <c:pt idx="40">
                  <c:v>254.24744999999999</c:v>
                </c:pt>
                <c:pt idx="41">
                  <c:v>315.84851500000002</c:v>
                </c:pt>
                <c:pt idx="42">
                  <c:v>322.21695399999999</c:v>
                </c:pt>
                <c:pt idx="43">
                  <c:v>450.33141499999999</c:v>
                </c:pt>
                <c:pt idx="44">
                  <c:v>553.00362399999995</c:v>
                </c:pt>
                <c:pt idx="45">
                  <c:v>606.20795799999996</c:v>
                </c:pt>
                <c:pt idx="46">
                  <c:v>744.967127</c:v>
                </c:pt>
                <c:pt idx="47">
                  <c:v>265.41685200000001</c:v>
                </c:pt>
                <c:pt idx="48">
                  <c:v>271.32258100000001</c:v>
                </c:pt>
                <c:pt idx="49">
                  <c:v>371.129819</c:v>
                </c:pt>
                <c:pt idx="50">
                  <c:v>455.91226399999999</c:v>
                </c:pt>
                <c:pt idx="51">
                  <c:v>329.47374500000001</c:v>
                </c:pt>
                <c:pt idx="52">
                  <c:v>339.97568799999999</c:v>
                </c:pt>
                <c:pt idx="53">
                  <c:v>477.82692900000001</c:v>
                </c:pt>
                <c:pt idx="54">
                  <c:v>586.96635400000002</c:v>
                </c:pt>
                <c:pt idx="55">
                  <c:v>595.81213200000002</c:v>
                </c:pt>
                <c:pt idx="56">
                  <c:v>729.84624199999996</c:v>
                </c:pt>
                <c:pt idx="57">
                  <c:v>260.476159</c:v>
                </c:pt>
                <c:pt idx="58">
                  <c:v>251.33394799999999</c:v>
                </c:pt>
                <c:pt idx="59">
                  <c:v>328.56040100000001</c:v>
                </c:pt>
                <c:pt idx="60">
                  <c:v>407.22058199999998</c:v>
                </c:pt>
                <c:pt idx="61">
                  <c:v>320.38050500000003</c:v>
                </c:pt>
                <c:pt idx="62">
                  <c:v>317.02178800000002</c:v>
                </c:pt>
                <c:pt idx="63">
                  <c:v>415.29161099999999</c:v>
                </c:pt>
                <c:pt idx="64">
                  <c:v>514.291561</c:v>
                </c:pt>
                <c:pt idx="65">
                  <c:v>384.74588799999998</c:v>
                </c:pt>
                <c:pt idx="66">
                  <c:v>386.66072700000001</c:v>
                </c:pt>
                <c:pt idx="67">
                  <c:v>506.81575500000002</c:v>
                </c:pt>
                <c:pt idx="68">
                  <c:v>633.37566100000004</c:v>
                </c:pt>
                <c:pt idx="69">
                  <c:v>184.038915</c:v>
                </c:pt>
                <c:pt idx="70">
                  <c:v>239.287676</c:v>
                </c:pt>
                <c:pt idx="71">
                  <c:v>312.55059299999999</c:v>
                </c:pt>
                <c:pt idx="72">
                  <c:v>309.27006399999999</c:v>
                </c:pt>
                <c:pt idx="73">
                  <c:v>404.66925199999997</c:v>
                </c:pt>
                <c:pt idx="74">
                  <c:v>503.09143299999999</c:v>
                </c:pt>
                <c:pt idx="75">
                  <c:v>246.16730100000001</c:v>
                </c:pt>
                <c:pt idx="76">
                  <c:v>327.57763699999998</c:v>
                </c:pt>
                <c:pt idx="77">
                  <c:v>430.45909999999998</c:v>
                </c:pt>
                <c:pt idx="78">
                  <c:v>432.769903</c:v>
                </c:pt>
                <c:pt idx="79">
                  <c:v>571.34742600000004</c:v>
                </c:pt>
                <c:pt idx="80">
                  <c:v>714.76771299999996</c:v>
                </c:pt>
                <c:pt idx="81">
                  <c:v>317.48121400000002</c:v>
                </c:pt>
                <c:pt idx="82">
                  <c:v>421.49501500000002</c:v>
                </c:pt>
                <c:pt idx="83">
                  <c:v>555.94966699999998</c:v>
                </c:pt>
                <c:pt idx="84">
                  <c:v>579.65220899999997</c:v>
                </c:pt>
                <c:pt idx="85">
                  <c:v>212.91619</c:v>
                </c:pt>
                <c:pt idx="86">
                  <c:v>283.72726399999999</c:v>
                </c:pt>
                <c:pt idx="87">
                  <c:v>367.58081700000002</c:v>
                </c:pt>
                <c:pt idx="88">
                  <c:v>368.28005200000001</c:v>
                </c:pt>
                <c:pt idx="89">
                  <c:v>290.08537699999999</c:v>
                </c:pt>
                <c:pt idx="90">
                  <c:v>387.09448099999997</c:v>
                </c:pt>
                <c:pt idx="91">
                  <c:v>509.37572499999999</c:v>
                </c:pt>
                <c:pt idx="92">
                  <c:v>521.35248899999999</c:v>
                </c:pt>
                <c:pt idx="93">
                  <c:v>496.533187</c:v>
                </c:pt>
                <c:pt idx="94">
                  <c:v>661.484283</c:v>
                </c:pt>
                <c:pt idx="95">
                  <c:v>701.64218900000003</c:v>
                </c:pt>
                <c:pt idx="96">
                  <c:v>244.47701599999999</c:v>
                </c:pt>
                <c:pt idx="97">
                  <c:v>325.50360499999999</c:v>
                </c:pt>
                <c:pt idx="98">
                  <c:v>427.31330200000002</c:v>
                </c:pt>
                <c:pt idx="99">
                  <c:v>430.50336700000003</c:v>
                </c:pt>
                <c:pt idx="100">
                  <c:v>310.59441800000002</c:v>
                </c:pt>
                <c:pt idx="101">
                  <c:v>406.47799700000002</c:v>
                </c:pt>
                <c:pt idx="102">
                  <c:v>536.32668699999999</c:v>
                </c:pt>
                <c:pt idx="103">
                  <c:v>553.67306399999995</c:v>
                </c:pt>
                <c:pt idx="104">
                  <c:v>489.32727699999998</c:v>
                </c:pt>
                <c:pt idx="105">
                  <c:v>650.91174899999999</c:v>
                </c:pt>
                <c:pt idx="106">
                  <c:v>687.65980200000001</c:v>
                </c:pt>
                <c:pt idx="107">
                  <c:v>244.59487200000001</c:v>
                </c:pt>
                <c:pt idx="108">
                  <c:v>322.32281</c:v>
                </c:pt>
                <c:pt idx="109">
                  <c:v>398.12718100000001</c:v>
                </c:pt>
                <c:pt idx="110">
                  <c:v>392.44100700000001</c:v>
                </c:pt>
                <c:pt idx="111">
                  <c:v>302.16503599999999</c:v>
                </c:pt>
                <c:pt idx="112">
                  <c:v>399.01952599999998</c:v>
                </c:pt>
                <c:pt idx="113">
                  <c:v>501.752475</c:v>
                </c:pt>
                <c:pt idx="114">
                  <c:v>496.27469400000001</c:v>
                </c:pt>
                <c:pt idx="115">
                  <c:v>361.69996099999997</c:v>
                </c:pt>
                <c:pt idx="116">
                  <c:v>484.63953299999997</c:v>
                </c:pt>
                <c:pt idx="117">
                  <c:v>607.819479</c:v>
                </c:pt>
                <c:pt idx="118">
                  <c:v>608.77833599999997</c:v>
                </c:pt>
                <c:pt idx="119">
                  <c:v>245.61717300000001</c:v>
                </c:pt>
                <c:pt idx="120">
                  <c:v>228.75350800000001</c:v>
                </c:pt>
                <c:pt idx="121">
                  <c:v>276.00219800000002</c:v>
                </c:pt>
                <c:pt idx="122">
                  <c:v>295.22686099999999</c:v>
                </c:pt>
                <c:pt idx="123">
                  <c:v>390.282017</c:v>
                </c:pt>
                <c:pt idx="124">
                  <c:v>488.32804499999997</c:v>
                </c:pt>
                <c:pt idx="125">
                  <c:v>484.50285400000001</c:v>
                </c:pt>
                <c:pt idx="126">
                  <c:v>316.43447700000002</c:v>
                </c:pt>
                <c:pt idx="127">
                  <c:v>295.68525399999999</c:v>
                </c:pt>
                <c:pt idx="128">
                  <c:v>359.15189600000002</c:v>
                </c:pt>
                <c:pt idx="129">
                  <c:v>401.28982000000002</c:v>
                </c:pt>
                <c:pt idx="130">
                  <c:v>542.45666300000005</c:v>
                </c:pt>
                <c:pt idx="131">
                  <c:v>681.29206799999997</c:v>
                </c:pt>
                <c:pt idx="132">
                  <c:v>684.54010000000005</c:v>
                </c:pt>
                <c:pt idx="133">
                  <c:v>390.28236500000003</c:v>
                </c:pt>
                <c:pt idx="134">
                  <c:v>367.50205599999998</c:v>
                </c:pt>
                <c:pt idx="135">
                  <c:v>454.133803</c:v>
                </c:pt>
                <c:pt idx="136">
                  <c:v>519.32737199999997</c:v>
                </c:pt>
                <c:pt idx="137">
                  <c:v>279.42349899999999</c:v>
                </c:pt>
                <c:pt idx="138">
                  <c:v>260.74862400000001</c:v>
                </c:pt>
                <c:pt idx="139">
                  <c:v>316.441282</c:v>
                </c:pt>
                <c:pt idx="140">
                  <c:v>345.82369599999998</c:v>
                </c:pt>
                <c:pt idx="141">
                  <c:v>362.04977000000002</c:v>
                </c:pt>
                <c:pt idx="142">
                  <c:v>341.72748100000001</c:v>
                </c:pt>
                <c:pt idx="143">
                  <c:v>418.97887700000001</c:v>
                </c:pt>
                <c:pt idx="144">
                  <c:v>474.24856399999999</c:v>
                </c:pt>
                <c:pt idx="145">
                  <c:v>536.58568300000002</c:v>
                </c:pt>
                <c:pt idx="146">
                  <c:v>611.71442000000002</c:v>
                </c:pt>
                <c:pt idx="147">
                  <c:v>314.76941699999998</c:v>
                </c:pt>
                <c:pt idx="148">
                  <c:v>294.76227899999998</c:v>
                </c:pt>
                <c:pt idx="149">
                  <c:v>357.04092300000002</c:v>
                </c:pt>
                <c:pt idx="150">
                  <c:v>398.50573300000002</c:v>
                </c:pt>
                <c:pt idx="151">
                  <c:v>377.583777</c:v>
                </c:pt>
                <c:pt idx="152">
                  <c:v>355.618786</c:v>
                </c:pt>
                <c:pt idx="153">
                  <c:v>436.89670699999999</c:v>
                </c:pt>
                <c:pt idx="154">
                  <c:v>498.44593099999997</c:v>
                </c:pt>
                <c:pt idx="155">
                  <c:v>527.53734399999996</c:v>
                </c:pt>
                <c:pt idx="156">
                  <c:v>601.19556299999999</c:v>
                </c:pt>
              </c:numCache>
            </c:numRef>
          </c:xVal>
          <c:yVal>
            <c:numRef>
              <c:f>US06_2!$F$2:$F$158</c:f>
              <c:numCache>
                <c:formatCode>General</c:formatCode>
                <c:ptCount val="157"/>
                <c:pt idx="0">
                  <c:v>168.04586988044466</c:v>
                </c:pt>
                <c:pt idx="1">
                  <c:v>219.09415973019242</c:v>
                </c:pt>
                <c:pt idx="2">
                  <c:v>229.66791838365054</c:v>
                </c:pt>
                <c:pt idx="3">
                  <c:v>302.91216992320324</c:v>
                </c:pt>
                <c:pt idx="4">
                  <c:v>305.18435116025739</c:v>
                </c:pt>
                <c:pt idx="5">
                  <c:v>400.62456438961516</c:v>
                </c:pt>
                <c:pt idx="6">
                  <c:v>197.66386095882501</c:v>
                </c:pt>
                <c:pt idx="7">
                  <c:v>259.23866531752208</c:v>
                </c:pt>
                <c:pt idx="8">
                  <c:v>277.10462122883121</c:v>
                </c:pt>
                <c:pt idx="9">
                  <c:v>364.04623894730537</c:v>
                </c:pt>
                <c:pt idx="10">
                  <c:v>487.00157979132672</c:v>
                </c:pt>
                <c:pt idx="11">
                  <c:v>230.60823453789124</c:v>
                </c:pt>
                <c:pt idx="12">
                  <c:v>302.70955340553758</c:v>
                </c:pt>
                <c:pt idx="13">
                  <c:v>294.39844646136464</c:v>
                </c:pt>
                <c:pt idx="14">
                  <c:v>385.52487534884386</c:v>
                </c:pt>
                <c:pt idx="15">
                  <c:v>478.54831635015904</c:v>
                </c:pt>
                <c:pt idx="16">
                  <c:v>221.05589069293106</c:v>
                </c:pt>
                <c:pt idx="17">
                  <c:v>270.25496288522368</c:v>
                </c:pt>
                <c:pt idx="18">
                  <c:v>275.87403104845538</c:v>
                </c:pt>
                <c:pt idx="19">
                  <c:v>340.92736159060877</c:v>
                </c:pt>
                <c:pt idx="20">
                  <c:v>335.22911320753917</c:v>
                </c:pt>
                <c:pt idx="21">
                  <c:v>416.1367020995533</c:v>
                </c:pt>
                <c:pt idx="22">
                  <c:v>201.59259585210853</c:v>
                </c:pt>
                <c:pt idx="23">
                  <c:v>193.61302299077593</c:v>
                </c:pt>
                <c:pt idx="24">
                  <c:v>269.79838409628059</c:v>
                </c:pt>
                <c:pt idx="25">
                  <c:v>332.69482246749476</c:v>
                </c:pt>
                <c:pt idx="26">
                  <c:v>215.24693114178913</c:v>
                </c:pt>
                <c:pt idx="27">
                  <c:v>269.75321519910239</c:v>
                </c:pt>
                <c:pt idx="28">
                  <c:v>266.33305233888433</c:v>
                </c:pt>
                <c:pt idx="29">
                  <c:v>375.81235597909654</c:v>
                </c:pt>
                <c:pt idx="30">
                  <c:v>466.45374646256698</c:v>
                </c:pt>
                <c:pt idx="31">
                  <c:v>280.65496349483027</c:v>
                </c:pt>
                <c:pt idx="32">
                  <c:v>351.80821881949743</c:v>
                </c:pt>
                <c:pt idx="33">
                  <c:v>352.94746596039374</c:v>
                </c:pt>
                <c:pt idx="34">
                  <c:v>495.72071213531348</c:v>
                </c:pt>
                <c:pt idx="35">
                  <c:v>614.10705473104031</c:v>
                </c:pt>
                <c:pt idx="36">
                  <c:v>233.96028108995975</c:v>
                </c:pt>
                <c:pt idx="37">
                  <c:v>228.49427132363098</c:v>
                </c:pt>
                <c:pt idx="38">
                  <c:v>320.46940419255964</c:v>
                </c:pt>
                <c:pt idx="39">
                  <c:v>396.52398569996041</c:v>
                </c:pt>
                <c:pt idx="40">
                  <c:v>256.09438506136206</c:v>
                </c:pt>
                <c:pt idx="41">
                  <c:v>320.87369375286653</c:v>
                </c:pt>
                <c:pt idx="42">
                  <c:v>320.61843827352573</c:v>
                </c:pt>
                <c:pt idx="43">
                  <c:v>450.6437911821202</c:v>
                </c:pt>
                <c:pt idx="44">
                  <c:v>558.40688938924245</c:v>
                </c:pt>
                <c:pt idx="45">
                  <c:v>598.96594538591876</c:v>
                </c:pt>
                <c:pt idx="46">
                  <c:v>738.43756029276244</c:v>
                </c:pt>
                <c:pt idx="47">
                  <c:v>269.65434882849678</c:v>
                </c:pt>
                <c:pt idx="48">
                  <c:v>266.70190215717184</c:v>
                </c:pt>
                <c:pt idx="49">
                  <c:v>374.46680678952447</c:v>
                </c:pt>
                <c:pt idx="50">
                  <c:v>463.679531433112</c:v>
                </c:pt>
                <c:pt idx="51">
                  <c:v>339.04905004664568</c:v>
                </c:pt>
                <c:pt idx="52">
                  <c:v>340.00466909056172</c:v>
                </c:pt>
                <c:pt idx="53">
                  <c:v>476.30723875266364</c:v>
                </c:pt>
                <c:pt idx="54">
                  <c:v>589.30135092104229</c:v>
                </c:pt>
                <c:pt idx="55">
                  <c:v>588.35578977381181</c:v>
                </c:pt>
                <c:pt idx="56">
                  <c:v>725.13128946698134</c:v>
                </c:pt>
                <c:pt idx="57">
                  <c:v>259.58032600863578</c:v>
                </c:pt>
                <c:pt idx="58">
                  <c:v>250.63984628649277</c:v>
                </c:pt>
                <c:pt idx="59">
                  <c:v>328.58421445592705</c:v>
                </c:pt>
                <c:pt idx="60">
                  <c:v>405.15232069072334</c:v>
                </c:pt>
                <c:pt idx="61">
                  <c:v>321.30564423058257</c:v>
                </c:pt>
                <c:pt idx="62">
                  <c:v>314.97054165193356</c:v>
                </c:pt>
                <c:pt idx="63">
                  <c:v>418.28172318114503</c:v>
                </c:pt>
                <c:pt idx="64">
                  <c:v>520.21664277571858</c:v>
                </c:pt>
                <c:pt idx="65">
                  <c:v>387.56790425608887</c:v>
                </c:pt>
                <c:pt idx="66">
                  <c:v>383.83817882093382</c:v>
                </c:pt>
                <c:pt idx="67">
                  <c:v>512.51617370992255</c:v>
                </c:pt>
                <c:pt idx="68">
                  <c:v>639.81790666427321</c:v>
                </c:pt>
                <c:pt idx="69">
                  <c:v>182.68713156144855</c:v>
                </c:pt>
                <c:pt idx="70">
                  <c:v>239.25837180750963</c:v>
                </c:pt>
                <c:pt idx="71">
                  <c:v>314.00931321463639</c:v>
                </c:pt>
                <c:pt idx="72">
                  <c:v>307.60075939719525</c:v>
                </c:pt>
                <c:pt idx="73">
                  <c:v>407.46091345290387</c:v>
                </c:pt>
                <c:pt idx="74">
                  <c:v>505.94480557397458</c:v>
                </c:pt>
                <c:pt idx="75">
                  <c:v>242.52426527476561</c:v>
                </c:pt>
                <c:pt idx="76">
                  <c:v>324.06596242185731</c:v>
                </c:pt>
                <c:pt idx="77">
                  <c:v>432.11084636369162</c:v>
                </c:pt>
                <c:pt idx="78">
                  <c:v>430.26170254736496</c:v>
                </c:pt>
                <c:pt idx="79">
                  <c:v>574.51377998268379</c:v>
                </c:pt>
                <c:pt idx="80">
                  <c:v>717.38959548336447</c:v>
                </c:pt>
                <c:pt idx="81">
                  <c:v>316.25578326148366</c:v>
                </c:pt>
                <c:pt idx="82">
                  <c:v>422.767937309606</c:v>
                </c:pt>
                <c:pt idx="83">
                  <c:v>564.10676378614778</c:v>
                </c:pt>
                <c:pt idx="84">
                  <c:v>566.81702997093578</c:v>
                </c:pt>
                <c:pt idx="85">
                  <c:v>211.10737385844376</c:v>
                </c:pt>
                <c:pt idx="86">
                  <c:v>279.52094292707278</c:v>
                </c:pt>
                <c:pt idx="87">
                  <c:v>370.06165609762365</c:v>
                </c:pt>
                <c:pt idx="88">
                  <c:v>366.16666537518626</c:v>
                </c:pt>
                <c:pt idx="89">
                  <c:v>288.50823151143408</c:v>
                </c:pt>
                <c:pt idx="90">
                  <c:v>385.45946560981253</c:v>
                </c:pt>
                <c:pt idx="91">
                  <c:v>514.05039882002905</c:v>
                </c:pt>
                <c:pt idx="92">
                  <c:v>515.36616238457975</c:v>
                </c:pt>
                <c:pt idx="93">
                  <c:v>509.54575550679021</c:v>
                </c:pt>
                <c:pt idx="94">
                  <c:v>676.18690875667255</c:v>
                </c:pt>
                <c:pt idx="95">
                  <c:v>682.71342660821119</c:v>
                </c:pt>
                <c:pt idx="96">
                  <c:v>242.85399865612487</c:v>
                </c:pt>
                <c:pt idx="97">
                  <c:v>323.10989654732191</c:v>
                </c:pt>
                <c:pt idx="98">
                  <c:v>429.44038148129664</c:v>
                </c:pt>
                <c:pt idx="99">
                  <c:v>428.0589538538631</c:v>
                </c:pt>
                <c:pt idx="100">
                  <c:v>305.11428361683642</c:v>
                </c:pt>
                <c:pt idx="101">
                  <c:v>406.77343028034539</c:v>
                </c:pt>
                <c:pt idx="102">
                  <c:v>541.64158024406947</c:v>
                </c:pt>
                <c:pt idx="103">
                  <c:v>544.16821833187703</c:v>
                </c:pt>
                <c:pt idx="104">
                  <c:v>500.64508307137777</c:v>
                </c:pt>
                <c:pt idx="105">
                  <c:v>664.05089806485125</c:v>
                </c:pt>
                <c:pt idx="106">
                  <c:v>670.48560186789985</c:v>
                </c:pt>
                <c:pt idx="107">
                  <c:v>240.22830838207696</c:v>
                </c:pt>
                <c:pt idx="108">
                  <c:v>317.12028066282289</c:v>
                </c:pt>
                <c:pt idx="109">
                  <c:v>392.6359910089306</c:v>
                </c:pt>
                <c:pt idx="110">
                  <c:v>386.13931868839654</c:v>
                </c:pt>
                <c:pt idx="111">
                  <c:v>295.61192326407945</c:v>
                </c:pt>
                <c:pt idx="112">
                  <c:v>397.87070890460251</c:v>
                </c:pt>
                <c:pt idx="113">
                  <c:v>498.7532326104876</c:v>
                </c:pt>
                <c:pt idx="114">
                  <c:v>494.86193743344751</c:v>
                </c:pt>
                <c:pt idx="115">
                  <c:v>355.53247994964147</c:v>
                </c:pt>
                <c:pt idx="116">
                  <c:v>483.15807894994174</c:v>
                </c:pt>
                <c:pt idx="117">
                  <c:v>609.40741601560399</c:v>
                </c:pt>
                <c:pt idx="118">
                  <c:v>608.12149798205792</c:v>
                </c:pt>
                <c:pt idx="119">
                  <c:v>259.64358631957367</c:v>
                </c:pt>
                <c:pt idx="120">
                  <c:v>231.44096710795449</c:v>
                </c:pt>
                <c:pt idx="121">
                  <c:v>279.9540349164958</c:v>
                </c:pt>
                <c:pt idx="122">
                  <c:v>289.17834911650903</c:v>
                </c:pt>
                <c:pt idx="123">
                  <c:v>387.98610728352918</c:v>
                </c:pt>
                <c:pt idx="124">
                  <c:v>485.41760351591137</c:v>
                </c:pt>
                <c:pt idx="125">
                  <c:v>481.4528571000792</c:v>
                </c:pt>
                <c:pt idx="126">
                  <c:v>318.13226589515335</c:v>
                </c:pt>
                <c:pt idx="127">
                  <c:v>288.72949345933017</c:v>
                </c:pt>
                <c:pt idx="128">
                  <c:v>359.43852295767653</c:v>
                </c:pt>
                <c:pt idx="129">
                  <c:v>396.1819014206618</c:v>
                </c:pt>
                <c:pt idx="130">
                  <c:v>539.38158296729193</c:v>
                </c:pt>
                <c:pt idx="131">
                  <c:v>681.20500257928438</c:v>
                </c:pt>
                <c:pt idx="132">
                  <c:v>681.7996661645667</c:v>
                </c:pt>
                <c:pt idx="133">
                  <c:v>390.51532974413402</c:v>
                </c:pt>
                <c:pt idx="134">
                  <c:v>359.91240408410687</c:v>
                </c:pt>
                <c:pt idx="135">
                  <c:v>452.8173952722583</c:v>
                </c:pt>
                <c:pt idx="136">
                  <c:v>517.07983799821545</c:v>
                </c:pt>
                <c:pt idx="137">
                  <c:v>286.25173369654686</c:v>
                </c:pt>
                <c:pt idx="138">
                  <c:v>257.8149619971519</c:v>
                </c:pt>
                <c:pt idx="139">
                  <c:v>316.85454431464257</c:v>
                </c:pt>
                <c:pt idx="140">
                  <c:v>339.96743474502159</c:v>
                </c:pt>
                <c:pt idx="141">
                  <c:v>362.11150090640882</c:v>
                </c:pt>
                <c:pt idx="142">
                  <c:v>332.30312552220926</c:v>
                </c:pt>
                <c:pt idx="143">
                  <c:v>416.70952119947719</c:v>
                </c:pt>
                <c:pt idx="144">
                  <c:v>471.27277078753843</c:v>
                </c:pt>
                <c:pt idx="145">
                  <c:v>534.71226529854971</c:v>
                </c:pt>
                <c:pt idx="146">
                  <c:v>620.72587404429328</c:v>
                </c:pt>
                <c:pt idx="147">
                  <c:v>316.18626357420595</c:v>
                </c:pt>
                <c:pt idx="148">
                  <c:v>287.51533938703517</c:v>
                </c:pt>
                <c:pt idx="149">
                  <c:v>357.08143621347517</c:v>
                </c:pt>
                <c:pt idx="150">
                  <c:v>394.08290287421994</c:v>
                </c:pt>
                <c:pt idx="151">
                  <c:v>377.29073070257124</c:v>
                </c:pt>
                <c:pt idx="152">
                  <c:v>347.59110375179699</c:v>
                </c:pt>
                <c:pt idx="153">
                  <c:v>436.18231059806982</c:v>
                </c:pt>
                <c:pt idx="154">
                  <c:v>496.77154662707642</c:v>
                </c:pt>
                <c:pt idx="155">
                  <c:v>525.49130404067353</c:v>
                </c:pt>
                <c:pt idx="156">
                  <c:v>609.66830943794162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7D-4697-BC04-FADAD6D9D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363104"/>
        <c:axId val="650229072"/>
      </c:scatterChart>
      <c:valAx>
        <c:axId val="1441363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ALPHA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229072"/>
        <c:crosses val="autoZero"/>
        <c:crossBetween val="midCat"/>
      </c:valAx>
      <c:valAx>
        <c:axId val="65022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RSE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1363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US06_2!$F$1</c:f>
              <c:strCache>
                <c:ptCount val="1"/>
                <c:pt idx="0">
                  <c:v>CO2-RSE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US06_2!$E$2:$E$158</c:f>
              <c:numCache>
                <c:formatCode>General</c:formatCode>
                <c:ptCount val="157"/>
                <c:pt idx="0">
                  <c:v>168.70164</c:v>
                </c:pt>
                <c:pt idx="1">
                  <c:v>215.92046300000001</c:v>
                </c:pt>
                <c:pt idx="2">
                  <c:v>233.27793</c:v>
                </c:pt>
                <c:pt idx="3">
                  <c:v>301.19882699999999</c:v>
                </c:pt>
                <c:pt idx="4">
                  <c:v>300.74313899999999</c:v>
                </c:pt>
                <c:pt idx="5">
                  <c:v>397.58553499999999</c:v>
                </c:pt>
                <c:pt idx="6">
                  <c:v>198.96360100000001</c:v>
                </c:pt>
                <c:pt idx="7">
                  <c:v>257.49034799999998</c:v>
                </c:pt>
                <c:pt idx="8">
                  <c:v>275.63861600000001</c:v>
                </c:pt>
                <c:pt idx="9">
                  <c:v>360.64714600000002</c:v>
                </c:pt>
                <c:pt idx="10">
                  <c:v>486.81286299999999</c:v>
                </c:pt>
                <c:pt idx="11">
                  <c:v>232.02024700000001</c:v>
                </c:pt>
                <c:pt idx="12">
                  <c:v>300.56853799999999</c:v>
                </c:pt>
                <c:pt idx="13">
                  <c:v>289.47889900000001</c:v>
                </c:pt>
                <c:pt idx="14">
                  <c:v>380.67385999999999</c:v>
                </c:pt>
                <c:pt idx="15">
                  <c:v>476.91112199999998</c:v>
                </c:pt>
                <c:pt idx="16">
                  <c:v>216.76514700000001</c:v>
                </c:pt>
                <c:pt idx="17">
                  <c:v>265.02172200000001</c:v>
                </c:pt>
                <c:pt idx="18">
                  <c:v>274.12512500000003</c:v>
                </c:pt>
                <c:pt idx="19">
                  <c:v>335.60003899999998</c:v>
                </c:pt>
                <c:pt idx="20">
                  <c:v>334.531184</c:v>
                </c:pt>
                <c:pt idx="21">
                  <c:v>409.79359099999999</c:v>
                </c:pt>
                <c:pt idx="22">
                  <c:v>200.54295500000001</c:v>
                </c:pt>
                <c:pt idx="23">
                  <c:v>196.04308599999999</c:v>
                </c:pt>
                <c:pt idx="24">
                  <c:v>267.30363299999999</c:v>
                </c:pt>
                <c:pt idx="25">
                  <c:v>327.06854499999997</c:v>
                </c:pt>
                <c:pt idx="26">
                  <c:v>215.65247400000001</c:v>
                </c:pt>
                <c:pt idx="27">
                  <c:v>267.05263200000002</c:v>
                </c:pt>
                <c:pt idx="28">
                  <c:v>272.640962</c:v>
                </c:pt>
                <c:pt idx="29">
                  <c:v>374.13548300000002</c:v>
                </c:pt>
                <c:pt idx="30">
                  <c:v>459.06971399999998</c:v>
                </c:pt>
                <c:pt idx="31">
                  <c:v>278.31309099999999</c:v>
                </c:pt>
                <c:pt idx="32">
                  <c:v>342.47806000000003</c:v>
                </c:pt>
                <c:pt idx="33">
                  <c:v>353.534199</c:v>
                </c:pt>
                <c:pt idx="34">
                  <c:v>501.42740099999997</c:v>
                </c:pt>
                <c:pt idx="35">
                  <c:v>615.38271499999996</c:v>
                </c:pt>
                <c:pt idx="36">
                  <c:v>230.99541300000001</c:v>
                </c:pt>
                <c:pt idx="37">
                  <c:v>232.788073</c:v>
                </c:pt>
                <c:pt idx="38">
                  <c:v>318.56037800000001</c:v>
                </c:pt>
                <c:pt idx="39">
                  <c:v>390.00152800000001</c:v>
                </c:pt>
                <c:pt idx="40">
                  <c:v>254.24744999999999</c:v>
                </c:pt>
                <c:pt idx="41">
                  <c:v>315.84851500000002</c:v>
                </c:pt>
                <c:pt idx="42">
                  <c:v>322.21695399999999</c:v>
                </c:pt>
                <c:pt idx="43">
                  <c:v>450.33141499999999</c:v>
                </c:pt>
                <c:pt idx="44">
                  <c:v>553.00362399999995</c:v>
                </c:pt>
                <c:pt idx="45">
                  <c:v>606.20795799999996</c:v>
                </c:pt>
                <c:pt idx="46">
                  <c:v>744.967127</c:v>
                </c:pt>
                <c:pt idx="47">
                  <c:v>265.41685200000001</c:v>
                </c:pt>
                <c:pt idx="48">
                  <c:v>271.32258100000001</c:v>
                </c:pt>
                <c:pt idx="49">
                  <c:v>371.129819</c:v>
                </c:pt>
                <c:pt idx="50">
                  <c:v>455.91226399999999</c:v>
                </c:pt>
                <c:pt idx="51">
                  <c:v>329.47374500000001</c:v>
                </c:pt>
                <c:pt idx="52">
                  <c:v>339.97568799999999</c:v>
                </c:pt>
                <c:pt idx="53">
                  <c:v>477.82692900000001</c:v>
                </c:pt>
                <c:pt idx="54">
                  <c:v>586.96635400000002</c:v>
                </c:pt>
                <c:pt idx="55">
                  <c:v>595.81213200000002</c:v>
                </c:pt>
                <c:pt idx="56">
                  <c:v>729.84624199999996</c:v>
                </c:pt>
                <c:pt idx="57">
                  <c:v>260.476159</c:v>
                </c:pt>
                <c:pt idx="58">
                  <c:v>251.33394799999999</c:v>
                </c:pt>
                <c:pt idx="59">
                  <c:v>328.56040100000001</c:v>
                </c:pt>
                <c:pt idx="60">
                  <c:v>407.22058199999998</c:v>
                </c:pt>
                <c:pt idx="61">
                  <c:v>320.38050500000003</c:v>
                </c:pt>
                <c:pt idx="62">
                  <c:v>317.02178800000002</c:v>
                </c:pt>
                <c:pt idx="63">
                  <c:v>415.29161099999999</c:v>
                </c:pt>
                <c:pt idx="64">
                  <c:v>514.291561</c:v>
                </c:pt>
                <c:pt idx="65">
                  <c:v>384.74588799999998</c:v>
                </c:pt>
                <c:pt idx="66">
                  <c:v>386.66072700000001</c:v>
                </c:pt>
                <c:pt idx="67">
                  <c:v>506.81575500000002</c:v>
                </c:pt>
                <c:pt idx="68">
                  <c:v>633.37566100000004</c:v>
                </c:pt>
                <c:pt idx="69">
                  <c:v>184.038915</c:v>
                </c:pt>
                <c:pt idx="70">
                  <c:v>239.287676</c:v>
                </c:pt>
                <c:pt idx="71">
                  <c:v>312.55059299999999</c:v>
                </c:pt>
                <c:pt idx="72">
                  <c:v>309.27006399999999</c:v>
                </c:pt>
                <c:pt idx="73">
                  <c:v>404.66925199999997</c:v>
                </c:pt>
                <c:pt idx="74">
                  <c:v>503.09143299999999</c:v>
                </c:pt>
                <c:pt idx="75">
                  <c:v>246.16730100000001</c:v>
                </c:pt>
                <c:pt idx="76">
                  <c:v>327.57763699999998</c:v>
                </c:pt>
                <c:pt idx="77">
                  <c:v>430.45909999999998</c:v>
                </c:pt>
                <c:pt idx="78">
                  <c:v>432.769903</c:v>
                </c:pt>
                <c:pt idx="79">
                  <c:v>571.34742600000004</c:v>
                </c:pt>
                <c:pt idx="80">
                  <c:v>714.76771299999996</c:v>
                </c:pt>
                <c:pt idx="81">
                  <c:v>317.48121400000002</c:v>
                </c:pt>
                <c:pt idx="82">
                  <c:v>421.49501500000002</c:v>
                </c:pt>
                <c:pt idx="83">
                  <c:v>555.94966699999998</c:v>
                </c:pt>
                <c:pt idx="84">
                  <c:v>579.65220899999997</c:v>
                </c:pt>
                <c:pt idx="85">
                  <c:v>212.91619</c:v>
                </c:pt>
                <c:pt idx="86">
                  <c:v>283.72726399999999</c:v>
                </c:pt>
                <c:pt idx="87">
                  <c:v>367.58081700000002</c:v>
                </c:pt>
                <c:pt idx="88">
                  <c:v>368.28005200000001</c:v>
                </c:pt>
                <c:pt idx="89">
                  <c:v>290.08537699999999</c:v>
                </c:pt>
                <c:pt idx="90">
                  <c:v>387.09448099999997</c:v>
                </c:pt>
                <c:pt idx="91">
                  <c:v>509.37572499999999</c:v>
                </c:pt>
                <c:pt idx="92">
                  <c:v>521.35248899999999</c:v>
                </c:pt>
                <c:pt idx="93">
                  <c:v>496.533187</c:v>
                </c:pt>
                <c:pt idx="94">
                  <c:v>661.484283</c:v>
                </c:pt>
                <c:pt idx="95">
                  <c:v>701.64218900000003</c:v>
                </c:pt>
                <c:pt idx="96">
                  <c:v>244.47701599999999</c:v>
                </c:pt>
                <c:pt idx="97">
                  <c:v>325.50360499999999</c:v>
                </c:pt>
                <c:pt idx="98">
                  <c:v>427.31330200000002</c:v>
                </c:pt>
                <c:pt idx="99">
                  <c:v>430.50336700000003</c:v>
                </c:pt>
                <c:pt idx="100">
                  <c:v>310.59441800000002</c:v>
                </c:pt>
                <c:pt idx="101">
                  <c:v>406.47799700000002</c:v>
                </c:pt>
                <c:pt idx="102">
                  <c:v>536.32668699999999</c:v>
                </c:pt>
                <c:pt idx="103">
                  <c:v>553.67306399999995</c:v>
                </c:pt>
                <c:pt idx="104">
                  <c:v>489.32727699999998</c:v>
                </c:pt>
                <c:pt idx="105">
                  <c:v>650.91174899999999</c:v>
                </c:pt>
                <c:pt idx="106">
                  <c:v>687.65980200000001</c:v>
                </c:pt>
                <c:pt idx="107">
                  <c:v>244.59487200000001</c:v>
                </c:pt>
                <c:pt idx="108">
                  <c:v>322.32281</c:v>
                </c:pt>
                <c:pt idx="109">
                  <c:v>398.12718100000001</c:v>
                </c:pt>
                <c:pt idx="110">
                  <c:v>392.44100700000001</c:v>
                </c:pt>
                <c:pt idx="111">
                  <c:v>302.16503599999999</c:v>
                </c:pt>
                <c:pt idx="112">
                  <c:v>399.01952599999998</c:v>
                </c:pt>
                <c:pt idx="113">
                  <c:v>501.752475</c:v>
                </c:pt>
                <c:pt idx="114">
                  <c:v>496.27469400000001</c:v>
                </c:pt>
                <c:pt idx="115">
                  <c:v>361.69996099999997</c:v>
                </c:pt>
                <c:pt idx="116">
                  <c:v>484.63953299999997</c:v>
                </c:pt>
                <c:pt idx="117">
                  <c:v>607.819479</c:v>
                </c:pt>
                <c:pt idx="118">
                  <c:v>608.77833599999997</c:v>
                </c:pt>
                <c:pt idx="119">
                  <c:v>245.61717300000001</c:v>
                </c:pt>
                <c:pt idx="120">
                  <c:v>228.75350800000001</c:v>
                </c:pt>
                <c:pt idx="121">
                  <c:v>276.00219800000002</c:v>
                </c:pt>
                <c:pt idx="122">
                  <c:v>295.22686099999999</c:v>
                </c:pt>
                <c:pt idx="123">
                  <c:v>390.282017</c:v>
                </c:pt>
                <c:pt idx="124">
                  <c:v>488.32804499999997</c:v>
                </c:pt>
                <c:pt idx="125">
                  <c:v>484.50285400000001</c:v>
                </c:pt>
                <c:pt idx="126">
                  <c:v>316.43447700000002</c:v>
                </c:pt>
                <c:pt idx="127">
                  <c:v>295.68525399999999</c:v>
                </c:pt>
                <c:pt idx="128">
                  <c:v>359.15189600000002</c:v>
                </c:pt>
                <c:pt idx="129">
                  <c:v>401.28982000000002</c:v>
                </c:pt>
                <c:pt idx="130">
                  <c:v>542.45666300000005</c:v>
                </c:pt>
                <c:pt idx="131">
                  <c:v>681.29206799999997</c:v>
                </c:pt>
                <c:pt idx="132">
                  <c:v>684.54010000000005</c:v>
                </c:pt>
                <c:pt idx="133">
                  <c:v>390.28236500000003</c:v>
                </c:pt>
                <c:pt idx="134">
                  <c:v>367.50205599999998</c:v>
                </c:pt>
                <c:pt idx="135">
                  <c:v>454.133803</c:v>
                </c:pt>
                <c:pt idx="136">
                  <c:v>519.32737199999997</c:v>
                </c:pt>
                <c:pt idx="137">
                  <c:v>279.42349899999999</c:v>
                </c:pt>
                <c:pt idx="138">
                  <c:v>260.74862400000001</c:v>
                </c:pt>
                <c:pt idx="139">
                  <c:v>316.441282</c:v>
                </c:pt>
                <c:pt idx="140">
                  <c:v>345.82369599999998</c:v>
                </c:pt>
                <c:pt idx="141">
                  <c:v>362.04977000000002</c:v>
                </c:pt>
                <c:pt idx="142">
                  <c:v>341.72748100000001</c:v>
                </c:pt>
                <c:pt idx="143">
                  <c:v>418.97887700000001</c:v>
                </c:pt>
                <c:pt idx="144">
                  <c:v>474.24856399999999</c:v>
                </c:pt>
                <c:pt idx="145">
                  <c:v>536.58568300000002</c:v>
                </c:pt>
                <c:pt idx="146">
                  <c:v>611.71442000000002</c:v>
                </c:pt>
                <c:pt idx="147">
                  <c:v>314.76941699999998</c:v>
                </c:pt>
                <c:pt idx="148">
                  <c:v>294.76227899999998</c:v>
                </c:pt>
                <c:pt idx="149">
                  <c:v>357.04092300000002</c:v>
                </c:pt>
                <c:pt idx="150">
                  <c:v>398.50573300000002</c:v>
                </c:pt>
                <c:pt idx="151">
                  <c:v>377.583777</c:v>
                </c:pt>
                <c:pt idx="152">
                  <c:v>355.618786</c:v>
                </c:pt>
                <c:pt idx="153">
                  <c:v>436.89670699999999</c:v>
                </c:pt>
                <c:pt idx="154">
                  <c:v>498.44593099999997</c:v>
                </c:pt>
                <c:pt idx="155">
                  <c:v>527.53734399999996</c:v>
                </c:pt>
                <c:pt idx="156">
                  <c:v>601.19556299999999</c:v>
                </c:pt>
              </c:numCache>
            </c:numRef>
          </c:xVal>
          <c:yVal>
            <c:numRef>
              <c:f>US06_2!$F$2:$F$158</c:f>
              <c:numCache>
                <c:formatCode>General</c:formatCode>
                <c:ptCount val="157"/>
                <c:pt idx="0">
                  <c:v>168.04586988044466</c:v>
                </c:pt>
                <c:pt idx="1">
                  <c:v>219.09415973019242</c:v>
                </c:pt>
                <c:pt idx="2">
                  <c:v>229.66791838365054</c:v>
                </c:pt>
                <c:pt idx="3">
                  <c:v>302.91216992320324</c:v>
                </c:pt>
                <c:pt idx="4">
                  <c:v>305.18435116025739</c:v>
                </c:pt>
                <c:pt idx="5">
                  <c:v>400.62456438961516</c:v>
                </c:pt>
                <c:pt idx="6">
                  <c:v>197.66386095882501</c:v>
                </c:pt>
                <c:pt idx="7">
                  <c:v>259.23866531752208</c:v>
                </c:pt>
                <c:pt idx="8">
                  <c:v>277.10462122883121</c:v>
                </c:pt>
                <c:pt idx="9">
                  <c:v>364.04623894730537</c:v>
                </c:pt>
                <c:pt idx="10">
                  <c:v>487.00157979132672</c:v>
                </c:pt>
                <c:pt idx="11">
                  <c:v>230.60823453789124</c:v>
                </c:pt>
                <c:pt idx="12">
                  <c:v>302.70955340553758</c:v>
                </c:pt>
                <c:pt idx="13">
                  <c:v>294.39844646136464</c:v>
                </c:pt>
                <c:pt idx="14">
                  <c:v>385.52487534884386</c:v>
                </c:pt>
                <c:pt idx="15">
                  <c:v>478.54831635015904</c:v>
                </c:pt>
                <c:pt idx="16">
                  <c:v>221.05589069293106</c:v>
                </c:pt>
                <c:pt idx="17">
                  <c:v>270.25496288522368</c:v>
                </c:pt>
                <c:pt idx="18">
                  <c:v>275.87403104845538</c:v>
                </c:pt>
                <c:pt idx="19">
                  <c:v>340.92736159060877</c:v>
                </c:pt>
                <c:pt idx="20">
                  <c:v>335.22911320753917</c:v>
                </c:pt>
                <c:pt idx="21">
                  <c:v>416.1367020995533</c:v>
                </c:pt>
                <c:pt idx="22">
                  <c:v>201.59259585210853</c:v>
                </c:pt>
                <c:pt idx="23">
                  <c:v>193.61302299077593</c:v>
                </c:pt>
                <c:pt idx="24">
                  <c:v>269.79838409628059</c:v>
                </c:pt>
                <c:pt idx="25">
                  <c:v>332.69482246749476</c:v>
                </c:pt>
                <c:pt idx="26">
                  <c:v>215.24693114178913</c:v>
                </c:pt>
                <c:pt idx="27">
                  <c:v>269.75321519910239</c:v>
                </c:pt>
                <c:pt idx="28">
                  <c:v>266.33305233888433</c:v>
                </c:pt>
                <c:pt idx="29">
                  <c:v>375.81235597909654</c:v>
                </c:pt>
                <c:pt idx="30">
                  <c:v>466.45374646256698</c:v>
                </c:pt>
                <c:pt idx="31">
                  <c:v>280.65496349483027</c:v>
                </c:pt>
                <c:pt idx="32">
                  <c:v>351.80821881949743</c:v>
                </c:pt>
                <c:pt idx="33">
                  <c:v>352.94746596039374</c:v>
                </c:pt>
                <c:pt idx="34">
                  <c:v>495.72071213531348</c:v>
                </c:pt>
                <c:pt idx="35">
                  <c:v>614.10705473104031</c:v>
                </c:pt>
                <c:pt idx="36">
                  <c:v>233.96028108995975</c:v>
                </c:pt>
                <c:pt idx="37">
                  <c:v>228.49427132363098</c:v>
                </c:pt>
                <c:pt idx="38">
                  <c:v>320.46940419255964</c:v>
                </c:pt>
                <c:pt idx="39">
                  <c:v>396.52398569996041</c:v>
                </c:pt>
                <c:pt idx="40">
                  <c:v>256.09438506136206</c:v>
                </c:pt>
                <c:pt idx="41">
                  <c:v>320.87369375286653</c:v>
                </c:pt>
                <c:pt idx="42">
                  <c:v>320.61843827352573</c:v>
                </c:pt>
                <c:pt idx="43">
                  <c:v>450.6437911821202</c:v>
                </c:pt>
                <c:pt idx="44">
                  <c:v>558.40688938924245</c:v>
                </c:pt>
                <c:pt idx="45">
                  <c:v>598.96594538591876</c:v>
                </c:pt>
                <c:pt idx="46">
                  <c:v>738.43756029276244</c:v>
                </c:pt>
                <c:pt idx="47">
                  <c:v>269.65434882849678</c:v>
                </c:pt>
                <c:pt idx="48">
                  <c:v>266.70190215717184</c:v>
                </c:pt>
                <c:pt idx="49">
                  <c:v>374.46680678952447</c:v>
                </c:pt>
                <c:pt idx="50">
                  <c:v>463.679531433112</c:v>
                </c:pt>
                <c:pt idx="51">
                  <c:v>339.04905004664568</c:v>
                </c:pt>
                <c:pt idx="52">
                  <c:v>340.00466909056172</c:v>
                </c:pt>
                <c:pt idx="53">
                  <c:v>476.30723875266364</c:v>
                </c:pt>
                <c:pt idx="54">
                  <c:v>589.30135092104229</c:v>
                </c:pt>
                <c:pt idx="55">
                  <c:v>588.35578977381181</c:v>
                </c:pt>
                <c:pt idx="56">
                  <c:v>725.13128946698134</c:v>
                </c:pt>
                <c:pt idx="57">
                  <c:v>259.58032600863578</c:v>
                </c:pt>
                <c:pt idx="58">
                  <c:v>250.63984628649277</c:v>
                </c:pt>
                <c:pt idx="59">
                  <c:v>328.58421445592705</c:v>
                </c:pt>
                <c:pt idx="60">
                  <c:v>405.15232069072334</c:v>
                </c:pt>
                <c:pt idx="61">
                  <c:v>321.30564423058257</c:v>
                </c:pt>
                <c:pt idx="62">
                  <c:v>314.97054165193356</c:v>
                </c:pt>
                <c:pt idx="63">
                  <c:v>418.28172318114503</c:v>
                </c:pt>
                <c:pt idx="64">
                  <c:v>520.21664277571858</c:v>
                </c:pt>
                <c:pt idx="65">
                  <c:v>387.56790425608887</c:v>
                </c:pt>
                <c:pt idx="66">
                  <c:v>383.83817882093382</c:v>
                </c:pt>
                <c:pt idx="67">
                  <c:v>512.51617370992255</c:v>
                </c:pt>
                <c:pt idx="68">
                  <c:v>639.81790666427321</c:v>
                </c:pt>
                <c:pt idx="69">
                  <c:v>182.68713156144855</c:v>
                </c:pt>
                <c:pt idx="70">
                  <c:v>239.25837180750963</c:v>
                </c:pt>
                <c:pt idx="71">
                  <c:v>314.00931321463639</c:v>
                </c:pt>
                <c:pt idx="72">
                  <c:v>307.60075939719525</c:v>
                </c:pt>
                <c:pt idx="73">
                  <c:v>407.46091345290387</c:v>
                </c:pt>
                <c:pt idx="74">
                  <c:v>505.94480557397458</c:v>
                </c:pt>
                <c:pt idx="75">
                  <c:v>242.52426527476561</c:v>
                </c:pt>
                <c:pt idx="76">
                  <c:v>324.06596242185731</c:v>
                </c:pt>
                <c:pt idx="77">
                  <c:v>432.11084636369162</c:v>
                </c:pt>
                <c:pt idx="78">
                  <c:v>430.26170254736496</c:v>
                </c:pt>
                <c:pt idx="79">
                  <c:v>574.51377998268379</c:v>
                </c:pt>
                <c:pt idx="80">
                  <c:v>717.38959548336447</c:v>
                </c:pt>
                <c:pt idx="81">
                  <c:v>316.25578326148366</c:v>
                </c:pt>
                <c:pt idx="82">
                  <c:v>422.767937309606</c:v>
                </c:pt>
                <c:pt idx="83">
                  <c:v>564.10676378614778</c:v>
                </c:pt>
                <c:pt idx="84">
                  <c:v>566.81702997093578</c:v>
                </c:pt>
                <c:pt idx="85">
                  <c:v>211.10737385844376</c:v>
                </c:pt>
                <c:pt idx="86">
                  <c:v>279.52094292707278</c:v>
                </c:pt>
                <c:pt idx="87">
                  <c:v>370.06165609762365</c:v>
                </c:pt>
                <c:pt idx="88">
                  <c:v>366.16666537518626</c:v>
                </c:pt>
                <c:pt idx="89">
                  <c:v>288.50823151143408</c:v>
                </c:pt>
                <c:pt idx="90">
                  <c:v>385.45946560981253</c:v>
                </c:pt>
                <c:pt idx="91">
                  <c:v>514.05039882002905</c:v>
                </c:pt>
                <c:pt idx="92">
                  <c:v>515.36616238457975</c:v>
                </c:pt>
                <c:pt idx="93">
                  <c:v>509.54575550679021</c:v>
                </c:pt>
                <c:pt idx="94">
                  <c:v>676.18690875667255</c:v>
                </c:pt>
                <c:pt idx="95">
                  <c:v>682.71342660821119</c:v>
                </c:pt>
                <c:pt idx="96">
                  <c:v>242.85399865612487</c:v>
                </c:pt>
                <c:pt idx="97">
                  <c:v>323.10989654732191</c:v>
                </c:pt>
                <c:pt idx="98">
                  <c:v>429.44038148129664</c:v>
                </c:pt>
                <c:pt idx="99">
                  <c:v>428.0589538538631</c:v>
                </c:pt>
                <c:pt idx="100">
                  <c:v>305.11428361683642</c:v>
                </c:pt>
                <c:pt idx="101">
                  <c:v>406.77343028034539</c:v>
                </c:pt>
                <c:pt idx="102">
                  <c:v>541.64158024406947</c:v>
                </c:pt>
                <c:pt idx="103">
                  <c:v>544.16821833187703</c:v>
                </c:pt>
                <c:pt idx="104">
                  <c:v>500.64508307137777</c:v>
                </c:pt>
                <c:pt idx="105">
                  <c:v>664.05089806485125</c:v>
                </c:pt>
                <c:pt idx="106">
                  <c:v>670.48560186789985</c:v>
                </c:pt>
                <c:pt idx="107">
                  <c:v>240.22830838207696</c:v>
                </c:pt>
                <c:pt idx="108">
                  <c:v>317.12028066282289</c:v>
                </c:pt>
                <c:pt idx="109">
                  <c:v>392.6359910089306</c:v>
                </c:pt>
                <c:pt idx="110">
                  <c:v>386.13931868839654</c:v>
                </c:pt>
                <c:pt idx="111">
                  <c:v>295.61192326407945</c:v>
                </c:pt>
                <c:pt idx="112">
                  <c:v>397.87070890460251</c:v>
                </c:pt>
                <c:pt idx="113">
                  <c:v>498.7532326104876</c:v>
                </c:pt>
                <c:pt idx="114">
                  <c:v>494.86193743344751</c:v>
                </c:pt>
                <c:pt idx="115">
                  <c:v>355.53247994964147</c:v>
                </c:pt>
                <c:pt idx="116">
                  <c:v>483.15807894994174</c:v>
                </c:pt>
                <c:pt idx="117">
                  <c:v>609.40741601560399</c:v>
                </c:pt>
                <c:pt idx="118">
                  <c:v>608.12149798205792</c:v>
                </c:pt>
                <c:pt idx="119">
                  <c:v>259.64358631957367</c:v>
                </c:pt>
                <c:pt idx="120">
                  <c:v>231.44096710795449</c:v>
                </c:pt>
                <c:pt idx="121">
                  <c:v>279.9540349164958</c:v>
                </c:pt>
                <c:pt idx="122">
                  <c:v>289.17834911650903</c:v>
                </c:pt>
                <c:pt idx="123">
                  <c:v>387.98610728352918</c:v>
                </c:pt>
                <c:pt idx="124">
                  <c:v>485.41760351591137</c:v>
                </c:pt>
                <c:pt idx="125">
                  <c:v>481.4528571000792</c:v>
                </c:pt>
                <c:pt idx="126">
                  <c:v>318.13226589515335</c:v>
                </c:pt>
                <c:pt idx="127">
                  <c:v>288.72949345933017</c:v>
                </c:pt>
                <c:pt idx="128">
                  <c:v>359.43852295767653</c:v>
                </c:pt>
                <c:pt idx="129">
                  <c:v>396.1819014206618</c:v>
                </c:pt>
                <c:pt idx="130">
                  <c:v>539.38158296729193</c:v>
                </c:pt>
                <c:pt idx="131">
                  <c:v>681.20500257928438</c:v>
                </c:pt>
                <c:pt idx="132">
                  <c:v>681.7996661645667</c:v>
                </c:pt>
                <c:pt idx="133">
                  <c:v>390.51532974413402</c:v>
                </c:pt>
                <c:pt idx="134">
                  <c:v>359.91240408410687</c:v>
                </c:pt>
                <c:pt idx="135">
                  <c:v>452.8173952722583</c:v>
                </c:pt>
                <c:pt idx="136">
                  <c:v>517.07983799821545</c:v>
                </c:pt>
                <c:pt idx="137">
                  <c:v>286.25173369654686</c:v>
                </c:pt>
                <c:pt idx="138">
                  <c:v>257.8149619971519</c:v>
                </c:pt>
                <c:pt idx="139">
                  <c:v>316.85454431464257</c:v>
                </c:pt>
                <c:pt idx="140">
                  <c:v>339.96743474502159</c:v>
                </c:pt>
                <c:pt idx="141">
                  <c:v>362.11150090640882</c:v>
                </c:pt>
                <c:pt idx="142">
                  <c:v>332.30312552220926</c:v>
                </c:pt>
                <c:pt idx="143">
                  <c:v>416.70952119947719</c:v>
                </c:pt>
                <c:pt idx="144">
                  <c:v>471.27277078753843</c:v>
                </c:pt>
                <c:pt idx="145">
                  <c:v>534.71226529854971</c:v>
                </c:pt>
                <c:pt idx="146">
                  <c:v>620.72587404429328</c:v>
                </c:pt>
                <c:pt idx="147">
                  <c:v>316.18626357420595</c:v>
                </c:pt>
                <c:pt idx="148">
                  <c:v>287.51533938703517</c:v>
                </c:pt>
                <c:pt idx="149">
                  <c:v>357.08143621347517</c:v>
                </c:pt>
                <c:pt idx="150">
                  <c:v>394.08290287421994</c:v>
                </c:pt>
                <c:pt idx="151">
                  <c:v>377.29073070257124</c:v>
                </c:pt>
                <c:pt idx="152">
                  <c:v>347.59110375179699</c:v>
                </c:pt>
                <c:pt idx="153">
                  <c:v>436.18231059806982</c:v>
                </c:pt>
                <c:pt idx="154">
                  <c:v>496.77154662707642</c:v>
                </c:pt>
                <c:pt idx="155">
                  <c:v>525.49130404067353</c:v>
                </c:pt>
                <c:pt idx="156">
                  <c:v>609.66830943794162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A8-477B-86C8-6B0A396A9A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3589008"/>
        <c:axId val="1833591504"/>
      </c:scatterChart>
      <c:valAx>
        <c:axId val="1833589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ALPHA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3591504"/>
        <c:crosses val="autoZero"/>
        <c:crossBetween val="midCat"/>
      </c:valAx>
      <c:valAx>
        <c:axId val="183359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RSE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3589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US06_2!$F$1</c:f>
              <c:strCache>
                <c:ptCount val="1"/>
                <c:pt idx="0">
                  <c:v>CO2-RSE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US06_2!$E$2:$E$158</c:f>
              <c:numCache>
                <c:formatCode>General</c:formatCode>
                <c:ptCount val="157"/>
                <c:pt idx="0">
                  <c:v>168.70164</c:v>
                </c:pt>
                <c:pt idx="1">
                  <c:v>215.92046300000001</c:v>
                </c:pt>
                <c:pt idx="2">
                  <c:v>233.27793</c:v>
                </c:pt>
                <c:pt idx="3">
                  <c:v>301.19882699999999</c:v>
                </c:pt>
                <c:pt idx="4">
                  <c:v>300.74313899999999</c:v>
                </c:pt>
                <c:pt idx="5">
                  <c:v>397.58553499999999</c:v>
                </c:pt>
                <c:pt idx="6">
                  <c:v>198.96360100000001</c:v>
                </c:pt>
                <c:pt idx="7">
                  <c:v>257.49034799999998</c:v>
                </c:pt>
                <c:pt idx="8">
                  <c:v>275.63861600000001</c:v>
                </c:pt>
                <c:pt idx="9">
                  <c:v>360.64714600000002</c:v>
                </c:pt>
                <c:pt idx="10">
                  <c:v>486.81286299999999</c:v>
                </c:pt>
                <c:pt idx="11">
                  <c:v>232.02024700000001</c:v>
                </c:pt>
                <c:pt idx="12">
                  <c:v>300.56853799999999</c:v>
                </c:pt>
                <c:pt idx="13">
                  <c:v>289.47889900000001</c:v>
                </c:pt>
                <c:pt idx="14">
                  <c:v>380.67385999999999</c:v>
                </c:pt>
                <c:pt idx="15">
                  <c:v>476.91112199999998</c:v>
                </c:pt>
                <c:pt idx="16">
                  <c:v>216.76514700000001</c:v>
                </c:pt>
                <c:pt idx="17">
                  <c:v>265.02172200000001</c:v>
                </c:pt>
                <c:pt idx="18">
                  <c:v>274.12512500000003</c:v>
                </c:pt>
                <c:pt idx="19">
                  <c:v>335.60003899999998</c:v>
                </c:pt>
                <c:pt idx="20">
                  <c:v>334.531184</c:v>
                </c:pt>
                <c:pt idx="21">
                  <c:v>409.79359099999999</c:v>
                </c:pt>
                <c:pt idx="22">
                  <c:v>200.54295500000001</c:v>
                </c:pt>
                <c:pt idx="23">
                  <c:v>196.04308599999999</c:v>
                </c:pt>
                <c:pt idx="24">
                  <c:v>267.30363299999999</c:v>
                </c:pt>
                <c:pt idx="25">
                  <c:v>327.06854499999997</c:v>
                </c:pt>
                <c:pt idx="26">
                  <c:v>215.65247400000001</c:v>
                </c:pt>
                <c:pt idx="27">
                  <c:v>267.05263200000002</c:v>
                </c:pt>
                <c:pt idx="28">
                  <c:v>272.640962</c:v>
                </c:pt>
                <c:pt idx="29">
                  <c:v>374.13548300000002</c:v>
                </c:pt>
                <c:pt idx="30">
                  <c:v>459.06971399999998</c:v>
                </c:pt>
                <c:pt idx="31">
                  <c:v>278.31309099999999</c:v>
                </c:pt>
                <c:pt idx="32">
                  <c:v>342.47806000000003</c:v>
                </c:pt>
                <c:pt idx="33">
                  <c:v>353.534199</c:v>
                </c:pt>
                <c:pt idx="34">
                  <c:v>501.42740099999997</c:v>
                </c:pt>
                <c:pt idx="35">
                  <c:v>615.38271499999996</c:v>
                </c:pt>
                <c:pt idx="36">
                  <c:v>230.99541300000001</c:v>
                </c:pt>
                <c:pt idx="37">
                  <c:v>232.788073</c:v>
                </c:pt>
                <c:pt idx="38">
                  <c:v>318.56037800000001</c:v>
                </c:pt>
                <c:pt idx="39">
                  <c:v>390.00152800000001</c:v>
                </c:pt>
                <c:pt idx="40">
                  <c:v>254.24744999999999</c:v>
                </c:pt>
                <c:pt idx="41">
                  <c:v>315.84851500000002</c:v>
                </c:pt>
                <c:pt idx="42">
                  <c:v>322.21695399999999</c:v>
                </c:pt>
                <c:pt idx="43">
                  <c:v>450.33141499999999</c:v>
                </c:pt>
                <c:pt idx="44">
                  <c:v>553.00362399999995</c:v>
                </c:pt>
                <c:pt idx="45">
                  <c:v>606.20795799999996</c:v>
                </c:pt>
                <c:pt idx="46">
                  <c:v>744.967127</c:v>
                </c:pt>
                <c:pt idx="47">
                  <c:v>265.41685200000001</c:v>
                </c:pt>
                <c:pt idx="48">
                  <c:v>271.32258100000001</c:v>
                </c:pt>
                <c:pt idx="49">
                  <c:v>371.129819</c:v>
                </c:pt>
                <c:pt idx="50">
                  <c:v>455.91226399999999</c:v>
                </c:pt>
                <c:pt idx="51">
                  <c:v>329.47374500000001</c:v>
                </c:pt>
                <c:pt idx="52">
                  <c:v>339.97568799999999</c:v>
                </c:pt>
                <c:pt idx="53">
                  <c:v>477.82692900000001</c:v>
                </c:pt>
                <c:pt idx="54">
                  <c:v>586.96635400000002</c:v>
                </c:pt>
                <c:pt idx="55">
                  <c:v>595.81213200000002</c:v>
                </c:pt>
                <c:pt idx="56">
                  <c:v>729.84624199999996</c:v>
                </c:pt>
                <c:pt idx="57">
                  <c:v>260.476159</c:v>
                </c:pt>
                <c:pt idx="58">
                  <c:v>251.33394799999999</c:v>
                </c:pt>
                <c:pt idx="59">
                  <c:v>328.56040100000001</c:v>
                </c:pt>
                <c:pt idx="60">
                  <c:v>407.22058199999998</c:v>
                </c:pt>
                <c:pt idx="61">
                  <c:v>320.38050500000003</c:v>
                </c:pt>
                <c:pt idx="62">
                  <c:v>317.02178800000002</c:v>
                </c:pt>
                <c:pt idx="63">
                  <c:v>415.29161099999999</c:v>
                </c:pt>
                <c:pt idx="64">
                  <c:v>514.291561</c:v>
                </c:pt>
                <c:pt idx="65">
                  <c:v>384.74588799999998</c:v>
                </c:pt>
                <c:pt idx="66">
                  <c:v>386.66072700000001</c:v>
                </c:pt>
                <c:pt idx="67">
                  <c:v>506.81575500000002</c:v>
                </c:pt>
                <c:pt idx="68">
                  <c:v>633.37566100000004</c:v>
                </c:pt>
                <c:pt idx="69">
                  <c:v>184.038915</c:v>
                </c:pt>
                <c:pt idx="70">
                  <c:v>239.287676</c:v>
                </c:pt>
                <c:pt idx="71">
                  <c:v>312.55059299999999</c:v>
                </c:pt>
                <c:pt idx="72">
                  <c:v>309.27006399999999</c:v>
                </c:pt>
                <c:pt idx="73">
                  <c:v>404.66925199999997</c:v>
                </c:pt>
                <c:pt idx="74">
                  <c:v>503.09143299999999</c:v>
                </c:pt>
                <c:pt idx="75">
                  <c:v>246.16730100000001</c:v>
                </c:pt>
                <c:pt idx="76">
                  <c:v>327.57763699999998</c:v>
                </c:pt>
                <c:pt idx="77">
                  <c:v>430.45909999999998</c:v>
                </c:pt>
                <c:pt idx="78">
                  <c:v>432.769903</c:v>
                </c:pt>
                <c:pt idx="79">
                  <c:v>571.34742600000004</c:v>
                </c:pt>
                <c:pt idx="80">
                  <c:v>714.76771299999996</c:v>
                </c:pt>
                <c:pt idx="81">
                  <c:v>317.48121400000002</c:v>
                </c:pt>
                <c:pt idx="82">
                  <c:v>421.49501500000002</c:v>
                </c:pt>
                <c:pt idx="83">
                  <c:v>555.94966699999998</c:v>
                </c:pt>
                <c:pt idx="84">
                  <c:v>579.65220899999997</c:v>
                </c:pt>
                <c:pt idx="85">
                  <c:v>212.91619</c:v>
                </c:pt>
                <c:pt idx="86">
                  <c:v>283.72726399999999</c:v>
                </c:pt>
                <c:pt idx="87">
                  <c:v>367.58081700000002</c:v>
                </c:pt>
                <c:pt idx="88">
                  <c:v>368.28005200000001</c:v>
                </c:pt>
                <c:pt idx="89">
                  <c:v>290.08537699999999</c:v>
                </c:pt>
                <c:pt idx="90">
                  <c:v>387.09448099999997</c:v>
                </c:pt>
                <c:pt idx="91">
                  <c:v>509.37572499999999</c:v>
                </c:pt>
                <c:pt idx="92">
                  <c:v>521.35248899999999</c:v>
                </c:pt>
                <c:pt idx="93">
                  <c:v>496.533187</c:v>
                </c:pt>
                <c:pt idx="94">
                  <c:v>661.484283</c:v>
                </c:pt>
                <c:pt idx="95">
                  <c:v>701.64218900000003</c:v>
                </c:pt>
                <c:pt idx="96">
                  <c:v>244.47701599999999</c:v>
                </c:pt>
                <c:pt idx="97">
                  <c:v>325.50360499999999</c:v>
                </c:pt>
                <c:pt idx="98">
                  <c:v>427.31330200000002</c:v>
                </c:pt>
                <c:pt idx="99">
                  <c:v>430.50336700000003</c:v>
                </c:pt>
                <c:pt idx="100">
                  <c:v>310.59441800000002</c:v>
                </c:pt>
                <c:pt idx="101">
                  <c:v>406.47799700000002</c:v>
                </c:pt>
                <c:pt idx="102">
                  <c:v>536.32668699999999</c:v>
                </c:pt>
                <c:pt idx="103">
                  <c:v>553.67306399999995</c:v>
                </c:pt>
                <c:pt idx="104">
                  <c:v>489.32727699999998</c:v>
                </c:pt>
                <c:pt idx="105">
                  <c:v>650.91174899999999</c:v>
                </c:pt>
                <c:pt idx="106">
                  <c:v>687.65980200000001</c:v>
                </c:pt>
                <c:pt idx="107">
                  <c:v>244.59487200000001</c:v>
                </c:pt>
                <c:pt idx="108">
                  <c:v>322.32281</c:v>
                </c:pt>
                <c:pt idx="109">
                  <c:v>398.12718100000001</c:v>
                </c:pt>
                <c:pt idx="110">
                  <c:v>392.44100700000001</c:v>
                </c:pt>
                <c:pt idx="111">
                  <c:v>302.16503599999999</c:v>
                </c:pt>
                <c:pt idx="112">
                  <c:v>399.01952599999998</c:v>
                </c:pt>
                <c:pt idx="113">
                  <c:v>501.752475</c:v>
                </c:pt>
                <c:pt idx="114">
                  <c:v>496.27469400000001</c:v>
                </c:pt>
                <c:pt idx="115">
                  <c:v>361.69996099999997</c:v>
                </c:pt>
                <c:pt idx="116">
                  <c:v>484.63953299999997</c:v>
                </c:pt>
                <c:pt idx="117">
                  <c:v>607.819479</c:v>
                </c:pt>
                <c:pt idx="118">
                  <c:v>608.77833599999997</c:v>
                </c:pt>
                <c:pt idx="119">
                  <c:v>245.61717300000001</c:v>
                </c:pt>
                <c:pt idx="120">
                  <c:v>228.75350800000001</c:v>
                </c:pt>
                <c:pt idx="121">
                  <c:v>276.00219800000002</c:v>
                </c:pt>
                <c:pt idx="122">
                  <c:v>295.22686099999999</c:v>
                </c:pt>
                <c:pt idx="123">
                  <c:v>390.282017</c:v>
                </c:pt>
                <c:pt idx="124">
                  <c:v>488.32804499999997</c:v>
                </c:pt>
                <c:pt idx="125">
                  <c:v>484.50285400000001</c:v>
                </c:pt>
                <c:pt idx="126">
                  <c:v>316.43447700000002</c:v>
                </c:pt>
                <c:pt idx="127">
                  <c:v>295.68525399999999</c:v>
                </c:pt>
                <c:pt idx="128">
                  <c:v>359.15189600000002</c:v>
                </c:pt>
                <c:pt idx="129">
                  <c:v>401.28982000000002</c:v>
                </c:pt>
                <c:pt idx="130">
                  <c:v>542.45666300000005</c:v>
                </c:pt>
                <c:pt idx="131">
                  <c:v>681.29206799999997</c:v>
                </c:pt>
                <c:pt idx="132">
                  <c:v>684.54010000000005</c:v>
                </c:pt>
                <c:pt idx="133">
                  <c:v>390.28236500000003</c:v>
                </c:pt>
                <c:pt idx="134">
                  <c:v>367.50205599999998</c:v>
                </c:pt>
                <c:pt idx="135">
                  <c:v>454.133803</c:v>
                </c:pt>
                <c:pt idx="136">
                  <c:v>519.32737199999997</c:v>
                </c:pt>
                <c:pt idx="137">
                  <c:v>279.42349899999999</c:v>
                </c:pt>
                <c:pt idx="138">
                  <c:v>260.74862400000001</c:v>
                </c:pt>
                <c:pt idx="139">
                  <c:v>316.441282</c:v>
                </c:pt>
                <c:pt idx="140">
                  <c:v>345.82369599999998</c:v>
                </c:pt>
                <c:pt idx="141">
                  <c:v>362.04977000000002</c:v>
                </c:pt>
                <c:pt idx="142">
                  <c:v>341.72748100000001</c:v>
                </c:pt>
                <c:pt idx="143">
                  <c:v>418.97887700000001</c:v>
                </c:pt>
                <c:pt idx="144">
                  <c:v>474.24856399999999</c:v>
                </c:pt>
                <c:pt idx="145">
                  <c:v>536.58568300000002</c:v>
                </c:pt>
                <c:pt idx="146">
                  <c:v>611.71442000000002</c:v>
                </c:pt>
                <c:pt idx="147">
                  <c:v>314.76941699999998</c:v>
                </c:pt>
                <c:pt idx="148">
                  <c:v>294.76227899999998</c:v>
                </c:pt>
                <c:pt idx="149">
                  <c:v>357.04092300000002</c:v>
                </c:pt>
                <c:pt idx="150">
                  <c:v>398.50573300000002</c:v>
                </c:pt>
                <c:pt idx="151">
                  <c:v>377.583777</c:v>
                </c:pt>
                <c:pt idx="152">
                  <c:v>355.618786</c:v>
                </c:pt>
                <c:pt idx="153">
                  <c:v>436.89670699999999</c:v>
                </c:pt>
                <c:pt idx="154">
                  <c:v>498.44593099999997</c:v>
                </c:pt>
                <c:pt idx="155">
                  <c:v>527.53734399999996</c:v>
                </c:pt>
                <c:pt idx="156">
                  <c:v>601.19556299999999</c:v>
                </c:pt>
              </c:numCache>
            </c:numRef>
          </c:xVal>
          <c:yVal>
            <c:numRef>
              <c:f>US06_2!$F$2:$F$158</c:f>
              <c:numCache>
                <c:formatCode>General</c:formatCode>
                <c:ptCount val="157"/>
                <c:pt idx="0">
                  <c:v>168.04586988044466</c:v>
                </c:pt>
                <c:pt idx="1">
                  <c:v>219.09415973019242</c:v>
                </c:pt>
                <c:pt idx="2">
                  <c:v>229.66791838365054</c:v>
                </c:pt>
                <c:pt idx="3">
                  <c:v>302.91216992320324</c:v>
                </c:pt>
                <c:pt idx="4">
                  <c:v>305.18435116025739</c:v>
                </c:pt>
                <c:pt idx="5">
                  <c:v>400.62456438961516</c:v>
                </c:pt>
                <c:pt idx="6">
                  <c:v>197.66386095882501</c:v>
                </c:pt>
                <c:pt idx="7">
                  <c:v>259.23866531752208</c:v>
                </c:pt>
                <c:pt idx="8">
                  <c:v>277.10462122883121</c:v>
                </c:pt>
                <c:pt idx="9">
                  <c:v>364.04623894730537</c:v>
                </c:pt>
                <c:pt idx="10">
                  <c:v>487.00157979132672</c:v>
                </c:pt>
                <c:pt idx="11">
                  <c:v>230.60823453789124</c:v>
                </c:pt>
                <c:pt idx="12">
                  <c:v>302.70955340553758</c:v>
                </c:pt>
                <c:pt idx="13">
                  <c:v>294.39844646136464</c:v>
                </c:pt>
                <c:pt idx="14">
                  <c:v>385.52487534884386</c:v>
                </c:pt>
                <c:pt idx="15">
                  <c:v>478.54831635015904</c:v>
                </c:pt>
                <c:pt idx="16">
                  <c:v>221.05589069293106</c:v>
                </c:pt>
                <c:pt idx="17">
                  <c:v>270.25496288522368</c:v>
                </c:pt>
                <c:pt idx="18">
                  <c:v>275.87403104845538</c:v>
                </c:pt>
                <c:pt idx="19">
                  <c:v>340.92736159060877</c:v>
                </c:pt>
                <c:pt idx="20">
                  <c:v>335.22911320753917</c:v>
                </c:pt>
                <c:pt idx="21">
                  <c:v>416.1367020995533</c:v>
                </c:pt>
                <c:pt idx="22">
                  <c:v>201.59259585210853</c:v>
                </c:pt>
                <c:pt idx="23">
                  <c:v>193.61302299077593</c:v>
                </c:pt>
                <c:pt idx="24">
                  <c:v>269.79838409628059</c:v>
                </c:pt>
                <c:pt idx="25">
                  <c:v>332.69482246749476</c:v>
                </c:pt>
                <c:pt idx="26">
                  <c:v>215.24693114178913</c:v>
                </c:pt>
                <c:pt idx="27">
                  <c:v>269.75321519910239</c:v>
                </c:pt>
                <c:pt idx="28">
                  <c:v>266.33305233888433</c:v>
                </c:pt>
                <c:pt idx="29">
                  <c:v>375.81235597909654</c:v>
                </c:pt>
                <c:pt idx="30">
                  <c:v>466.45374646256698</c:v>
                </c:pt>
                <c:pt idx="31">
                  <c:v>280.65496349483027</c:v>
                </c:pt>
                <c:pt idx="32">
                  <c:v>351.80821881949743</c:v>
                </c:pt>
                <c:pt idx="33">
                  <c:v>352.94746596039374</c:v>
                </c:pt>
                <c:pt idx="34">
                  <c:v>495.72071213531348</c:v>
                </c:pt>
                <c:pt idx="35">
                  <c:v>614.10705473104031</c:v>
                </c:pt>
                <c:pt idx="36">
                  <c:v>233.96028108995975</c:v>
                </c:pt>
                <c:pt idx="37">
                  <c:v>228.49427132363098</c:v>
                </c:pt>
                <c:pt idx="38">
                  <c:v>320.46940419255964</c:v>
                </c:pt>
                <c:pt idx="39">
                  <c:v>396.52398569996041</c:v>
                </c:pt>
                <c:pt idx="40">
                  <c:v>256.09438506136206</c:v>
                </c:pt>
                <c:pt idx="41">
                  <c:v>320.87369375286653</c:v>
                </c:pt>
                <c:pt idx="42">
                  <c:v>320.61843827352573</c:v>
                </c:pt>
                <c:pt idx="43">
                  <c:v>450.6437911821202</c:v>
                </c:pt>
                <c:pt idx="44">
                  <c:v>558.40688938924245</c:v>
                </c:pt>
                <c:pt idx="45">
                  <c:v>598.96594538591876</c:v>
                </c:pt>
                <c:pt idx="46">
                  <c:v>738.43756029276244</c:v>
                </c:pt>
                <c:pt idx="47">
                  <c:v>269.65434882849678</c:v>
                </c:pt>
                <c:pt idx="48">
                  <c:v>266.70190215717184</c:v>
                </c:pt>
                <c:pt idx="49">
                  <c:v>374.46680678952447</c:v>
                </c:pt>
                <c:pt idx="50">
                  <c:v>463.679531433112</c:v>
                </c:pt>
                <c:pt idx="51">
                  <c:v>339.04905004664568</c:v>
                </c:pt>
                <c:pt idx="52">
                  <c:v>340.00466909056172</c:v>
                </c:pt>
                <c:pt idx="53">
                  <c:v>476.30723875266364</c:v>
                </c:pt>
                <c:pt idx="54">
                  <c:v>589.30135092104229</c:v>
                </c:pt>
                <c:pt idx="55">
                  <c:v>588.35578977381181</c:v>
                </c:pt>
                <c:pt idx="56">
                  <c:v>725.13128946698134</c:v>
                </c:pt>
                <c:pt idx="57">
                  <c:v>259.58032600863578</c:v>
                </c:pt>
                <c:pt idx="58">
                  <c:v>250.63984628649277</c:v>
                </c:pt>
                <c:pt idx="59">
                  <c:v>328.58421445592705</c:v>
                </c:pt>
                <c:pt idx="60">
                  <c:v>405.15232069072334</c:v>
                </c:pt>
                <c:pt idx="61">
                  <c:v>321.30564423058257</c:v>
                </c:pt>
                <c:pt idx="62">
                  <c:v>314.97054165193356</c:v>
                </c:pt>
                <c:pt idx="63">
                  <c:v>418.28172318114503</c:v>
                </c:pt>
                <c:pt idx="64">
                  <c:v>520.21664277571858</c:v>
                </c:pt>
                <c:pt idx="65">
                  <c:v>387.56790425608887</c:v>
                </c:pt>
                <c:pt idx="66">
                  <c:v>383.83817882093382</c:v>
                </c:pt>
                <c:pt idx="67">
                  <c:v>512.51617370992255</c:v>
                </c:pt>
                <c:pt idx="68">
                  <c:v>639.81790666427321</c:v>
                </c:pt>
                <c:pt idx="69">
                  <c:v>182.68713156144855</c:v>
                </c:pt>
                <c:pt idx="70">
                  <c:v>239.25837180750963</c:v>
                </c:pt>
                <c:pt idx="71">
                  <c:v>314.00931321463639</c:v>
                </c:pt>
                <c:pt idx="72">
                  <c:v>307.60075939719525</c:v>
                </c:pt>
                <c:pt idx="73">
                  <c:v>407.46091345290387</c:v>
                </c:pt>
                <c:pt idx="74">
                  <c:v>505.94480557397458</c:v>
                </c:pt>
                <c:pt idx="75">
                  <c:v>242.52426527476561</c:v>
                </c:pt>
                <c:pt idx="76">
                  <c:v>324.06596242185731</c:v>
                </c:pt>
                <c:pt idx="77">
                  <c:v>432.11084636369162</c:v>
                </c:pt>
                <c:pt idx="78">
                  <c:v>430.26170254736496</c:v>
                </c:pt>
                <c:pt idx="79">
                  <c:v>574.51377998268379</c:v>
                </c:pt>
                <c:pt idx="80">
                  <c:v>717.38959548336447</c:v>
                </c:pt>
                <c:pt idx="81">
                  <c:v>316.25578326148366</c:v>
                </c:pt>
                <c:pt idx="82">
                  <c:v>422.767937309606</c:v>
                </c:pt>
                <c:pt idx="83">
                  <c:v>564.10676378614778</c:v>
                </c:pt>
                <c:pt idx="84">
                  <c:v>566.81702997093578</c:v>
                </c:pt>
                <c:pt idx="85">
                  <c:v>211.10737385844376</c:v>
                </c:pt>
                <c:pt idx="86">
                  <c:v>279.52094292707278</c:v>
                </c:pt>
                <c:pt idx="87">
                  <c:v>370.06165609762365</c:v>
                </c:pt>
                <c:pt idx="88">
                  <c:v>366.16666537518626</c:v>
                </c:pt>
                <c:pt idx="89">
                  <c:v>288.50823151143408</c:v>
                </c:pt>
                <c:pt idx="90">
                  <c:v>385.45946560981253</c:v>
                </c:pt>
                <c:pt idx="91">
                  <c:v>514.05039882002905</c:v>
                </c:pt>
                <c:pt idx="92">
                  <c:v>515.36616238457975</c:v>
                </c:pt>
                <c:pt idx="93">
                  <c:v>509.54575550679021</c:v>
                </c:pt>
                <c:pt idx="94">
                  <c:v>676.18690875667255</c:v>
                </c:pt>
                <c:pt idx="95">
                  <c:v>682.71342660821119</c:v>
                </c:pt>
                <c:pt idx="96">
                  <c:v>242.85399865612487</c:v>
                </c:pt>
                <c:pt idx="97">
                  <c:v>323.10989654732191</c:v>
                </c:pt>
                <c:pt idx="98">
                  <c:v>429.44038148129664</c:v>
                </c:pt>
                <c:pt idx="99">
                  <c:v>428.0589538538631</c:v>
                </c:pt>
                <c:pt idx="100">
                  <c:v>305.11428361683642</c:v>
                </c:pt>
                <c:pt idx="101">
                  <c:v>406.77343028034539</c:v>
                </c:pt>
                <c:pt idx="102">
                  <c:v>541.64158024406947</c:v>
                </c:pt>
                <c:pt idx="103">
                  <c:v>544.16821833187703</c:v>
                </c:pt>
                <c:pt idx="104">
                  <c:v>500.64508307137777</c:v>
                </c:pt>
                <c:pt idx="105">
                  <c:v>664.05089806485125</c:v>
                </c:pt>
                <c:pt idx="106">
                  <c:v>670.48560186789985</c:v>
                </c:pt>
                <c:pt idx="107">
                  <c:v>240.22830838207696</c:v>
                </c:pt>
                <c:pt idx="108">
                  <c:v>317.12028066282289</c:v>
                </c:pt>
                <c:pt idx="109">
                  <c:v>392.6359910089306</c:v>
                </c:pt>
                <c:pt idx="110">
                  <c:v>386.13931868839654</c:v>
                </c:pt>
                <c:pt idx="111">
                  <c:v>295.61192326407945</c:v>
                </c:pt>
                <c:pt idx="112">
                  <c:v>397.87070890460251</c:v>
                </c:pt>
                <c:pt idx="113">
                  <c:v>498.7532326104876</c:v>
                </c:pt>
                <c:pt idx="114">
                  <c:v>494.86193743344751</c:v>
                </c:pt>
                <c:pt idx="115">
                  <c:v>355.53247994964147</c:v>
                </c:pt>
                <c:pt idx="116">
                  <c:v>483.15807894994174</c:v>
                </c:pt>
                <c:pt idx="117">
                  <c:v>609.40741601560399</c:v>
                </c:pt>
                <c:pt idx="118">
                  <c:v>608.12149798205792</c:v>
                </c:pt>
                <c:pt idx="119">
                  <c:v>259.64358631957367</c:v>
                </c:pt>
                <c:pt idx="120">
                  <c:v>231.44096710795449</c:v>
                </c:pt>
                <c:pt idx="121">
                  <c:v>279.9540349164958</c:v>
                </c:pt>
                <c:pt idx="122">
                  <c:v>289.17834911650903</c:v>
                </c:pt>
                <c:pt idx="123">
                  <c:v>387.98610728352918</c:v>
                </c:pt>
                <c:pt idx="124">
                  <c:v>485.41760351591137</c:v>
                </c:pt>
                <c:pt idx="125">
                  <c:v>481.4528571000792</c:v>
                </c:pt>
                <c:pt idx="126">
                  <c:v>318.13226589515335</c:v>
                </c:pt>
                <c:pt idx="127">
                  <c:v>288.72949345933017</c:v>
                </c:pt>
                <c:pt idx="128">
                  <c:v>359.43852295767653</c:v>
                </c:pt>
                <c:pt idx="129">
                  <c:v>396.1819014206618</c:v>
                </c:pt>
                <c:pt idx="130">
                  <c:v>539.38158296729193</c:v>
                </c:pt>
                <c:pt idx="131">
                  <c:v>681.20500257928438</c:v>
                </c:pt>
                <c:pt idx="132">
                  <c:v>681.7996661645667</c:v>
                </c:pt>
                <c:pt idx="133">
                  <c:v>390.51532974413402</c:v>
                </c:pt>
                <c:pt idx="134">
                  <c:v>359.91240408410687</c:v>
                </c:pt>
                <c:pt idx="135">
                  <c:v>452.8173952722583</c:v>
                </c:pt>
                <c:pt idx="136">
                  <c:v>517.07983799821545</c:v>
                </c:pt>
                <c:pt idx="137">
                  <c:v>286.25173369654686</c:v>
                </c:pt>
                <c:pt idx="138">
                  <c:v>257.8149619971519</c:v>
                </c:pt>
                <c:pt idx="139">
                  <c:v>316.85454431464257</c:v>
                </c:pt>
                <c:pt idx="140">
                  <c:v>339.96743474502159</c:v>
                </c:pt>
                <c:pt idx="141">
                  <c:v>362.11150090640882</c:v>
                </c:pt>
                <c:pt idx="142">
                  <c:v>332.30312552220926</c:v>
                </c:pt>
                <c:pt idx="143">
                  <c:v>416.70952119947719</c:v>
                </c:pt>
                <c:pt idx="144">
                  <c:v>471.27277078753843</c:v>
                </c:pt>
                <c:pt idx="145">
                  <c:v>534.71226529854971</c:v>
                </c:pt>
                <c:pt idx="146">
                  <c:v>620.72587404429328</c:v>
                </c:pt>
                <c:pt idx="147">
                  <c:v>316.18626357420595</c:v>
                </c:pt>
                <c:pt idx="148">
                  <c:v>287.51533938703517</c:v>
                </c:pt>
                <c:pt idx="149">
                  <c:v>357.08143621347517</c:v>
                </c:pt>
                <c:pt idx="150">
                  <c:v>394.08290287421994</c:v>
                </c:pt>
                <c:pt idx="151">
                  <c:v>377.29073070257124</c:v>
                </c:pt>
                <c:pt idx="152">
                  <c:v>347.59110375179699</c:v>
                </c:pt>
                <c:pt idx="153">
                  <c:v>436.18231059806982</c:v>
                </c:pt>
                <c:pt idx="154">
                  <c:v>496.77154662707642</c:v>
                </c:pt>
                <c:pt idx="155">
                  <c:v>525.49130404067353</c:v>
                </c:pt>
                <c:pt idx="156">
                  <c:v>609.66830943794162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58-4E9E-84D7-F2039E4E8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5653840"/>
        <c:axId val="1835646768"/>
      </c:scatterChart>
      <c:valAx>
        <c:axId val="1835653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ALPHA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5646768"/>
        <c:crosses val="autoZero"/>
        <c:crossBetween val="midCat"/>
      </c:valAx>
      <c:valAx>
        <c:axId val="183564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CO2 - RSE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5653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Displacement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Displacement!$F$1</c:f>
              <c:strCache>
                <c:ptCount val="1"/>
                <c:pt idx="0">
                  <c:v>Displacement-RSE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Displacement!$E$2:$E$158</c:f>
              <c:numCache>
                <c:formatCode>General</c:formatCode>
                <c:ptCount val="157"/>
                <c:pt idx="0">
                  <c:v>1.4</c:v>
                </c:pt>
                <c:pt idx="1">
                  <c:v>1.8</c:v>
                </c:pt>
                <c:pt idx="2">
                  <c:v>1.4</c:v>
                </c:pt>
                <c:pt idx="3">
                  <c:v>1.8</c:v>
                </c:pt>
                <c:pt idx="4">
                  <c:v>1.4</c:v>
                </c:pt>
                <c:pt idx="5">
                  <c:v>1.8</c:v>
                </c:pt>
                <c:pt idx="6">
                  <c:v>1.4</c:v>
                </c:pt>
                <c:pt idx="7">
                  <c:v>1.8</c:v>
                </c:pt>
                <c:pt idx="8">
                  <c:v>1.4</c:v>
                </c:pt>
                <c:pt idx="9">
                  <c:v>1.8</c:v>
                </c:pt>
                <c:pt idx="10">
                  <c:v>1.8</c:v>
                </c:pt>
                <c:pt idx="11">
                  <c:v>1.4</c:v>
                </c:pt>
                <c:pt idx="12">
                  <c:v>1.8</c:v>
                </c:pt>
                <c:pt idx="13">
                  <c:v>1.4</c:v>
                </c:pt>
                <c:pt idx="14">
                  <c:v>1.8</c:v>
                </c:pt>
                <c:pt idx="15">
                  <c:v>1.8</c:v>
                </c:pt>
                <c:pt idx="16">
                  <c:v>2.2000000000000002</c:v>
                </c:pt>
                <c:pt idx="17">
                  <c:v>2.8</c:v>
                </c:pt>
                <c:pt idx="18">
                  <c:v>2.2000000000000002</c:v>
                </c:pt>
                <c:pt idx="19">
                  <c:v>2.8</c:v>
                </c:pt>
                <c:pt idx="20">
                  <c:v>2.2000000000000002</c:v>
                </c:pt>
                <c:pt idx="21">
                  <c:v>2.8</c:v>
                </c:pt>
                <c:pt idx="22">
                  <c:v>2.8</c:v>
                </c:pt>
                <c:pt idx="23">
                  <c:v>1.6</c:v>
                </c:pt>
                <c:pt idx="24">
                  <c:v>2.2000000000000002</c:v>
                </c:pt>
                <c:pt idx="25">
                  <c:v>2.8</c:v>
                </c:pt>
                <c:pt idx="26">
                  <c:v>2.2000000000000002</c:v>
                </c:pt>
                <c:pt idx="27">
                  <c:v>2.8</c:v>
                </c:pt>
                <c:pt idx="28">
                  <c:v>1.6</c:v>
                </c:pt>
                <c:pt idx="29">
                  <c:v>2.2000000000000002</c:v>
                </c:pt>
                <c:pt idx="30">
                  <c:v>2.8</c:v>
                </c:pt>
                <c:pt idx="31">
                  <c:v>2.2000000000000002</c:v>
                </c:pt>
                <c:pt idx="32">
                  <c:v>2.8</c:v>
                </c:pt>
                <c:pt idx="33">
                  <c:v>1.6</c:v>
                </c:pt>
                <c:pt idx="34">
                  <c:v>2.2000000000000002</c:v>
                </c:pt>
                <c:pt idx="35">
                  <c:v>2.8</c:v>
                </c:pt>
                <c:pt idx="36">
                  <c:v>2.8</c:v>
                </c:pt>
                <c:pt idx="37">
                  <c:v>1.6</c:v>
                </c:pt>
                <c:pt idx="38">
                  <c:v>2.2000000000000002</c:v>
                </c:pt>
                <c:pt idx="39">
                  <c:v>2.8</c:v>
                </c:pt>
                <c:pt idx="40">
                  <c:v>2.2000000000000002</c:v>
                </c:pt>
                <c:pt idx="41">
                  <c:v>2.8</c:v>
                </c:pt>
                <c:pt idx="42">
                  <c:v>1.6</c:v>
                </c:pt>
                <c:pt idx="43">
                  <c:v>2.2000000000000002</c:v>
                </c:pt>
                <c:pt idx="44">
                  <c:v>2.8</c:v>
                </c:pt>
                <c:pt idx="45">
                  <c:v>2.2000000000000002</c:v>
                </c:pt>
                <c:pt idx="46">
                  <c:v>2.8</c:v>
                </c:pt>
                <c:pt idx="47">
                  <c:v>2.8</c:v>
                </c:pt>
                <c:pt idx="48">
                  <c:v>1.6</c:v>
                </c:pt>
                <c:pt idx="49">
                  <c:v>2.2000000000000002</c:v>
                </c:pt>
                <c:pt idx="50">
                  <c:v>2.8</c:v>
                </c:pt>
                <c:pt idx="51">
                  <c:v>2.8</c:v>
                </c:pt>
                <c:pt idx="52">
                  <c:v>1.6</c:v>
                </c:pt>
                <c:pt idx="53">
                  <c:v>2.2000000000000002</c:v>
                </c:pt>
                <c:pt idx="54">
                  <c:v>2.8</c:v>
                </c:pt>
                <c:pt idx="55">
                  <c:v>2.2000000000000002</c:v>
                </c:pt>
                <c:pt idx="56">
                  <c:v>2.8</c:v>
                </c:pt>
                <c:pt idx="57">
                  <c:v>4.3</c:v>
                </c:pt>
                <c:pt idx="58">
                  <c:v>2.5</c:v>
                </c:pt>
                <c:pt idx="59">
                  <c:v>3.4</c:v>
                </c:pt>
                <c:pt idx="60">
                  <c:v>4.3</c:v>
                </c:pt>
                <c:pt idx="61">
                  <c:v>4.3</c:v>
                </c:pt>
                <c:pt idx="62">
                  <c:v>2.5</c:v>
                </c:pt>
                <c:pt idx="63">
                  <c:v>3.4</c:v>
                </c:pt>
                <c:pt idx="64">
                  <c:v>4.3</c:v>
                </c:pt>
                <c:pt idx="65">
                  <c:v>4.3</c:v>
                </c:pt>
                <c:pt idx="66">
                  <c:v>2.5</c:v>
                </c:pt>
                <c:pt idx="67">
                  <c:v>3.4</c:v>
                </c:pt>
                <c:pt idx="68">
                  <c:v>4.3</c:v>
                </c:pt>
                <c:pt idx="69">
                  <c:v>2.5</c:v>
                </c:pt>
                <c:pt idx="70">
                  <c:v>3.4</c:v>
                </c:pt>
                <c:pt idx="71">
                  <c:v>4.3</c:v>
                </c:pt>
                <c:pt idx="72">
                  <c:v>2.5</c:v>
                </c:pt>
                <c:pt idx="73">
                  <c:v>3.4</c:v>
                </c:pt>
                <c:pt idx="74">
                  <c:v>4.3</c:v>
                </c:pt>
                <c:pt idx="75">
                  <c:v>2.5</c:v>
                </c:pt>
                <c:pt idx="76">
                  <c:v>3.4</c:v>
                </c:pt>
                <c:pt idx="77">
                  <c:v>4.3</c:v>
                </c:pt>
                <c:pt idx="78">
                  <c:v>2.5</c:v>
                </c:pt>
                <c:pt idx="79">
                  <c:v>3.4</c:v>
                </c:pt>
                <c:pt idx="80">
                  <c:v>4.3</c:v>
                </c:pt>
                <c:pt idx="81">
                  <c:v>2.5</c:v>
                </c:pt>
                <c:pt idx="82">
                  <c:v>3.4</c:v>
                </c:pt>
                <c:pt idx="83">
                  <c:v>4.3</c:v>
                </c:pt>
                <c:pt idx="84">
                  <c:v>2.5</c:v>
                </c:pt>
                <c:pt idx="85">
                  <c:v>2.5</c:v>
                </c:pt>
                <c:pt idx="86">
                  <c:v>3.4</c:v>
                </c:pt>
                <c:pt idx="87">
                  <c:v>4.3</c:v>
                </c:pt>
                <c:pt idx="88">
                  <c:v>2.5</c:v>
                </c:pt>
                <c:pt idx="89">
                  <c:v>2.5</c:v>
                </c:pt>
                <c:pt idx="90">
                  <c:v>3.4</c:v>
                </c:pt>
                <c:pt idx="91">
                  <c:v>4.3</c:v>
                </c:pt>
                <c:pt idx="92">
                  <c:v>2.5</c:v>
                </c:pt>
                <c:pt idx="93">
                  <c:v>3.4</c:v>
                </c:pt>
                <c:pt idx="94">
                  <c:v>4.3</c:v>
                </c:pt>
                <c:pt idx="95">
                  <c:v>2.5</c:v>
                </c:pt>
                <c:pt idx="96">
                  <c:v>2.5</c:v>
                </c:pt>
                <c:pt idx="97">
                  <c:v>3.4</c:v>
                </c:pt>
                <c:pt idx="98">
                  <c:v>4.3</c:v>
                </c:pt>
                <c:pt idx="99">
                  <c:v>2.5</c:v>
                </c:pt>
                <c:pt idx="100">
                  <c:v>2.5</c:v>
                </c:pt>
                <c:pt idx="101">
                  <c:v>3.4</c:v>
                </c:pt>
                <c:pt idx="102">
                  <c:v>4.3</c:v>
                </c:pt>
                <c:pt idx="103">
                  <c:v>2.5</c:v>
                </c:pt>
                <c:pt idx="104">
                  <c:v>3.4</c:v>
                </c:pt>
                <c:pt idx="105">
                  <c:v>4.3</c:v>
                </c:pt>
                <c:pt idx="106">
                  <c:v>2.5</c:v>
                </c:pt>
                <c:pt idx="107">
                  <c:v>4</c:v>
                </c:pt>
                <c:pt idx="108">
                  <c:v>5.5</c:v>
                </c:pt>
                <c:pt idx="109">
                  <c:v>7</c:v>
                </c:pt>
                <c:pt idx="110">
                  <c:v>4</c:v>
                </c:pt>
                <c:pt idx="111">
                  <c:v>4</c:v>
                </c:pt>
                <c:pt idx="112">
                  <c:v>5.5</c:v>
                </c:pt>
                <c:pt idx="113">
                  <c:v>7</c:v>
                </c:pt>
                <c:pt idx="114">
                  <c:v>4</c:v>
                </c:pt>
                <c:pt idx="115">
                  <c:v>4</c:v>
                </c:pt>
                <c:pt idx="116">
                  <c:v>5.5</c:v>
                </c:pt>
                <c:pt idx="117">
                  <c:v>7</c:v>
                </c:pt>
                <c:pt idx="118">
                  <c:v>4</c:v>
                </c:pt>
                <c:pt idx="119">
                  <c:v>7</c:v>
                </c:pt>
                <c:pt idx="120">
                  <c:v>5.5</c:v>
                </c:pt>
                <c:pt idx="121">
                  <c:v>7</c:v>
                </c:pt>
                <c:pt idx="122">
                  <c:v>4</c:v>
                </c:pt>
                <c:pt idx="123">
                  <c:v>5.5</c:v>
                </c:pt>
                <c:pt idx="124">
                  <c:v>7</c:v>
                </c:pt>
                <c:pt idx="125">
                  <c:v>4</c:v>
                </c:pt>
                <c:pt idx="126">
                  <c:v>7</c:v>
                </c:pt>
                <c:pt idx="127">
                  <c:v>5.5</c:v>
                </c:pt>
                <c:pt idx="128">
                  <c:v>7</c:v>
                </c:pt>
                <c:pt idx="129">
                  <c:v>4</c:v>
                </c:pt>
                <c:pt idx="130">
                  <c:v>5.5</c:v>
                </c:pt>
                <c:pt idx="131">
                  <c:v>7</c:v>
                </c:pt>
                <c:pt idx="132">
                  <c:v>4</c:v>
                </c:pt>
                <c:pt idx="133">
                  <c:v>7</c:v>
                </c:pt>
                <c:pt idx="134">
                  <c:v>5.5</c:v>
                </c:pt>
                <c:pt idx="135">
                  <c:v>7</c:v>
                </c:pt>
                <c:pt idx="136">
                  <c:v>4</c:v>
                </c:pt>
                <c:pt idx="137">
                  <c:v>7</c:v>
                </c:pt>
                <c:pt idx="138">
                  <c:v>5.5</c:v>
                </c:pt>
                <c:pt idx="139">
                  <c:v>7</c:v>
                </c:pt>
                <c:pt idx="140">
                  <c:v>4</c:v>
                </c:pt>
                <c:pt idx="141">
                  <c:v>7</c:v>
                </c:pt>
                <c:pt idx="142">
                  <c:v>5.5</c:v>
                </c:pt>
                <c:pt idx="143">
                  <c:v>7</c:v>
                </c:pt>
                <c:pt idx="144">
                  <c:v>4</c:v>
                </c:pt>
                <c:pt idx="145">
                  <c:v>7</c:v>
                </c:pt>
                <c:pt idx="146">
                  <c:v>4</c:v>
                </c:pt>
                <c:pt idx="147">
                  <c:v>7</c:v>
                </c:pt>
                <c:pt idx="148">
                  <c:v>5.5</c:v>
                </c:pt>
                <c:pt idx="149">
                  <c:v>7</c:v>
                </c:pt>
                <c:pt idx="150">
                  <c:v>4</c:v>
                </c:pt>
                <c:pt idx="151">
                  <c:v>7</c:v>
                </c:pt>
                <c:pt idx="152">
                  <c:v>5.5</c:v>
                </c:pt>
                <c:pt idx="153">
                  <c:v>7</c:v>
                </c:pt>
                <c:pt idx="154">
                  <c:v>4</c:v>
                </c:pt>
                <c:pt idx="155">
                  <c:v>7</c:v>
                </c:pt>
                <c:pt idx="156">
                  <c:v>4</c:v>
                </c:pt>
              </c:numCache>
            </c:numRef>
          </c:xVal>
          <c:yVal>
            <c:numRef>
              <c:f>Displacement!$F$2:$F$158</c:f>
              <c:numCache>
                <c:formatCode>General</c:formatCode>
                <c:ptCount val="157"/>
                <c:pt idx="0">
                  <c:v>1.3980389961099977</c:v>
                </c:pt>
                <c:pt idx="1">
                  <c:v>1.8027452026294966</c:v>
                </c:pt>
                <c:pt idx="2">
                  <c:v>1.3959662442454714</c:v>
                </c:pt>
                <c:pt idx="3">
                  <c:v>1.8002114757213712</c:v>
                </c:pt>
                <c:pt idx="4">
                  <c:v>1.3972207584221064</c:v>
                </c:pt>
                <c:pt idx="5">
                  <c:v>1.801005014854407</c:v>
                </c:pt>
                <c:pt idx="6">
                  <c:v>1.4112568782015396</c:v>
                </c:pt>
                <c:pt idx="7">
                  <c:v>1.8115063578259152</c:v>
                </c:pt>
                <c:pt idx="8">
                  <c:v>1.4102581329697002</c:v>
                </c:pt>
                <c:pt idx="9">
                  <c:v>1.8099807839728195</c:v>
                </c:pt>
                <c:pt idx="10">
                  <c:v>1.812801026989812</c:v>
                </c:pt>
                <c:pt idx="11">
                  <c:v>1.4130950284961139</c:v>
                </c:pt>
                <c:pt idx="12">
                  <c:v>1.8088877812253656</c:v>
                </c:pt>
                <c:pt idx="13">
                  <c:v>1.4127624246063069</c:v>
                </c:pt>
                <c:pt idx="14">
                  <c:v>1.8081600558696165</c:v>
                </c:pt>
                <c:pt idx="15">
                  <c:v>1.809876852503292</c:v>
                </c:pt>
                <c:pt idx="16">
                  <c:v>2.2041225807184315</c:v>
                </c:pt>
                <c:pt idx="17">
                  <c:v>2.7348910793876402</c:v>
                </c:pt>
                <c:pt idx="18">
                  <c:v>2.2013472110902184</c:v>
                </c:pt>
                <c:pt idx="19">
                  <c:v>2.7317864418711415</c:v>
                </c:pt>
                <c:pt idx="20">
                  <c:v>2.199658295679527</c:v>
                </c:pt>
                <c:pt idx="21">
                  <c:v>2.729768258572165</c:v>
                </c:pt>
                <c:pt idx="22">
                  <c:v>2.766943562976989</c:v>
                </c:pt>
                <c:pt idx="23">
                  <c:v>1.5994338330145919</c:v>
                </c:pt>
                <c:pt idx="24">
                  <c:v>2.2151175399902399</c:v>
                </c:pt>
                <c:pt idx="25">
                  <c:v>2.7413634581866675</c:v>
                </c:pt>
                <c:pt idx="26">
                  <c:v>2.2359959648854315</c:v>
                </c:pt>
                <c:pt idx="27">
                  <c:v>2.7667523306110695</c:v>
                </c:pt>
                <c:pt idx="28">
                  <c:v>1.5971305936282658</c:v>
                </c:pt>
                <c:pt idx="29">
                  <c:v>2.2121228380385149</c:v>
                </c:pt>
                <c:pt idx="30">
                  <c:v>2.7377925374304435</c:v>
                </c:pt>
                <c:pt idx="31">
                  <c:v>2.2394777298433732</c:v>
                </c:pt>
                <c:pt idx="32">
                  <c:v>2.7698883642863117</c:v>
                </c:pt>
                <c:pt idx="33">
                  <c:v>1.5981546202831012</c:v>
                </c:pt>
                <c:pt idx="34">
                  <c:v>2.2124554021279512</c:v>
                </c:pt>
                <c:pt idx="35">
                  <c:v>2.7375488827153811</c:v>
                </c:pt>
                <c:pt idx="36">
                  <c:v>2.7788841402691444</c:v>
                </c:pt>
                <c:pt idx="37">
                  <c:v>1.610423351658572</c:v>
                </c:pt>
                <c:pt idx="38">
                  <c:v>2.2194219682915346</c:v>
                </c:pt>
                <c:pt idx="39">
                  <c:v>2.740096977869058</c:v>
                </c:pt>
                <c:pt idx="40">
                  <c:v>2.2526712726646605</c:v>
                </c:pt>
                <c:pt idx="41">
                  <c:v>2.780035703035713</c:v>
                </c:pt>
                <c:pt idx="42">
                  <c:v>1.6091611921161044</c:v>
                </c:pt>
                <c:pt idx="43">
                  <c:v>2.2173695658171826</c:v>
                </c:pt>
                <c:pt idx="44">
                  <c:v>2.7373860396181358</c:v>
                </c:pt>
                <c:pt idx="45">
                  <c:v>2.2196629802129189</c:v>
                </c:pt>
                <c:pt idx="46">
                  <c:v>2.7390209182373013</c:v>
                </c:pt>
                <c:pt idx="47">
                  <c:v>2.7794449857643322</c:v>
                </c:pt>
                <c:pt idx="48">
                  <c:v>1.6100331385055844</c:v>
                </c:pt>
                <c:pt idx="49">
                  <c:v>2.2123466647958616</c:v>
                </c:pt>
                <c:pt idx="50">
                  <c:v>2.7274507657544809</c:v>
                </c:pt>
                <c:pt idx="51">
                  <c:v>2.7807251128733315</c:v>
                </c:pt>
                <c:pt idx="52">
                  <c:v>1.6095029738828064</c:v>
                </c:pt>
                <c:pt idx="53">
                  <c:v>2.2112238179741706</c:v>
                </c:pt>
                <c:pt idx="54">
                  <c:v>2.7258340171003614</c:v>
                </c:pt>
                <c:pt idx="55">
                  <c:v>2.2125454931419037</c:v>
                </c:pt>
                <c:pt idx="56">
                  <c:v>2.7266617904356671</c:v>
                </c:pt>
                <c:pt idx="57">
                  <c:v>4.376839415453615</c:v>
                </c:pt>
                <c:pt idx="58">
                  <c:v>2.5211462803872235</c:v>
                </c:pt>
                <c:pt idx="59">
                  <c:v>3.3876246726507566</c:v>
                </c:pt>
                <c:pt idx="60">
                  <c:v>4.2847675882792648</c:v>
                </c:pt>
                <c:pt idx="61">
                  <c:v>4.375073346246948</c:v>
                </c:pt>
                <c:pt idx="62">
                  <c:v>2.5181733500260393</c:v>
                </c:pt>
                <c:pt idx="63">
                  <c:v>3.3841249136683156</c:v>
                </c:pt>
                <c:pt idx="64">
                  <c:v>4.280741000675568</c:v>
                </c:pt>
                <c:pt idx="65">
                  <c:v>4.3743937312578041</c:v>
                </c:pt>
                <c:pt idx="66">
                  <c:v>2.5162868738823763</c:v>
                </c:pt>
                <c:pt idx="67">
                  <c:v>3.3817116089033967</c:v>
                </c:pt>
                <c:pt idx="68">
                  <c:v>4.2778008672893932</c:v>
                </c:pt>
                <c:pt idx="69">
                  <c:v>2.500853489648045</c:v>
                </c:pt>
                <c:pt idx="70">
                  <c:v>3.3023578585835254</c:v>
                </c:pt>
                <c:pt idx="71">
                  <c:v>4.3861230455911979</c:v>
                </c:pt>
                <c:pt idx="72">
                  <c:v>2.5294276913753633</c:v>
                </c:pt>
                <c:pt idx="73">
                  <c:v>3.3886699548824475</c:v>
                </c:pt>
                <c:pt idx="74">
                  <c:v>4.2785767417545069</c:v>
                </c:pt>
                <c:pt idx="75">
                  <c:v>2.5008351229234758</c:v>
                </c:pt>
                <c:pt idx="76">
                  <c:v>3.3018208949349068</c:v>
                </c:pt>
                <c:pt idx="77">
                  <c:v>4.3848946193771807</c:v>
                </c:pt>
                <c:pt idx="78">
                  <c:v>2.5260872581409393</c:v>
                </c:pt>
                <c:pt idx="79">
                  <c:v>3.3844075715608244</c:v>
                </c:pt>
                <c:pt idx="80">
                  <c:v>4.2733924083456856</c:v>
                </c:pt>
                <c:pt idx="81">
                  <c:v>2.5041440222400673</c:v>
                </c:pt>
                <c:pt idx="82">
                  <c:v>3.3046111973274495</c:v>
                </c:pt>
                <c:pt idx="83">
                  <c:v>4.3869934592043247</c:v>
                </c:pt>
                <c:pt idx="84">
                  <c:v>2.5260740909476755</c:v>
                </c:pt>
                <c:pt idx="85">
                  <c:v>2.5144653395258718</c:v>
                </c:pt>
                <c:pt idx="86">
                  <c:v>3.3109558907043382</c:v>
                </c:pt>
                <c:pt idx="87">
                  <c:v>4.3880359873693262</c:v>
                </c:pt>
                <c:pt idx="88">
                  <c:v>2.5303895745053158</c:v>
                </c:pt>
                <c:pt idx="89">
                  <c:v>2.5158144630254116</c:v>
                </c:pt>
                <c:pt idx="90">
                  <c:v>3.3117123320049648</c:v>
                </c:pt>
                <c:pt idx="91">
                  <c:v>4.3880021857380678</c:v>
                </c:pt>
                <c:pt idx="92">
                  <c:v>2.527942050565021</c:v>
                </c:pt>
                <c:pt idx="93">
                  <c:v>3.3168145901756794</c:v>
                </c:pt>
                <c:pt idx="94">
                  <c:v>4.3923142009768981</c:v>
                </c:pt>
                <c:pt idx="95">
                  <c:v>2.5298403434948149</c:v>
                </c:pt>
                <c:pt idx="96">
                  <c:v>2.5166974576067309</c:v>
                </c:pt>
                <c:pt idx="97">
                  <c:v>3.3081741910281837</c:v>
                </c:pt>
                <c:pt idx="98">
                  <c:v>4.3785691973504859</c:v>
                </c:pt>
                <c:pt idx="99">
                  <c:v>2.5199717258382996</c:v>
                </c:pt>
                <c:pt idx="100">
                  <c:v>2.5181257552654586</c:v>
                </c:pt>
                <c:pt idx="101">
                  <c:v>3.3091579770377262</c:v>
                </c:pt>
                <c:pt idx="102">
                  <c:v>4.3789603011611149</c:v>
                </c:pt>
                <c:pt idx="103">
                  <c:v>2.5185525379171523</c:v>
                </c:pt>
                <c:pt idx="104">
                  <c:v>3.3125862850366929</c:v>
                </c:pt>
                <c:pt idx="105">
                  <c:v>4.3817959269611686</c:v>
                </c:pt>
                <c:pt idx="106">
                  <c:v>2.5195778719854287</c:v>
                </c:pt>
                <c:pt idx="107">
                  <c:v>4.0118587882183006</c:v>
                </c:pt>
                <c:pt idx="108">
                  <c:v>5.4832804934214243</c:v>
                </c:pt>
                <c:pt idx="109">
                  <c:v>6.9853667219895215</c:v>
                </c:pt>
                <c:pt idx="110">
                  <c:v>4.0576070603066716</c:v>
                </c:pt>
                <c:pt idx="111">
                  <c:v>4.010224426166948</c:v>
                </c:pt>
                <c:pt idx="112">
                  <c:v>5.481119302748815</c:v>
                </c:pt>
                <c:pt idx="113">
                  <c:v>6.9826787026956572</c:v>
                </c:pt>
                <c:pt idx="114">
                  <c:v>4.0537121798582882</c:v>
                </c:pt>
                <c:pt idx="115">
                  <c:v>4.0096765183331176</c:v>
                </c:pt>
                <c:pt idx="116">
                  <c:v>5.4800445662937287</c:v>
                </c:pt>
                <c:pt idx="117">
                  <c:v>6.9810771376193141</c:v>
                </c:pt>
                <c:pt idx="118">
                  <c:v>4.0509037536274271</c:v>
                </c:pt>
                <c:pt idx="119">
                  <c:v>7.0077848136928571</c:v>
                </c:pt>
                <c:pt idx="120">
                  <c:v>5.5005684789272973</c:v>
                </c:pt>
                <c:pt idx="121">
                  <c:v>6.945808164431889</c:v>
                </c:pt>
                <c:pt idx="122">
                  <c:v>4.0229514505449959</c:v>
                </c:pt>
                <c:pt idx="123">
                  <c:v>5.4871370269916708</c:v>
                </c:pt>
                <c:pt idx="124">
                  <c:v>6.98198712680332</c:v>
                </c:pt>
                <c:pt idx="125">
                  <c:v>4.0532252459710252</c:v>
                </c:pt>
                <c:pt idx="126">
                  <c:v>7.014528967234944</c:v>
                </c:pt>
                <c:pt idx="127">
                  <c:v>5.5054134106105961</c:v>
                </c:pt>
                <c:pt idx="128">
                  <c:v>6.9501921210715896</c:v>
                </c:pt>
                <c:pt idx="129">
                  <c:v>4.0219535118527787</c:v>
                </c:pt>
                <c:pt idx="130">
                  <c:v>5.4852171382122545</c:v>
                </c:pt>
                <c:pt idx="131">
                  <c:v>6.9791452879367046</c:v>
                </c:pt>
                <c:pt idx="132">
                  <c:v>4.0482714000840039</c:v>
                </c:pt>
                <c:pt idx="133">
                  <c:v>7.0246003868181921</c:v>
                </c:pt>
                <c:pt idx="134">
                  <c:v>5.513585608335057</c:v>
                </c:pt>
                <c:pt idx="135">
                  <c:v>6.9579033437524505</c:v>
                </c:pt>
                <c:pt idx="136">
                  <c:v>4.0242828392017218</c:v>
                </c:pt>
                <c:pt idx="137">
                  <c:v>7.0217861808673403</c:v>
                </c:pt>
                <c:pt idx="138">
                  <c:v>5.5147768930809589</c:v>
                </c:pt>
                <c:pt idx="139">
                  <c:v>6.9555598516904276</c:v>
                </c:pt>
                <c:pt idx="140">
                  <c:v>4.0270927557706857</c:v>
                </c:pt>
                <c:pt idx="141">
                  <c:v>7.0308638989573451</c:v>
                </c:pt>
                <c:pt idx="142">
                  <c:v>5.5216840719037776</c:v>
                </c:pt>
                <c:pt idx="143">
                  <c:v>6.9619402018919896</c:v>
                </c:pt>
                <c:pt idx="144">
                  <c:v>4.0273223684500561</c:v>
                </c:pt>
                <c:pt idx="145">
                  <c:v>6.9726663689636403</c:v>
                </c:pt>
                <c:pt idx="146">
                  <c:v>4.0318977979995143</c:v>
                </c:pt>
                <c:pt idx="147">
                  <c:v>7.0244078162448567</c:v>
                </c:pt>
                <c:pt idx="148">
                  <c:v>5.5176055754376536</c:v>
                </c:pt>
                <c:pt idx="149">
                  <c:v>6.9539318071519984</c:v>
                </c:pt>
                <c:pt idx="150">
                  <c:v>4.0198543291994069</c:v>
                </c:pt>
                <c:pt idx="151">
                  <c:v>7.0316325598464324</c:v>
                </c:pt>
                <c:pt idx="152">
                  <c:v>5.5232024145888401</c:v>
                </c:pt>
                <c:pt idx="153">
                  <c:v>6.9591335248372426</c:v>
                </c:pt>
                <c:pt idx="154">
                  <c:v>4.0204429937430071</c:v>
                </c:pt>
                <c:pt idx="155">
                  <c:v>6.9667797645119114</c:v>
                </c:pt>
                <c:pt idx="156">
                  <c:v>4.0234761802760319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CD-4E32-95CE-0200AF997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2134704"/>
        <c:axId val="1322128880"/>
      </c:scatterChart>
      <c:valAx>
        <c:axId val="1322134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Displacement - ALPHA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2128880"/>
        <c:crosses val="autoZero"/>
        <c:crossBetween val="midCat"/>
      </c:valAx>
      <c:valAx>
        <c:axId val="132212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Displacement - RSE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2134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Displacement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Displacement!$F$1</c:f>
              <c:strCache>
                <c:ptCount val="1"/>
                <c:pt idx="0">
                  <c:v>Displacement-RSE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Displacement!$E$2:$E$158</c:f>
              <c:numCache>
                <c:formatCode>General</c:formatCode>
                <c:ptCount val="157"/>
                <c:pt idx="0">
                  <c:v>1.4</c:v>
                </c:pt>
                <c:pt idx="1">
                  <c:v>1.8</c:v>
                </c:pt>
                <c:pt idx="2">
                  <c:v>1.4</c:v>
                </c:pt>
                <c:pt idx="3">
                  <c:v>1.8</c:v>
                </c:pt>
                <c:pt idx="4">
                  <c:v>1.4</c:v>
                </c:pt>
                <c:pt idx="5">
                  <c:v>1.8</c:v>
                </c:pt>
                <c:pt idx="6">
                  <c:v>1.4</c:v>
                </c:pt>
                <c:pt idx="7">
                  <c:v>1.8</c:v>
                </c:pt>
                <c:pt idx="8">
                  <c:v>1.4</c:v>
                </c:pt>
                <c:pt idx="9">
                  <c:v>1.8</c:v>
                </c:pt>
                <c:pt idx="10">
                  <c:v>1.8</c:v>
                </c:pt>
                <c:pt idx="11">
                  <c:v>1.4</c:v>
                </c:pt>
                <c:pt idx="12">
                  <c:v>1.8</c:v>
                </c:pt>
                <c:pt idx="13">
                  <c:v>1.4</c:v>
                </c:pt>
                <c:pt idx="14">
                  <c:v>1.8</c:v>
                </c:pt>
                <c:pt idx="15">
                  <c:v>1.8</c:v>
                </c:pt>
                <c:pt idx="16">
                  <c:v>2.2000000000000002</c:v>
                </c:pt>
                <c:pt idx="17">
                  <c:v>2.8</c:v>
                </c:pt>
                <c:pt idx="18">
                  <c:v>2.2000000000000002</c:v>
                </c:pt>
                <c:pt idx="19">
                  <c:v>2.8</c:v>
                </c:pt>
                <c:pt idx="20">
                  <c:v>2.2000000000000002</c:v>
                </c:pt>
                <c:pt idx="21">
                  <c:v>2.8</c:v>
                </c:pt>
                <c:pt idx="22">
                  <c:v>2.8</c:v>
                </c:pt>
                <c:pt idx="23">
                  <c:v>1.6</c:v>
                </c:pt>
                <c:pt idx="24">
                  <c:v>2.2000000000000002</c:v>
                </c:pt>
                <c:pt idx="25">
                  <c:v>2.8</c:v>
                </c:pt>
                <c:pt idx="26">
                  <c:v>2.2000000000000002</c:v>
                </c:pt>
                <c:pt idx="27">
                  <c:v>2.8</c:v>
                </c:pt>
                <c:pt idx="28">
                  <c:v>1.6</c:v>
                </c:pt>
                <c:pt idx="29">
                  <c:v>2.2000000000000002</c:v>
                </c:pt>
                <c:pt idx="30">
                  <c:v>2.8</c:v>
                </c:pt>
                <c:pt idx="31">
                  <c:v>2.2000000000000002</c:v>
                </c:pt>
                <c:pt idx="32">
                  <c:v>2.8</c:v>
                </c:pt>
                <c:pt idx="33">
                  <c:v>1.6</c:v>
                </c:pt>
                <c:pt idx="34">
                  <c:v>2.2000000000000002</c:v>
                </c:pt>
                <c:pt idx="35">
                  <c:v>2.8</c:v>
                </c:pt>
                <c:pt idx="36">
                  <c:v>2.8</c:v>
                </c:pt>
                <c:pt idx="37">
                  <c:v>1.6</c:v>
                </c:pt>
                <c:pt idx="38">
                  <c:v>2.2000000000000002</c:v>
                </c:pt>
                <c:pt idx="39">
                  <c:v>2.8</c:v>
                </c:pt>
                <c:pt idx="40">
                  <c:v>2.2000000000000002</c:v>
                </c:pt>
                <c:pt idx="41">
                  <c:v>2.8</c:v>
                </c:pt>
                <c:pt idx="42">
                  <c:v>1.6</c:v>
                </c:pt>
                <c:pt idx="43">
                  <c:v>2.2000000000000002</c:v>
                </c:pt>
                <c:pt idx="44">
                  <c:v>2.8</c:v>
                </c:pt>
                <c:pt idx="45">
                  <c:v>2.2000000000000002</c:v>
                </c:pt>
                <c:pt idx="46">
                  <c:v>2.8</c:v>
                </c:pt>
                <c:pt idx="47">
                  <c:v>2.8</c:v>
                </c:pt>
                <c:pt idx="48">
                  <c:v>1.6</c:v>
                </c:pt>
                <c:pt idx="49">
                  <c:v>2.2000000000000002</c:v>
                </c:pt>
                <c:pt idx="50">
                  <c:v>2.8</c:v>
                </c:pt>
                <c:pt idx="51">
                  <c:v>2.8</c:v>
                </c:pt>
                <c:pt idx="52">
                  <c:v>1.6</c:v>
                </c:pt>
                <c:pt idx="53">
                  <c:v>2.2000000000000002</c:v>
                </c:pt>
                <c:pt idx="54">
                  <c:v>2.8</c:v>
                </c:pt>
                <c:pt idx="55">
                  <c:v>2.2000000000000002</c:v>
                </c:pt>
                <c:pt idx="56">
                  <c:v>2.8</c:v>
                </c:pt>
                <c:pt idx="57">
                  <c:v>4.3</c:v>
                </c:pt>
                <c:pt idx="58">
                  <c:v>2.5</c:v>
                </c:pt>
                <c:pt idx="59">
                  <c:v>3.4</c:v>
                </c:pt>
                <c:pt idx="60">
                  <c:v>4.3</c:v>
                </c:pt>
                <c:pt idx="61">
                  <c:v>4.3</c:v>
                </c:pt>
                <c:pt idx="62">
                  <c:v>2.5</c:v>
                </c:pt>
                <c:pt idx="63">
                  <c:v>3.4</c:v>
                </c:pt>
                <c:pt idx="64">
                  <c:v>4.3</c:v>
                </c:pt>
                <c:pt idx="65">
                  <c:v>4.3</c:v>
                </c:pt>
                <c:pt idx="66">
                  <c:v>2.5</c:v>
                </c:pt>
                <c:pt idx="67">
                  <c:v>3.4</c:v>
                </c:pt>
                <c:pt idx="68">
                  <c:v>4.3</c:v>
                </c:pt>
                <c:pt idx="69">
                  <c:v>2.5</c:v>
                </c:pt>
                <c:pt idx="70">
                  <c:v>3.4</c:v>
                </c:pt>
                <c:pt idx="71">
                  <c:v>4.3</c:v>
                </c:pt>
                <c:pt idx="72">
                  <c:v>2.5</c:v>
                </c:pt>
                <c:pt idx="73">
                  <c:v>3.4</c:v>
                </c:pt>
                <c:pt idx="74">
                  <c:v>4.3</c:v>
                </c:pt>
                <c:pt idx="75">
                  <c:v>2.5</c:v>
                </c:pt>
                <c:pt idx="76">
                  <c:v>3.4</c:v>
                </c:pt>
                <c:pt idx="77">
                  <c:v>4.3</c:v>
                </c:pt>
                <c:pt idx="78">
                  <c:v>2.5</c:v>
                </c:pt>
                <c:pt idx="79">
                  <c:v>3.4</c:v>
                </c:pt>
                <c:pt idx="80">
                  <c:v>4.3</c:v>
                </c:pt>
                <c:pt idx="81">
                  <c:v>2.5</c:v>
                </c:pt>
                <c:pt idx="82">
                  <c:v>3.4</c:v>
                </c:pt>
                <c:pt idx="83">
                  <c:v>4.3</c:v>
                </c:pt>
                <c:pt idx="84">
                  <c:v>2.5</c:v>
                </c:pt>
                <c:pt idx="85">
                  <c:v>2.5</c:v>
                </c:pt>
                <c:pt idx="86">
                  <c:v>3.4</c:v>
                </c:pt>
                <c:pt idx="87">
                  <c:v>4.3</c:v>
                </c:pt>
                <c:pt idx="88">
                  <c:v>2.5</c:v>
                </c:pt>
                <c:pt idx="89">
                  <c:v>2.5</c:v>
                </c:pt>
                <c:pt idx="90">
                  <c:v>3.4</c:v>
                </c:pt>
                <c:pt idx="91">
                  <c:v>4.3</c:v>
                </c:pt>
                <c:pt idx="92">
                  <c:v>2.5</c:v>
                </c:pt>
                <c:pt idx="93">
                  <c:v>3.4</c:v>
                </c:pt>
                <c:pt idx="94">
                  <c:v>4.3</c:v>
                </c:pt>
                <c:pt idx="95">
                  <c:v>2.5</c:v>
                </c:pt>
                <c:pt idx="96">
                  <c:v>2.5</c:v>
                </c:pt>
                <c:pt idx="97">
                  <c:v>3.4</c:v>
                </c:pt>
                <c:pt idx="98">
                  <c:v>4.3</c:v>
                </c:pt>
                <c:pt idx="99">
                  <c:v>2.5</c:v>
                </c:pt>
                <c:pt idx="100">
                  <c:v>2.5</c:v>
                </c:pt>
                <c:pt idx="101">
                  <c:v>3.4</c:v>
                </c:pt>
                <c:pt idx="102">
                  <c:v>4.3</c:v>
                </c:pt>
                <c:pt idx="103">
                  <c:v>2.5</c:v>
                </c:pt>
                <c:pt idx="104">
                  <c:v>3.4</c:v>
                </c:pt>
                <c:pt idx="105">
                  <c:v>4.3</c:v>
                </c:pt>
                <c:pt idx="106">
                  <c:v>2.5</c:v>
                </c:pt>
                <c:pt idx="107">
                  <c:v>4</c:v>
                </c:pt>
                <c:pt idx="108">
                  <c:v>5.5</c:v>
                </c:pt>
                <c:pt idx="109">
                  <c:v>7</c:v>
                </c:pt>
                <c:pt idx="110">
                  <c:v>4</c:v>
                </c:pt>
                <c:pt idx="111">
                  <c:v>4</c:v>
                </c:pt>
                <c:pt idx="112">
                  <c:v>5.5</c:v>
                </c:pt>
                <c:pt idx="113">
                  <c:v>7</c:v>
                </c:pt>
                <c:pt idx="114">
                  <c:v>4</c:v>
                </c:pt>
                <c:pt idx="115">
                  <c:v>4</c:v>
                </c:pt>
                <c:pt idx="116">
                  <c:v>5.5</c:v>
                </c:pt>
                <c:pt idx="117">
                  <c:v>7</c:v>
                </c:pt>
                <c:pt idx="118">
                  <c:v>4</c:v>
                </c:pt>
                <c:pt idx="119">
                  <c:v>7</c:v>
                </c:pt>
                <c:pt idx="120">
                  <c:v>5.5</c:v>
                </c:pt>
                <c:pt idx="121">
                  <c:v>7</c:v>
                </c:pt>
                <c:pt idx="122">
                  <c:v>4</c:v>
                </c:pt>
                <c:pt idx="123">
                  <c:v>5.5</c:v>
                </c:pt>
                <c:pt idx="124">
                  <c:v>7</c:v>
                </c:pt>
                <c:pt idx="125">
                  <c:v>4</c:v>
                </c:pt>
                <c:pt idx="126">
                  <c:v>7</c:v>
                </c:pt>
                <c:pt idx="127">
                  <c:v>5.5</c:v>
                </c:pt>
                <c:pt idx="128">
                  <c:v>7</c:v>
                </c:pt>
                <c:pt idx="129">
                  <c:v>4</c:v>
                </c:pt>
                <c:pt idx="130">
                  <c:v>5.5</c:v>
                </c:pt>
                <c:pt idx="131">
                  <c:v>7</c:v>
                </c:pt>
                <c:pt idx="132">
                  <c:v>4</c:v>
                </c:pt>
                <c:pt idx="133">
                  <c:v>7</c:v>
                </c:pt>
                <c:pt idx="134">
                  <c:v>5.5</c:v>
                </c:pt>
                <c:pt idx="135">
                  <c:v>7</c:v>
                </c:pt>
                <c:pt idx="136">
                  <c:v>4</c:v>
                </c:pt>
                <c:pt idx="137">
                  <c:v>7</c:v>
                </c:pt>
                <c:pt idx="138">
                  <c:v>5.5</c:v>
                </c:pt>
                <c:pt idx="139">
                  <c:v>7</c:v>
                </c:pt>
                <c:pt idx="140">
                  <c:v>4</c:v>
                </c:pt>
                <c:pt idx="141">
                  <c:v>7</c:v>
                </c:pt>
                <c:pt idx="142">
                  <c:v>5.5</c:v>
                </c:pt>
                <c:pt idx="143">
                  <c:v>7</c:v>
                </c:pt>
                <c:pt idx="144">
                  <c:v>4</c:v>
                </c:pt>
                <c:pt idx="145">
                  <c:v>7</c:v>
                </c:pt>
                <c:pt idx="146">
                  <c:v>4</c:v>
                </c:pt>
                <c:pt idx="147">
                  <c:v>7</c:v>
                </c:pt>
                <c:pt idx="148">
                  <c:v>5.5</c:v>
                </c:pt>
                <c:pt idx="149">
                  <c:v>7</c:v>
                </c:pt>
                <c:pt idx="150">
                  <c:v>4</c:v>
                </c:pt>
                <c:pt idx="151">
                  <c:v>7</c:v>
                </c:pt>
                <c:pt idx="152">
                  <c:v>5.5</c:v>
                </c:pt>
                <c:pt idx="153">
                  <c:v>7</c:v>
                </c:pt>
                <c:pt idx="154">
                  <c:v>4</c:v>
                </c:pt>
                <c:pt idx="155">
                  <c:v>7</c:v>
                </c:pt>
                <c:pt idx="156">
                  <c:v>4</c:v>
                </c:pt>
              </c:numCache>
            </c:numRef>
          </c:xVal>
          <c:yVal>
            <c:numRef>
              <c:f>Displacement!$F$2:$F$158</c:f>
              <c:numCache>
                <c:formatCode>General</c:formatCode>
                <c:ptCount val="157"/>
                <c:pt idx="0">
                  <c:v>1.3980389961099977</c:v>
                </c:pt>
                <c:pt idx="1">
                  <c:v>1.8027452026294966</c:v>
                </c:pt>
                <c:pt idx="2">
                  <c:v>1.3959662442454714</c:v>
                </c:pt>
                <c:pt idx="3">
                  <c:v>1.8002114757213712</c:v>
                </c:pt>
                <c:pt idx="4">
                  <c:v>1.3972207584221064</c:v>
                </c:pt>
                <c:pt idx="5">
                  <c:v>1.801005014854407</c:v>
                </c:pt>
                <c:pt idx="6">
                  <c:v>1.4112568782015396</c:v>
                </c:pt>
                <c:pt idx="7">
                  <c:v>1.8115063578259152</c:v>
                </c:pt>
                <c:pt idx="8">
                  <c:v>1.4102581329697002</c:v>
                </c:pt>
                <c:pt idx="9">
                  <c:v>1.8099807839728195</c:v>
                </c:pt>
                <c:pt idx="10">
                  <c:v>1.812801026989812</c:v>
                </c:pt>
                <c:pt idx="11">
                  <c:v>1.4130950284961139</c:v>
                </c:pt>
                <c:pt idx="12">
                  <c:v>1.8088877812253656</c:v>
                </c:pt>
                <c:pt idx="13">
                  <c:v>1.4127624246063069</c:v>
                </c:pt>
                <c:pt idx="14">
                  <c:v>1.8081600558696165</c:v>
                </c:pt>
                <c:pt idx="15">
                  <c:v>1.809876852503292</c:v>
                </c:pt>
                <c:pt idx="16">
                  <c:v>2.2041225807184315</c:v>
                </c:pt>
                <c:pt idx="17">
                  <c:v>2.7348910793876402</c:v>
                </c:pt>
                <c:pt idx="18">
                  <c:v>2.2013472110902184</c:v>
                </c:pt>
                <c:pt idx="19">
                  <c:v>2.7317864418711415</c:v>
                </c:pt>
                <c:pt idx="20">
                  <c:v>2.199658295679527</c:v>
                </c:pt>
                <c:pt idx="21">
                  <c:v>2.729768258572165</c:v>
                </c:pt>
                <c:pt idx="22">
                  <c:v>2.766943562976989</c:v>
                </c:pt>
                <c:pt idx="23">
                  <c:v>1.5994338330145919</c:v>
                </c:pt>
                <c:pt idx="24">
                  <c:v>2.2151175399902399</c:v>
                </c:pt>
                <c:pt idx="25">
                  <c:v>2.7413634581866675</c:v>
                </c:pt>
                <c:pt idx="26">
                  <c:v>2.2359959648854315</c:v>
                </c:pt>
                <c:pt idx="27">
                  <c:v>2.7667523306110695</c:v>
                </c:pt>
                <c:pt idx="28">
                  <c:v>1.5971305936282658</c:v>
                </c:pt>
                <c:pt idx="29">
                  <c:v>2.2121228380385149</c:v>
                </c:pt>
                <c:pt idx="30">
                  <c:v>2.7377925374304435</c:v>
                </c:pt>
                <c:pt idx="31">
                  <c:v>2.2394777298433732</c:v>
                </c:pt>
                <c:pt idx="32">
                  <c:v>2.7698883642863117</c:v>
                </c:pt>
                <c:pt idx="33">
                  <c:v>1.5981546202831012</c:v>
                </c:pt>
                <c:pt idx="34">
                  <c:v>2.2124554021279512</c:v>
                </c:pt>
                <c:pt idx="35">
                  <c:v>2.7375488827153811</c:v>
                </c:pt>
                <c:pt idx="36">
                  <c:v>2.7788841402691444</c:v>
                </c:pt>
                <c:pt idx="37">
                  <c:v>1.610423351658572</c:v>
                </c:pt>
                <c:pt idx="38">
                  <c:v>2.2194219682915346</c:v>
                </c:pt>
                <c:pt idx="39">
                  <c:v>2.740096977869058</c:v>
                </c:pt>
                <c:pt idx="40">
                  <c:v>2.2526712726646605</c:v>
                </c:pt>
                <c:pt idx="41">
                  <c:v>2.780035703035713</c:v>
                </c:pt>
                <c:pt idx="42">
                  <c:v>1.6091611921161044</c:v>
                </c:pt>
                <c:pt idx="43">
                  <c:v>2.2173695658171826</c:v>
                </c:pt>
                <c:pt idx="44">
                  <c:v>2.7373860396181358</c:v>
                </c:pt>
                <c:pt idx="45">
                  <c:v>2.2196629802129189</c:v>
                </c:pt>
                <c:pt idx="46">
                  <c:v>2.7390209182373013</c:v>
                </c:pt>
                <c:pt idx="47">
                  <c:v>2.7794449857643322</c:v>
                </c:pt>
                <c:pt idx="48">
                  <c:v>1.6100331385055844</c:v>
                </c:pt>
                <c:pt idx="49">
                  <c:v>2.2123466647958616</c:v>
                </c:pt>
                <c:pt idx="50">
                  <c:v>2.7274507657544809</c:v>
                </c:pt>
                <c:pt idx="51">
                  <c:v>2.7807251128733315</c:v>
                </c:pt>
                <c:pt idx="52">
                  <c:v>1.6095029738828064</c:v>
                </c:pt>
                <c:pt idx="53">
                  <c:v>2.2112238179741706</c:v>
                </c:pt>
                <c:pt idx="54">
                  <c:v>2.7258340171003614</c:v>
                </c:pt>
                <c:pt idx="55">
                  <c:v>2.2125454931419037</c:v>
                </c:pt>
                <c:pt idx="56">
                  <c:v>2.7266617904356671</c:v>
                </c:pt>
                <c:pt idx="57">
                  <c:v>4.376839415453615</c:v>
                </c:pt>
                <c:pt idx="58">
                  <c:v>2.5211462803872235</c:v>
                </c:pt>
                <c:pt idx="59">
                  <c:v>3.3876246726507566</c:v>
                </c:pt>
                <c:pt idx="60">
                  <c:v>4.2847675882792648</c:v>
                </c:pt>
                <c:pt idx="61">
                  <c:v>4.375073346246948</c:v>
                </c:pt>
                <c:pt idx="62">
                  <c:v>2.5181733500260393</c:v>
                </c:pt>
                <c:pt idx="63">
                  <c:v>3.3841249136683156</c:v>
                </c:pt>
                <c:pt idx="64">
                  <c:v>4.280741000675568</c:v>
                </c:pt>
                <c:pt idx="65">
                  <c:v>4.3743937312578041</c:v>
                </c:pt>
                <c:pt idx="66">
                  <c:v>2.5162868738823763</c:v>
                </c:pt>
                <c:pt idx="67">
                  <c:v>3.3817116089033967</c:v>
                </c:pt>
                <c:pt idx="68">
                  <c:v>4.2778008672893932</c:v>
                </c:pt>
                <c:pt idx="69">
                  <c:v>2.500853489648045</c:v>
                </c:pt>
                <c:pt idx="70">
                  <c:v>3.3023578585835254</c:v>
                </c:pt>
                <c:pt idx="71">
                  <c:v>4.3861230455911979</c:v>
                </c:pt>
                <c:pt idx="72">
                  <c:v>2.5294276913753633</c:v>
                </c:pt>
                <c:pt idx="73">
                  <c:v>3.3886699548824475</c:v>
                </c:pt>
                <c:pt idx="74">
                  <c:v>4.2785767417545069</c:v>
                </c:pt>
                <c:pt idx="75">
                  <c:v>2.5008351229234758</c:v>
                </c:pt>
                <c:pt idx="76">
                  <c:v>3.3018208949349068</c:v>
                </c:pt>
                <c:pt idx="77">
                  <c:v>4.3848946193771807</c:v>
                </c:pt>
                <c:pt idx="78">
                  <c:v>2.5260872581409393</c:v>
                </c:pt>
                <c:pt idx="79">
                  <c:v>3.3844075715608244</c:v>
                </c:pt>
                <c:pt idx="80">
                  <c:v>4.2733924083456856</c:v>
                </c:pt>
                <c:pt idx="81">
                  <c:v>2.5041440222400673</c:v>
                </c:pt>
                <c:pt idx="82">
                  <c:v>3.3046111973274495</c:v>
                </c:pt>
                <c:pt idx="83">
                  <c:v>4.3869934592043247</c:v>
                </c:pt>
                <c:pt idx="84">
                  <c:v>2.5260740909476755</c:v>
                </c:pt>
                <c:pt idx="85">
                  <c:v>2.5144653395258718</c:v>
                </c:pt>
                <c:pt idx="86">
                  <c:v>3.3109558907043382</c:v>
                </c:pt>
                <c:pt idx="87">
                  <c:v>4.3880359873693262</c:v>
                </c:pt>
                <c:pt idx="88">
                  <c:v>2.5303895745053158</c:v>
                </c:pt>
                <c:pt idx="89">
                  <c:v>2.5158144630254116</c:v>
                </c:pt>
                <c:pt idx="90">
                  <c:v>3.3117123320049648</c:v>
                </c:pt>
                <c:pt idx="91">
                  <c:v>4.3880021857380678</c:v>
                </c:pt>
                <c:pt idx="92">
                  <c:v>2.527942050565021</c:v>
                </c:pt>
                <c:pt idx="93">
                  <c:v>3.3168145901756794</c:v>
                </c:pt>
                <c:pt idx="94">
                  <c:v>4.3923142009768981</c:v>
                </c:pt>
                <c:pt idx="95">
                  <c:v>2.5298403434948149</c:v>
                </c:pt>
                <c:pt idx="96">
                  <c:v>2.5166974576067309</c:v>
                </c:pt>
                <c:pt idx="97">
                  <c:v>3.3081741910281837</c:v>
                </c:pt>
                <c:pt idx="98">
                  <c:v>4.3785691973504859</c:v>
                </c:pt>
                <c:pt idx="99">
                  <c:v>2.5199717258382996</c:v>
                </c:pt>
                <c:pt idx="100">
                  <c:v>2.5181257552654586</c:v>
                </c:pt>
                <c:pt idx="101">
                  <c:v>3.3091579770377262</c:v>
                </c:pt>
                <c:pt idx="102">
                  <c:v>4.3789603011611149</c:v>
                </c:pt>
                <c:pt idx="103">
                  <c:v>2.5185525379171523</c:v>
                </c:pt>
                <c:pt idx="104">
                  <c:v>3.3125862850366929</c:v>
                </c:pt>
                <c:pt idx="105">
                  <c:v>4.3817959269611686</c:v>
                </c:pt>
                <c:pt idx="106">
                  <c:v>2.5195778719854287</c:v>
                </c:pt>
                <c:pt idx="107">
                  <c:v>4.0118587882183006</c:v>
                </c:pt>
                <c:pt idx="108">
                  <c:v>5.4832804934214243</c:v>
                </c:pt>
                <c:pt idx="109">
                  <c:v>6.9853667219895215</c:v>
                </c:pt>
                <c:pt idx="110">
                  <c:v>4.0576070603066716</c:v>
                </c:pt>
                <c:pt idx="111">
                  <c:v>4.010224426166948</c:v>
                </c:pt>
                <c:pt idx="112">
                  <c:v>5.481119302748815</c:v>
                </c:pt>
                <c:pt idx="113">
                  <c:v>6.9826787026956572</c:v>
                </c:pt>
                <c:pt idx="114">
                  <c:v>4.0537121798582882</c:v>
                </c:pt>
                <c:pt idx="115">
                  <c:v>4.0096765183331176</c:v>
                </c:pt>
                <c:pt idx="116">
                  <c:v>5.4800445662937287</c:v>
                </c:pt>
                <c:pt idx="117">
                  <c:v>6.9810771376193141</c:v>
                </c:pt>
                <c:pt idx="118">
                  <c:v>4.0509037536274271</c:v>
                </c:pt>
                <c:pt idx="119">
                  <c:v>7.0077848136928571</c:v>
                </c:pt>
                <c:pt idx="120">
                  <c:v>5.5005684789272973</c:v>
                </c:pt>
                <c:pt idx="121">
                  <c:v>6.945808164431889</c:v>
                </c:pt>
                <c:pt idx="122">
                  <c:v>4.0229514505449959</c:v>
                </c:pt>
                <c:pt idx="123">
                  <c:v>5.4871370269916708</c:v>
                </c:pt>
                <c:pt idx="124">
                  <c:v>6.98198712680332</c:v>
                </c:pt>
                <c:pt idx="125">
                  <c:v>4.0532252459710252</c:v>
                </c:pt>
                <c:pt idx="126">
                  <c:v>7.014528967234944</c:v>
                </c:pt>
                <c:pt idx="127">
                  <c:v>5.5054134106105961</c:v>
                </c:pt>
                <c:pt idx="128">
                  <c:v>6.9501921210715896</c:v>
                </c:pt>
                <c:pt idx="129">
                  <c:v>4.0219535118527787</c:v>
                </c:pt>
                <c:pt idx="130">
                  <c:v>5.4852171382122545</c:v>
                </c:pt>
                <c:pt idx="131">
                  <c:v>6.9791452879367046</c:v>
                </c:pt>
                <c:pt idx="132">
                  <c:v>4.0482714000840039</c:v>
                </c:pt>
                <c:pt idx="133">
                  <c:v>7.0246003868181921</c:v>
                </c:pt>
                <c:pt idx="134">
                  <c:v>5.513585608335057</c:v>
                </c:pt>
                <c:pt idx="135">
                  <c:v>6.9579033437524505</c:v>
                </c:pt>
                <c:pt idx="136">
                  <c:v>4.0242828392017218</c:v>
                </c:pt>
                <c:pt idx="137">
                  <c:v>7.0217861808673403</c:v>
                </c:pt>
                <c:pt idx="138">
                  <c:v>5.5147768930809589</c:v>
                </c:pt>
                <c:pt idx="139">
                  <c:v>6.9555598516904276</c:v>
                </c:pt>
                <c:pt idx="140">
                  <c:v>4.0270927557706857</c:v>
                </c:pt>
                <c:pt idx="141">
                  <c:v>7.0308638989573451</c:v>
                </c:pt>
                <c:pt idx="142">
                  <c:v>5.5216840719037776</c:v>
                </c:pt>
                <c:pt idx="143">
                  <c:v>6.9619402018919896</c:v>
                </c:pt>
                <c:pt idx="144">
                  <c:v>4.0273223684500561</c:v>
                </c:pt>
                <c:pt idx="145">
                  <c:v>6.9726663689636403</c:v>
                </c:pt>
                <c:pt idx="146">
                  <c:v>4.0318977979995143</c:v>
                </c:pt>
                <c:pt idx="147">
                  <c:v>7.0244078162448567</c:v>
                </c:pt>
                <c:pt idx="148">
                  <c:v>5.5176055754376536</c:v>
                </c:pt>
                <c:pt idx="149">
                  <c:v>6.9539318071519984</c:v>
                </c:pt>
                <c:pt idx="150">
                  <c:v>4.0198543291994069</c:v>
                </c:pt>
                <c:pt idx="151">
                  <c:v>7.0316325598464324</c:v>
                </c:pt>
                <c:pt idx="152">
                  <c:v>5.5232024145888401</c:v>
                </c:pt>
                <c:pt idx="153">
                  <c:v>6.9591335248372426</c:v>
                </c:pt>
                <c:pt idx="154">
                  <c:v>4.0204429937430071</c:v>
                </c:pt>
                <c:pt idx="155">
                  <c:v>6.9667797645119114</c:v>
                </c:pt>
                <c:pt idx="156">
                  <c:v>4.0234761802760319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A8-48D2-80F7-7B1A754FF8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6066864"/>
        <c:axId val="1836069776"/>
      </c:scatterChart>
      <c:valAx>
        <c:axId val="1836066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Displacement - ALPHA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6069776"/>
        <c:crosses val="autoZero"/>
        <c:crossBetween val="midCat"/>
      </c:valAx>
      <c:valAx>
        <c:axId val="183606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Displacement - RSE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6066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Displacement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Displacement!$F$1</c:f>
              <c:strCache>
                <c:ptCount val="1"/>
                <c:pt idx="0">
                  <c:v>Displacement-RSE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Displacement!$E$2:$E$158</c:f>
              <c:numCache>
                <c:formatCode>General</c:formatCode>
                <c:ptCount val="157"/>
                <c:pt idx="0">
                  <c:v>1.4</c:v>
                </c:pt>
                <c:pt idx="1">
                  <c:v>1.8</c:v>
                </c:pt>
                <c:pt idx="2">
                  <c:v>1.4</c:v>
                </c:pt>
                <c:pt idx="3">
                  <c:v>1.8</c:v>
                </c:pt>
                <c:pt idx="4">
                  <c:v>1.4</c:v>
                </c:pt>
                <c:pt idx="5">
                  <c:v>1.8</c:v>
                </c:pt>
                <c:pt idx="6">
                  <c:v>1.4</c:v>
                </c:pt>
                <c:pt idx="7">
                  <c:v>1.8</c:v>
                </c:pt>
                <c:pt idx="8">
                  <c:v>1.4</c:v>
                </c:pt>
                <c:pt idx="9">
                  <c:v>1.8</c:v>
                </c:pt>
                <c:pt idx="10">
                  <c:v>1.8</c:v>
                </c:pt>
                <c:pt idx="11">
                  <c:v>1.4</c:v>
                </c:pt>
                <c:pt idx="12">
                  <c:v>1.8</c:v>
                </c:pt>
                <c:pt idx="13">
                  <c:v>1.4</c:v>
                </c:pt>
                <c:pt idx="14">
                  <c:v>1.8</c:v>
                </c:pt>
                <c:pt idx="15">
                  <c:v>1.8</c:v>
                </c:pt>
                <c:pt idx="16">
                  <c:v>2.2000000000000002</c:v>
                </c:pt>
                <c:pt idx="17">
                  <c:v>2.8</c:v>
                </c:pt>
                <c:pt idx="18">
                  <c:v>2.2000000000000002</c:v>
                </c:pt>
                <c:pt idx="19">
                  <c:v>2.8</c:v>
                </c:pt>
                <c:pt idx="20">
                  <c:v>2.2000000000000002</c:v>
                </c:pt>
                <c:pt idx="21">
                  <c:v>2.8</c:v>
                </c:pt>
                <c:pt idx="22">
                  <c:v>2.8</c:v>
                </c:pt>
                <c:pt idx="23">
                  <c:v>1.6</c:v>
                </c:pt>
                <c:pt idx="24">
                  <c:v>2.2000000000000002</c:v>
                </c:pt>
                <c:pt idx="25">
                  <c:v>2.8</c:v>
                </c:pt>
                <c:pt idx="26">
                  <c:v>2.2000000000000002</c:v>
                </c:pt>
                <c:pt idx="27">
                  <c:v>2.8</c:v>
                </c:pt>
                <c:pt idx="28">
                  <c:v>1.6</c:v>
                </c:pt>
                <c:pt idx="29">
                  <c:v>2.2000000000000002</c:v>
                </c:pt>
                <c:pt idx="30">
                  <c:v>2.8</c:v>
                </c:pt>
                <c:pt idx="31">
                  <c:v>2.2000000000000002</c:v>
                </c:pt>
                <c:pt idx="32">
                  <c:v>2.8</c:v>
                </c:pt>
                <c:pt idx="33">
                  <c:v>1.6</c:v>
                </c:pt>
                <c:pt idx="34">
                  <c:v>2.2000000000000002</c:v>
                </c:pt>
                <c:pt idx="35">
                  <c:v>2.8</c:v>
                </c:pt>
                <c:pt idx="36">
                  <c:v>2.8</c:v>
                </c:pt>
                <c:pt idx="37">
                  <c:v>1.6</c:v>
                </c:pt>
                <c:pt idx="38">
                  <c:v>2.2000000000000002</c:v>
                </c:pt>
                <c:pt idx="39">
                  <c:v>2.8</c:v>
                </c:pt>
                <c:pt idx="40">
                  <c:v>2.2000000000000002</c:v>
                </c:pt>
                <c:pt idx="41">
                  <c:v>2.8</c:v>
                </c:pt>
                <c:pt idx="42">
                  <c:v>1.6</c:v>
                </c:pt>
                <c:pt idx="43">
                  <c:v>2.2000000000000002</c:v>
                </c:pt>
                <c:pt idx="44">
                  <c:v>2.8</c:v>
                </c:pt>
                <c:pt idx="45">
                  <c:v>2.2000000000000002</c:v>
                </c:pt>
                <c:pt idx="46">
                  <c:v>2.8</c:v>
                </c:pt>
                <c:pt idx="47">
                  <c:v>2.8</c:v>
                </c:pt>
                <c:pt idx="48">
                  <c:v>1.6</c:v>
                </c:pt>
                <c:pt idx="49">
                  <c:v>2.2000000000000002</c:v>
                </c:pt>
                <c:pt idx="50">
                  <c:v>2.8</c:v>
                </c:pt>
                <c:pt idx="51">
                  <c:v>2.8</c:v>
                </c:pt>
                <c:pt idx="52">
                  <c:v>1.6</c:v>
                </c:pt>
                <c:pt idx="53">
                  <c:v>2.2000000000000002</c:v>
                </c:pt>
                <c:pt idx="54">
                  <c:v>2.8</c:v>
                </c:pt>
                <c:pt idx="55">
                  <c:v>2.2000000000000002</c:v>
                </c:pt>
                <c:pt idx="56">
                  <c:v>2.8</c:v>
                </c:pt>
                <c:pt idx="57">
                  <c:v>4.3</c:v>
                </c:pt>
                <c:pt idx="58">
                  <c:v>2.5</c:v>
                </c:pt>
                <c:pt idx="59">
                  <c:v>3.4</c:v>
                </c:pt>
                <c:pt idx="60">
                  <c:v>4.3</c:v>
                </c:pt>
                <c:pt idx="61">
                  <c:v>4.3</c:v>
                </c:pt>
                <c:pt idx="62">
                  <c:v>2.5</c:v>
                </c:pt>
                <c:pt idx="63">
                  <c:v>3.4</c:v>
                </c:pt>
                <c:pt idx="64">
                  <c:v>4.3</c:v>
                </c:pt>
                <c:pt idx="65">
                  <c:v>4.3</c:v>
                </c:pt>
                <c:pt idx="66">
                  <c:v>2.5</c:v>
                </c:pt>
                <c:pt idx="67">
                  <c:v>3.4</c:v>
                </c:pt>
                <c:pt idx="68">
                  <c:v>4.3</c:v>
                </c:pt>
                <c:pt idx="69">
                  <c:v>2.5</c:v>
                </c:pt>
                <c:pt idx="70">
                  <c:v>3.4</c:v>
                </c:pt>
                <c:pt idx="71">
                  <c:v>4.3</c:v>
                </c:pt>
                <c:pt idx="72">
                  <c:v>2.5</c:v>
                </c:pt>
                <c:pt idx="73">
                  <c:v>3.4</c:v>
                </c:pt>
                <c:pt idx="74">
                  <c:v>4.3</c:v>
                </c:pt>
                <c:pt idx="75">
                  <c:v>2.5</c:v>
                </c:pt>
                <c:pt idx="76">
                  <c:v>3.4</c:v>
                </c:pt>
                <c:pt idx="77">
                  <c:v>4.3</c:v>
                </c:pt>
                <c:pt idx="78">
                  <c:v>2.5</c:v>
                </c:pt>
                <c:pt idx="79">
                  <c:v>3.4</c:v>
                </c:pt>
                <c:pt idx="80">
                  <c:v>4.3</c:v>
                </c:pt>
                <c:pt idx="81">
                  <c:v>2.5</c:v>
                </c:pt>
                <c:pt idx="82">
                  <c:v>3.4</c:v>
                </c:pt>
                <c:pt idx="83">
                  <c:v>4.3</c:v>
                </c:pt>
                <c:pt idx="84">
                  <c:v>2.5</c:v>
                </c:pt>
                <c:pt idx="85">
                  <c:v>2.5</c:v>
                </c:pt>
                <c:pt idx="86">
                  <c:v>3.4</c:v>
                </c:pt>
                <c:pt idx="87">
                  <c:v>4.3</c:v>
                </c:pt>
                <c:pt idx="88">
                  <c:v>2.5</c:v>
                </c:pt>
                <c:pt idx="89">
                  <c:v>2.5</c:v>
                </c:pt>
                <c:pt idx="90">
                  <c:v>3.4</c:v>
                </c:pt>
                <c:pt idx="91">
                  <c:v>4.3</c:v>
                </c:pt>
                <c:pt idx="92">
                  <c:v>2.5</c:v>
                </c:pt>
                <c:pt idx="93">
                  <c:v>3.4</c:v>
                </c:pt>
                <c:pt idx="94">
                  <c:v>4.3</c:v>
                </c:pt>
                <c:pt idx="95">
                  <c:v>2.5</c:v>
                </c:pt>
                <c:pt idx="96">
                  <c:v>2.5</c:v>
                </c:pt>
                <c:pt idx="97">
                  <c:v>3.4</c:v>
                </c:pt>
                <c:pt idx="98">
                  <c:v>4.3</c:v>
                </c:pt>
                <c:pt idx="99">
                  <c:v>2.5</c:v>
                </c:pt>
                <c:pt idx="100">
                  <c:v>2.5</c:v>
                </c:pt>
                <c:pt idx="101">
                  <c:v>3.4</c:v>
                </c:pt>
                <c:pt idx="102">
                  <c:v>4.3</c:v>
                </c:pt>
                <c:pt idx="103">
                  <c:v>2.5</c:v>
                </c:pt>
                <c:pt idx="104">
                  <c:v>3.4</c:v>
                </c:pt>
                <c:pt idx="105">
                  <c:v>4.3</c:v>
                </c:pt>
                <c:pt idx="106">
                  <c:v>2.5</c:v>
                </c:pt>
                <c:pt idx="107">
                  <c:v>4</c:v>
                </c:pt>
                <c:pt idx="108">
                  <c:v>5.5</c:v>
                </c:pt>
                <c:pt idx="109">
                  <c:v>7</c:v>
                </c:pt>
                <c:pt idx="110">
                  <c:v>4</c:v>
                </c:pt>
                <c:pt idx="111">
                  <c:v>4</c:v>
                </c:pt>
                <c:pt idx="112">
                  <c:v>5.5</c:v>
                </c:pt>
                <c:pt idx="113">
                  <c:v>7</c:v>
                </c:pt>
                <c:pt idx="114">
                  <c:v>4</c:v>
                </c:pt>
                <c:pt idx="115">
                  <c:v>4</c:v>
                </c:pt>
                <c:pt idx="116">
                  <c:v>5.5</c:v>
                </c:pt>
                <c:pt idx="117">
                  <c:v>7</c:v>
                </c:pt>
                <c:pt idx="118">
                  <c:v>4</c:v>
                </c:pt>
                <c:pt idx="119">
                  <c:v>7</c:v>
                </c:pt>
                <c:pt idx="120">
                  <c:v>5.5</c:v>
                </c:pt>
                <c:pt idx="121">
                  <c:v>7</c:v>
                </c:pt>
                <c:pt idx="122">
                  <c:v>4</c:v>
                </c:pt>
                <c:pt idx="123">
                  <c:v>5.5</c:v>
                </c:pt>
                <c:pt idx="124">
                  <c:v>7</c:v>
                </c:pt>
                <c:pt idx="125">
                  <c:v>4</c:v>
                </c:pt>
                <c:pt idx="126">
                  <c:v>7</c:v>
                </c:pt>
                <c:pt idx="127">
                  <c:v>5.5</c:v>
                </c:pt>
                <c:pt idx="128">
                  <c:v>7</c:v>
                </c:pt>
                <c:pt idx="129">
                  <c:v>4</c:v>
                </c:pt>
                <c:pt idx="130">
                  <c:v>5.5</c:v>
                </c:pt>
                <c:pt idx="131">
                  <c:v>7</c:v>
                </c:pt>
                <c:pt idx="132">
                  <c:v>4</c:v>
                </c:pt>
                <c:pt idx="133">
                  <c:v>7</c:v>
                </c:pt>
                <c:pt idx="134">
                  <c:v>5.5</c:v>
                </c:pt>
                <c:pt idx="135">
                  <c:v>7</c:v>
                </c:pt>
                <c:pt idx="136">
                  <c:v>4</c:v>
                </c:pt>
                <c:pt idx="137">
                  <c:v>7</c:v>
                </c:pt>
                <c:pt idx="138">
                  <c:v>5.5</c:v>
                </c:pt>
                <c:pt idx="139">
                  <c:v>7</c:v>
                </c:pt>
                <c:pt idx="140">
                  <c:v>4</c:v>
                </c:pt>
                <c:pt idx="141">
                  <c:v>7</c:v>
                </c:pt>
                <c:pt idx="142">
                  <c:v>5.5</c:v>
                </c:pt>
                <c:pt idx="143">
                  <c:v>7</c:v>
                </c:pt>
                <c:pt idx="144">
                  <c:v>4</c:v>
                </c:pt>
                <c:pt idx="145">
                  <c:v>7</c:v>
                </c:pt>
                <c:pt idx="146">
                  <c:v>4</c:v>
                </c:pt>
                <c:pt idx="147">
                  <c:v>7</c:v>
                </c:pt>
                <c:pt idx="148">
                  <c:v>5.5</c:v>
                </c:pt>
                <c:pt idx="149">
                  <c:v>7</c:v>
                </c:pt>
                <c:pt idx="150">
                  <c:v>4</c:v>
                </c:pt>
                <c:pt idx="151">
                  <c:v>7</c:v>
                </c:pt>
                <c:pt idx="152">
                  <c:v>5.5</c:v>
                </c:pt>
                <c:pt idx="153">
                  <c:v>7</c:v>
                </c:pt>
                <c:pt idx="154">
                  <c:v>4</c:v>
                </c:pt>
                <c:pt idx="155">
                  <c:v>7</c:v>
                </c:pt>
                <c:pt idx="156">
                  <c:v>4</c:v>
                </c:pt>
              </c:numCache>
            </c:numRef>
          </c:xVal>
          <c:yVal>
            <c:numRef>
              <c:f>Displacement!$F$2:$F$158</c:f>
              <c:numCache>
                <c:formatCode>General</c:formatCode>
                <c:ptCount val="157"/>
                <c:pt idx="0">
                  <c:v>1.3980389961099977</c:v>
                </c:pt>
                <c:pt idx="1">
                  <c:v>1.8027452026294966</c:v>
                </c:pt>
                <c:pt idx="2">
                  <c:v>1.3959662442454714</c:v>
                </c:pt>
                <c:pt idx="3">
                  <c:v>1.8002114757213712</c:v>
                </c:pt>
                <c:pt idx="4">
                  <c:v>1.3972207584221064</c:v>
                </c:pt>
                <c:pt idx="5">
                  <c:v>1.801005014854407</c:v>
                </c:pt>
                <c:pt idx="6">
                  <c:v>1.4112568782015396</c:v>
                </c:pt>
                <c:pt idx="7">
                  <c:v>1.8115063578259152</c:v>
                </c:pt>
                <c:pt idx="8">
                  <c:v>1.4102581329697002</c:v>
                </c:pt>
                <c:pt idx="9">
                  <c:v>1.8099807839728195</c:v>
                </c:pt>
                <c:pt idx="10">
                  <c:v>1.812801026989812</c:v>
                </c:pt>
                <c:pt idx="11">
                  <c:v>1.4130950284961139</c:v>
                </c:pt>
                <c:pt idx="12">
                  <c:v>1.8088877812253656</c:v>
                </c:pt>
                <c:pt idx="13">
                  <c:v>1.4127624246063069</c:v>
                </c:pt>
                <c:pt idx="14">
                  <c:v>1.8081600558696165</c:v>
                </c:pt>
                <c:pt idx="15">
                  <c:v>1.809876852503292</c:v>
                </c:pt>
                <c:pt idx="16">
                  <c:v>2.2041225807184315</c:v>
                </c:pt>
                <c:pt idx="17">
                  <c:v>2.7348910793876402</c:v>
                </c:pt>
                <c:pt idx="18">
                  <c:v>2.2013472110902184</c:v>
                </c:pt>
                <c:pt idx="19">
                  <c:v>2.7317864418711415</c:v>
                </c:pt>
                <c:pt idx="20">
                  <c:v>2.199658295679527</c:v>
                </c:pt>
                <c:pt idx="21">
                  <c:v>2.729768258572165</c:v>
                </c:pt>
                <c:pt idx="22">
                  <c:v>2.766943562976989</c:v>
                </c:pt>
                <c:pt idx="23">
                  <c:v>1.5994338330145919</c:v>
                </c:pt>
                <c:pt idx="24">
                  <c:v>2.2151175399902399</c:v>
                </c:pt>
                <c:pt idx="25">
                  <c:v>2.7413634581866675</c:v>
                </c:pt>
                <c:pt idx="26">
                  <c:v>2.2359959648854315</c:v>
                </c:pt>
                <c:pt idx="27">
                  <c:v>2.7667523306110695</c:v>
                </c:pt>
                <c:pt idx="28">
                  <c:v>1.5971305936282658</c:v>
                </c:pt>
                <c:pt idx="29">
                  <c:v>2.2121228380385149</c:v>
                </c:pt>
                <c:pt idx="30">
                  <c:v>2.7377925374304435</c:v>
                </c:pt>
                <c:pt idx="31">
                  <c:v>2.2394777298433732</c:v>
                </c:pt>
                <c:pt idx="32">
                  <c:v>2.7698883642863117</c:v>
                </c:pt>
                <c:pt idx="33">
                  <c:v>1.5981546202831012</c:v>
                </c:pt>
                <c:pt idx="34">
                  <c:v>2.2124554021279512</c:v>
                </c:pt>
                <c:pt idx="35">
                  <c:v>2.7375488827153811</c:v>
                </c:pt>
                <c:pt idx="36">
                  <c:v>2.7788841402691444</c:v>
                </c:pt>
                <c:pt idx="37">
                  <c:v>1.610423351658572</c:v>
                </c:pt>
                <c:pt idx="38">
                  <c:v>2.2194219682915346</c:v>
                </c:pt>
                <c:pt idx="39">
                  <c:v>2.740096977869058</c:v>
                </c:pt>
                <c:pt idx="40">
                  <c:v>2.2526712726646605</c:v>
                </c:pt>
                <c:pt idx="41">
                  <c:v>2.780035703035713</c:v>
                </c:pt>
                <c:pt idx="42">
                  <c:v>1.6091611921161044</c:v>
                </c:pt>
                <c:pt idx="43">
                  <c:v>2.2173695658171826</c:v>
                </c:pt>
                <c:pt idx="44">
                  <c:v>2.7373860396181358</c:v>
                </c:pt>
                <c:pt idx="45">
                  <c:v>2.2196629802129189</c:v>
                </c:pt>
                <c:pt idx="46">
                  <c:v>2.7390209182373013</c:v>
                </c:pt>
                <c:pt idx="47">
                  <c:v>2.7794449857643322</c:v>
                </c:pt>
                <c:pt idx="48">
                  <c:v>1.6100331385055844</c:v>
                </c:pt>
                <c:pt idx="49">
                  <c:v>2.2123466647958616</c:v>
                </c:pt>
                <c:pt idx="50">
                  <c:v>2.7274507657544809</c:v>
                </c:pt>
                <c:pt idx="51">
                  <c:v>2.7807251128733315</c:v>
                </c:pt>
                <c:pt idx="52">
                  <c:v>1.6095029738828064</c:v>
                </c:pt>
                <c:pt idx="53">
                  <c:v>2.2112238179741706</c:v>
                </c:pt>
                <c:pt idx="54">
                  <c:v>2.7258340171003614</c:v>
                </c:pt>
                <c:pt idx="55">
                  <c:v>2.2125454931419037</c:v>
                </c:pt>
                <c:pt idx="56">
                  <c:v>2.7266617904356671</c:v>
                </c:pt>
                <c:pt idx="57">
                  <c:v>4.376839415453615</c:v>
                </c:pt>
                <c:pt idx="58">
                  <c:v>2.5211462803872235</c:v>
                </c:pt>
                <c:pt idx="59">
                  <c:v>3.3876246726507566</c:v>
                </c:pt>
                <c:pt idx="60">
                  <c:v>4.2847675882792648</c:v>
                </c:pt>
                <c:pt idx="61">
                  <c:v>4.375073346246948</c:v>
                </c:pt>
                <c:pt idx="62">
                  <c:v>2.5181733500260393</c:v>
                </c:pt>
                <c:pt idx="63">
                  <c:v>3.3841249136683156</c:v>
                </c:pt>
                <c:pt idx="64">
                  <c:v>4.280741000675568</c:v>
                </c:pt>
                <c:pt idx="65">
                  <c:v>4.3743937312578041</c:v>
                </c:pt>
                <c:pt idx="66">
                  <c:v>2.5162868738823763</c:v>
                </c:pt>
                <c:pt idx="67">
                  <c:v>3.3817116089033967</c:v>
                </c:pt>
                <c:pt idx="68">
                  <c:v>4.2778008672893932</c:v>
                </c:pt>
                <c:pt idx="69">
                  <c:v>2.500853489648045</c:v>
                </c:pt>
                <c:pt idx="70">
                  <c:v>3.3023578585835254</c:v>
                </c:pt>
                <c:pt idx="71">
                  <c:v>4.3861230455911979</c:v>
                </c:pt>
                <c:pt idx="72">
                  <c:v>2.5294276913753633</c:v>
                </c:pt>
                <c:pt idx="73">
                  <c:v>3.3886699548824475</c:v>
                </c:pt>
                <c:pt idx="74">
                  <c:v>4.2785767417545069</c:v>
                </c:pt>
                <c:pt idx="75">
                  <c:v>2.5008351229234758</c:v>
                </c:pt>
                <c:pt idx="76">
                  <c:v>3.3018208949349068</c:v>
                </c:pt>
                <c:pt idx="77">
                  <c:v>4.3848946193771807</c:v>
                </c:pt>
                <c:pt idx="78">
                  <c:v>2.5260872581409393</c:v>
                </c:pt>
                <c:pt idx="79">
                  <c:v>3.3844075715608244</c:v>
                </c:pt>
                <c:pt idx="80">
                  <c:v>4.2733924083456856</c:v>
                </c:pt>
                <c:pt idx="81">
                  <c:v>2.5041440222400673</c:v>
                </c:pt>
                <c:pt idx="82">
                  <c:v>3.3046111973274495</c:v>
                </c:pt>
                <c:pt idx="83">
                  <c:v>4.3869934592043247</c:v>
                </c:pt>
                <c:pt idx="84">
                  <c:v>2.5260740909476755</c:v>
                </c:pt>
                <c:pt idx="85">
                  <c:v>2.5144653395258718</c:v>
                </c:pt>
                <c:pt idx="86">
                  <c:v>3.3109558907043382</c:v>
                </c:pt>
                <c:pt idx="87">
                  <c:v>4.3880359873693262</c:v>
                </c:pt>
                <c:pt idx="88">
                  <c:v>2.5303895745053158</c:v>
                </c:pt>
                <c:pt idx="89">
                  <c:v>2.5158144630254116</c:v>
                </c:pt>
                <c:pt idx="90">
                  <c:v>3.3117123320049648</c:v>
                </c:pt>
                <c:pt idx="91">
                  <c:v>4.3880021857380678</c:v>
                </c:pt>
                <c:pt idx="92">
                  <c:v>2.527942050565021</c:v>
                </c:pt>
                <c:pt idx="93">
                  <c:v>3.3168145901756794</c:v>
                </c:pt>
                <c:pt idx="94">
                  <c:v>4.3923142009768981</c:v>
                </c:pt>
                <c:pt idx="95">
                  <c:v>2.5298403434948149</c:v>
                </c:pt>
                <c:pt idx="96">
                  <c:v>2.5166974576067309</c:v>
                </c:pt>
                <c:pt idx="97">
                  <c:v>3.3081741910281837</c:v>
                </c:pt>
                <c:pt idx="98">
                  <c:v>4.3785691973504859</c:v>
                </c:pt>
                <c:pt idx="99">
                  <c:v>2.5199717258382996</c:v>
                </c:pt>
                <c:pt idx="100">
                  <c:v>2.5181257552654586</c:v>
                </c:pt>
                <c:pt idx="101">
                  <c:v>3.3091579770377262</c:v>
                </c:pt>
                <c:pt idx="102">
                  <c:v>4.3789603011611149</c:v>
                </c:pt>
                <c:pt idx="103">
                  <c:v>2.5185525379171523</c:v>
                </c:pt>
                <c:pt idx="104">
                  <c:v>3.3125862850366929</c:v>
                </c:pt>
                <c:pt idx="105">
                  <c:v>4.3817959269611686</c:v>
                </c:pt>
                <c:pt idx="106">
                  <c:v>2.5195778719854287</c:v>
                </c:pt>
                <c:pt idx="107">
                  <c:v>4.0118587882183006</c:v>
                </c:pt>
                <c:pt idx="108">
                  <c:v>5.4832804934214243</c:v>
                </c:pt>
                <c:pt idx="109">
                  <c:v>6.9853667219895215</c:v>
                </c:pt>
                <c:pt idx="110">
                  <c:v>4.0576070603066716</c:v>
                </c:pt>
                <c:pt idx="111">
                  <c:v>4.010224426166948</c:v>
                </c:pt>
                <c:pt idx="112">
                  <c:v>5.481119302748815</c:v>
                </c:pt>
                <c:pt idx="113">
                  <c:v>6.9826787026956572</c:v>
                </c:pt>
                <c:pt idx="114">
                  <c:v>4.0537121798582882</c:v>
                </c:pt>
                <c:pt idx="115">
                  <c:v>4.0096765183331176</c:v>
                </c:pt>
                <c:pt idx="116">
                  <c:v>5.4800445662937287</c:v>
                </c:pt>
                <c:pt idx="117">
                  <c:v>6.9810771376193141</c:v>
                </c:pt>
                <c:pt idx="118">
                  <c:v>4.0509037536274271</c:v>
                </c:pt>
                <c:pt idx="119">
                  <c:v>7.0077848136928571</c:v>
                </c:pt>
                <c:pt idx="120">
                  <c:v>5.5005684789272973</c:v>
                </c:pt>
                <c:pt idx="121">
                  <c:v>6.945808164431889</c:v>
                </c:pt>
                <c:pt idx="122">
                  <c:v>4.0229514505449959</c:v>
                </c:pt>
                <c:pt idx="123">
                  <c:v>5.4871370269916708</c:v>
                </c:pt>
                <c:pt idx="124">
                  <c:v>6.98198712680332</c:v>
                </c:pt>
                <c:pt idx="125">
                  <c:v>4.0532252459710252</c:v>
                </c:pt>
                <c:pt idx="126">
                  <c:v>7.014528967234944</c:v>
                </c:pt>
                <c:pt idx="127">
                  <c:v>5.5054134106105961</c:v>
                </c:pt>
                <c:pt idx="128">
                  <c:v>6.9501921210715896</c:v>
                </c:pt>
                <c:pt idx="129">
                  <c:v>4.0219535118527787</c:v>
                </c:pt>
                <c:pt idx="130">
                  <c:v>5.4852171382122545</c:v>
                </c:pt>
                <c:pt idx="131">
                  <c:v>6.9791452879367046</c:v>
                </c:pt>
                <c:pt idx="132">
                  <c:v>4.0482714000840039</c:v>
                </c:pt>
                <c:pt idx="133">
                  <c:v>7.0246003868181921</c:v>
                </c:pt>
                <c:pt idx="134">
                  <c:v>5.513585608335057</c:v>
                </c:pt>
                <c:pt idx="135">
                  <c:v>6.9579033437524505</c:v>
                </c:pt>
                <c:pt idx="136">
                  <c:v>4.0242828392017218</c:v>
                </c:pt>
                <c:pt idx="137">
                  <c:v>7.0217861808673403</c:v>
                </c:pt>
                <c:pt idx="138">
                  <c:v>5.5147768930809589</c:v>
                </c:pt>
                <c:pt idx="139">
                  <c:v>6.9555598516904276</c:v>
                </c:pt>
                <c:pt idx="140">
                  <c:v>4.0270927557706857</c:v>
                </c:pt>
                <c:pt idx="141">
                  <c:v>7.0308638989573451</c:v>
                </c:pt>
                <c:pt idx="142">
                  <c:v>5.5216840719037776</c:v>
                </c:pt>
                <c:pt idx="143">
                  <c:v>6.9619402018919896</c:v>
                </c:pt>
                <c:pt idx="144">
                  <c:v>4.0273223684500561</c:v>
                </c:pt>
                <c:pt idx="145">
                  <c:v>6.9726663689636403</c:v>
                </c:pt>
                <c:pt idx="146">
                  <c:v>4.0318977979995143</c:v>
                </c:pt>
                <c:pt idx="147">
                  <c:v>7.0244078162448567</c:v>
                </c:pt>
                <c:pt idx="148">
                  <c:v>5.5176055754376536</c:v>
                </c:pt>
                <c:pt idx="149">
                  <c:v>6.9539318071519984</c:v>
                </c:pt>
                <c:pt idx="150">
                  <c:v>4.0198543291994069</c:v>
                </c:pt>
                <c:pt idx="151">
                  <c:v>7.0316325598464324</c:v>
                </c:pt>
                <c:pt idx="152">
                  <c:v>5.5232024145888401</c:v>
                </c:pt>
                <c:pt idx="153">
                  <c:v>6.9591335248372426</c:v>
                </c:pt>
                <c:pt idx="154">
                  <c:v>4.0204429937430071</c:v>
                </c:pt>
                <c:pt idx="155">
                  <c:v>6.9667797645119114</c:v>
                </c:pt>
                <c:pt idx="156">
                  <c:v>4.0234761802760319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DF-4E2B-90F7-B55D5F1D6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5371392"/>
        <c:axId val="1835366400"/>
      </c:scatterChart>
      <c:valAx>
        <c:axId val="183537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Displacement - ALPHA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5366400"/>
        <c:crosses val="autoZero"/>
        <c:crossBetween val="midCat"/>
      </c:valAx>
      <c:valAx>
        <c:axId val="183536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Displacement - RSE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537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Displacement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Displacement!$F$1</c:f>
              <c:strCache>
                <c:ptCount val="1"/>
                <c:pt idx="0">
                  <c:v>Displacement-RSE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Displacement!$E$2:$E$158</c:f>
              <c:numCache>
                <c:formatCode>General</c:formatCode>
                <c:ptCount val="157"/>
                <c:pt idx="0">
                  <c:v>1.4</c:v>
                </c:pt>
                <c:pt idx="1">
                  <c:v>1.8</c:v>
                </c:pt>
                <c:pt idx="2">
                  <c:v>1.4</c:v>
                </c:pt>
                <c:pt idx="3">
                  <c:v>1.8</c:v>
                </c:pt>
                <c:pt idx="4">
                  <c:v>1.4</c:v>
                </c:pt>
                <c:pt idx="5">
                  <c:v>1.8</c:v>
                </c:pt>
                <c:pt idx="6">
                  <c:v>1.4</c:v>
                </c:pt>
                <c:pt idx="7">
                  <c:v>1.8</c:v>
                </c:pt>
                <c:pt idx="8">
                  <c:v>1.4</c:v>
                </c:pt>
                <c:pt idx="9">
                  <c:v>1.8</c:v>
                </c:pt>
                <c:pt idx="10">
                  <c:v>1.8</c:v>
                </c:pt>
                <c:pt idx="11">
                  <c:v>1.4</c:v>
                </c:pt>
                <c:pt idx="12">
                  <c:v>1.8</c:v>
                </c:pt>
                <c:pt idx="13">
                  <c:v>1.4</c:v>
                </c:pt>
                <c:pt idx="14">
                  <c:v>1.8</c:v>
                </c:pt>
                <c:pt idx="15">
                  <c:v>1.8</c:v>
                </c:pt>
                <c:pt idx="16">
                  <c:v>2.2000000000000002</c:v>
                </c:pt>
                <c:pt idx="17">
                  <c:v>2.8</c:v>
                </c:pt>
                <c:pt idx="18">
                  <c:v>2.2000000000000002</c:v>
                </c:pt>
                <c:pt idx="19">
                  <c:v>2.8</c:v>
                </c:pt>
                <c:pt idx="20">
                  <c:v>2.2000000000000002</c:v>
                </c:pt>
                <c:pt idx="21">
                  <c:v>2.8</c:v>
                </c:pt>
                <c:pt idx="22">
                  <c:v>2.8</c:v>
                </c:pt>
                <c:pt idx="23">
                  <c:v>1.6</c:v>
                </c:pt>
                <c:pt idx="24">
                  <c:v>2.2000000000000002</c:v>
                </c:pt>
                <c:pt idx="25">
                  <c:v>2.8</c:v>
                </c:pt>
                <c:pt idx="26">
                  <c:v>2.2000000000000002</c:v>
                </c:pt>
                <c:pt idx="27">
                  <c:v>2.8</c:v>
                </c:pt>
                <c:pt idx="28">
                  <c:v>1.6</c:v>
                </c:pt>
                <c:pt idx="29">
                  <c:v>2.2000000000000002</c:v>
                </c:pt>
                <c:pt idx="30">
                  <c:v>2.8</c:v>
                </c:pt>
                <c:pt idx="31">
                  <c:v>2.2000000000000002</c:v>
                </c:pt>
                <c:pt idx="32">
                  <c:v>2.8</c:v>
                </c:pt>
                <c:pt idx="33">
                  <c:v>1.6</c:v>
                </c:pt>
                <c:pt idx="34">
                  <c:v>2.2000000000000002</c:v>
                </c:pt>
                <c:pt idx="35">
                  <c:v>2.8</c:v>
                </c:pt>
                <c:pt idx="36">
                  <c:v>2.8</c:v>
                </c:pt>
                <c:pt idx="37">
                  <c:v>1.6</c:v>
                </c:pt>
                <c:pt idx="38">
                  <c:v>2.2000000000000002</c:v>
                </c:pt>
                <c:pt idx="39">
                  <c:v>2.8</c:v>
                </c:pt>
                <c:pt idx="40">
                  <c:v>2.2000000000000002</c:v>
                </c:pt>
                <c:pt idx="41">
                  <c:v>2.8</c:v>
                </c:pt>
                <c:pt idx="42">
                  <c:v>1.6</c:v>
                </c:pt>
                <c:pt idx="43">
                  <c:v>2.2000000000000002</c:v>
                </c:pt>
                <c:pt idx="44">
                  <c:v>2.8</c:v>
                </c:pt>
                <c:pt idx="45">
                  <c:v>2.2000000000000002</c:v>
                </c:pt>
                <c:pt idx="46">
                  <c:v>2.8</c:v>
                </c:pt>
                <c:pt idx="47">
                  <c:v>2.8</c:v>
                </c:pt>
                <c:pt idx="48">
                  <c:v>1.6</c:v>
                </c:pt>
                <c:pt idx="49">
                  <c:v>2.2000000000000002</c:v>
                </c:pt>
                <c:pt idx="50">
                  <c:v>2.8</c:v>
                </c:pt>
                <c:pt idx="51">
                  <c:v>2.8</c:v>
                </c:pt>
                <c:pt idx="52">
                  <c:v>1.6</c:v>
                </c:pt>
                <c:pt idx="53">
                  <c:v>2.2000000000000002</c:v>
                </c:pt>
                <c:pt idx="54">
                  <c:v>2.8</c:v>
                </c:pt>
                <c:pt idx="55">
                  <c:v>2.2000000000000002</c:v>
                </c:pt>
                <c:pt idx="56">
                  <c:v>2.8</c:v>
                </c:pt>
                <c:pt idx="57">
                  <c:v>4.3</c:v>
                </c:pt>
                <c:pt idx="58">
                  <c:v>2.5</c:v>
                </c:pt>
                <c:pt idx="59">
                  <c:v>3.4</c:v>
                </c:pt>
                <c:pt idx="60">
                  <c:v>4.3</c:v>
                </c:pt>
                <c:pt idx="61">
                  <c:v>4.3</c:v>
                </c:pt>
                <c:pt idx="62">
                  <c:v>2.5</c:v>
                </c:pt>
                <c:pt idx="63">
                  <c:v>3.4</c:v>
                </c:pt>
                <c:pt idx="64">
                  <c:v>4.3</c:v>
                </c:pt>
                <c:pt idx="65">
                  <c:v>4.3</c:v>
                </c:pt>
                <c:pt idx="66">
                  <c:v>2.5</c:v>
                </c:pt>
                <c:pt idx="67">
                  <c:v>3.4</c:v>
                </c:pt>
                <c:pt idx="68">
                  <c:v>4.3</c:v>
                </c:pt>
                <c:pt idx="69">
                  <c:v>2.5</c:v>
                </c:pt>
                <c:pt idx="70">
                  <c:v>3.4</c:v>
                </c:pt>
                <c:pt idx="71">
                  <c:v>4.3</c:v>
                </c:pt>
                <c:pt idx="72">
                  <c:v>2.5</c:v>
                </c:pt>
                <c:pt idx="73">
                  <c:v>3.4</c:v>
                </c:pt>
                <c:pt idx="74">
                  <c:v>4.3</c:v>
                </c:pt>
                <c:pt idx="75">
                  <c:v>2.5</c:v>
                </c:pt>
                <c:pt idx="76">
                  <c:v>3.4</c:v>
                </c:pt>
                <c:pt idx="77">
                  <c:v>4.3</c:v>
                </c:pt>
                <c:pt idx="78">
                  <c:v>2.5</c:v>
                </c:pt>
                <c:pt idx="79">
                  <c:v>3.4</c:v>
                </c:pt>
                <c:pt idx="80">
                  <c:v>4.3</c:v>
                </c:pt>
                <c:pt idx="81">
                  <c:v>2.5</c:v>
                </c:pt>
                <c:pt idx="82">
                  <c:v>3.4</c:v>
                </c:pt>
                <c:pt idx="83">
                  <c:v>4.3</c:v>
                </c:pt>
                <c:pt idx="84">
                  <c:v>2.5</c:v>
                </c:pt>
                <c:pt idx="85">
                  <c:v>2.5</c:v>
                </c:pt>
                <c:pt idx="86">
                  <c:v>3.4</c:v>
                </c:pt>
                <c:pt idx="87">
                  <c:v>4.3</c:v>
                </c:pt>
                <c:pt idx="88">
                  <c:v>2.5</c:v>
                </c:pt>
                <c:pt idx="89">
                  <c:v>2.5</c:v>
                </c:pt>
                <c:pt idx="90">
                  <c:v>3.4</c:v>
                </c:pt>
                <c:pt idx="91">
                  <c:v>4.3</c:v>
                </c:pt>
                <c:pt idx="92">
                  <c:v>2.5</c:v>
                </c:pt>
                <c:pt idx="93">
                  <c:v>3.4</c:v>
                </c:pt>
                <c:pt idx="94">
                  <c:v>4.3</c:v>
                </c:pt>
                <c:pt idx="95">
                  <c:v>2.5</c:v>
                </c:pt>
                <c:pt idx="96">
                  <c:v>2.5</c:v>
                </c:pt>
                <c:pt idx="97">
                  <c:v>3.4</c:v>
                </c:pt>
                <c:pt idx="98">
                  <c:v>4.3</c:v>
                </c:pt>
                <c:pt idx="99">
                  <c:v>2.5</c:v>
                </c:pt>
                <c:pt idx="100">
                  <c:v>2.5</c:v>
                </c:pt>
                <c:pt idx="101">
                  <c:v>3.4</c:v>
                </c:pt>
                <c:pt idx="102">
                  <c:v>4.3</c:v>
                </c:pt>
                <c:pt idx="103">
                  <c:v>2.5</c:v>
                </c:pt>
                <c:pt idx="104">
                  <c:v>3.4</c:v>
                </c:pt>
                <c:pt idx="105">
                  <c:v>4.3</c:v>
                </c:pt>
                <c:pt idx="106">
                  <c:v>2.5</c:v>
                </c:pt>
                <c:pt idx="107">
                  <c:v>4</c:v>
                </c:pt>
                <c:pt idx="108">
                  <c:v>5.5</c:v>
                </c:pt>
                <c:pt idx="109">
                  <c:v>7</c:v>
                </c:pt>
                <c:pt idx="110">
                  <c:v>4</c:v>
                </c:pt>
                <c:pt idx="111">
                  <c:v>4</c:v>
                </c:pt>
                <c:pt idx="112">
                  <c:v>5.5</c:v>
                </c:pt>
                <c:pt idx="113">
                  <c:v>7</c:v>
                </c:pt>
                <c:pt idx="114">
                  <c:v>4</c:v>
                </c:pt>
                <c:pt idx="115">
                  <c:v>4</c:v>
                </c:pt>
                <c:pt idx="116">
                  <c:v>5.5</c:v>
                </c:pt>
                <c:pt idx="117">
                  <c:v>7</c:v>
                </c:pt>
                <c:pt idx="118">
                  <c:v>4</c:v>
                </c:pt>
                <c:pt idx="119">
                  <c:v>7</c:v>
                </c:pt>
                <c:pt idx="120">
                  <c:v>5.5</c:v>
                </c:pt>
                <c:pt idx="121">
                  <c:v>7</c:v>
                </c:pt>
                <c:pt idx="122">
                  <c:v>4</c:v>
                </c:pt>
                <c:pt idx="123">
                  <c:v>5.5</c:v>
                </c:pt>
                <c:pt idx="124">
                  <c:v>7</c:v>
                </c:pt>
                <c:pt idx="125">
                  <c:v>4</c:v>
                </c:pt>
                <c:pt idx="126">
                  <c:v>7</c:v>
                </c:pt>
                <c:pt idx="127">
                  <c:v>5.5</c:v>
                </c:pt>
                <c:pt idx="128">
                  <c:v>7</c:v>
                </c:pt>
                <c:pt idx="129">
                  <c:v>4</c:v>
                </c:pt>
                <c:pt idx="130">
                  <c:v>5.5</c:v>
                </c:pt>
                <c:pt idx="131">
                  <c:v>7</c:v>
                </c:pt>
                <c:pt idx="132">
                  <c:v>4</c:v>
                </c:pt>
                <c:pt idx="133">
                  <c:v>7</c:v>
                </c:pt>
                <c:pt idx="134">
                  <c:v>5.5</c:v>
                </c:pt>
                <c:pt idx="135">
                  <c:v>7</c:v>
                </c:pt>
                <c:pt idx="136">
                  <c:v>4</c:v>
                </c:pt>
                <c:pt idx="137">
                  <c:v>7</c:v>
                </c:pt>
                <c:pt idx="138">
                  <c:v>5.5</c:v>
                </c:pt>
                <c:pt idx="139">
                  <c:v>7</c:v>
                </c:pt>
                <c:pt idx="140">
                  <c:v>4</c:v>
                </c:pt>
                <c:pt idx="141">
                  <c:v>7</c:v>
                </c:pt>
                <c:pt idx="142">
                  <c:v>5.5</c:v>
                </c:pt>
                <c:pt idx="143">
                  <c:v>7</c:v>
                </c:pt>
                <c:pt idx="144">
                  <c:v>4</c:v>
                </c:pt>
                <c:pt idx="145">
                  <c:v>7</c:v>
                </c:pt>
                <c:pt idx="146">
                  <c:v>4</c:v>
                </c:pt>
                <c:pt idx="147">
                  <c:v>7</c:v>
                </c:pt>
                <c:pt idx="148">
                  <c:v>5.5</c:v>
                </c:pt>
                <c:pt idx="149">
                  <c:v>7</c:v>
                </c:pt>
                <c:pt idx="150">
                  <c:v>4</c:v>
                </c:pt>
                <c:pt idx="151">
                  <c:v>7</c:v>
                </c:pt>
                <c:pt idx="152">
                  <c:v>5.5</c:v>
                </c:pt>
                <c:pt idx="153">
                  <c:v>7</c:v>
                </c:pt>
                <c:pt idx="154">
                  <c:v>4</c:v>
                </c:pt>
                <c:pt idx="155">
                  <c:v>7</c:v>
                </c:pt>
                <c:pt idx="156">
                  <c:v>4</c:v>
                </c:pt>
              </c:numCache>
            </c:numRef>
          </c:xVal>
          <c:yVal>
            <c:numRef>
              <c:f>Displacement!$F$2:$F$158</c:f>
              <c:numCache>
                <c:formatCode>General</c:formatCode>
                <c:ptCount val="157"/>
                <c:pt idx="0">
                  <c:v>1.3980389961099977</c:v>
                </c:pt>
                <c:pt idx="1">
                  <c:v>1.8027452026294966</c:v>
                </c:pt>
                <c:pt idx="2">
                  <c:v>1.3959662442454714</c:v>
                </c:pt>
                <c:pt idx="3">
                  <c:v>1.8002114757213712</c:v>
                </c:pt>
                <c:pt idx="4">
                  <c:v>1.3972207584221064</c:v>
                </c:pt>
                <c:pt idx="5">
                  <c:v>1.801005014854407</c:v>
                </c:pt>
                <c:pt idx="6">
                  <c:v>1.4112568782015396</c:v>
                </c:pt>
                <c:pt idx="7">
                  <c:v>1.8115063578259152</c:v>
                </c:pt>
                <c:pt idx="8">
                  <c:v>1.4102581329697002</c:v>
                </c:pt>
                <c:pt idx="9">
                  <c:v>1.8099807839728195</c:v>
                </c:pt>
                <c:pt idx="10">
                  <c:v>1.812801026989812</c:v>
                </c:pt>
                <c:pt idx="11">
                  <c:v>1.4130950284961139</c:v>
                </c:pt>
                <c:pt idx="12">
                  <c:v>1.8088877812253656</c:v>
                </c:pt>
                <c:pt idx="13">
                  <c:v>1.4127624246063069</c:v>
                </c:pt>
                <c:pt idx="14">
                  <c:v>1.8081600558696165</c:v>
                </c:pt>
                <c:pt idx="15">
                  <c:v>1.809876852503292</c:v>
                </c:pt>
                <c:pt idx="16">
                  <c:v>2.2041225807184315</c:v>
                </c:pt>
                <c:pt idx="17">
                  <c:v>2.7348910793876402</c:v>
                </c:pt>
                <c:pt idx="18">
                  <c:v>2.2013472110902184</c:v>
                </c:pt>
                <c:pt idx="19">
                  <c:v>2.7317864418711415</c:v>
                </c:pt>
                <c:pt idx="20">
                  <c:v>2.199658295679527</c:v>
                </c:pt>
                <c:pt idx="21">
                  <c:v>2.729768258572165</c:v>
                </c:pt>
                <c:pt idx="22">
                  <c:v>2.766943562976989</c:v>
                </c:pt>
                <c:pt idx="23">
                  <c:v>1.5994338330145919</c:v>
                </c:pt>
                <c:pt idx="24">
                  <c:v>2.2151175399902399</c:v>
                </c:pt>
                <c:pt idx="25">
                  <c:v>2.7413634581866675</c:v>
                </c:pt>
                <c:pt idx="26">
                  <c:v>2.2359959648854315</c:v>
                </c:pt>
                <c:pt idx="27">
                  <c:v>2.7667523306110695</c:v>
                </c:pt>
                <c:pt idx="28">
                  <c:v>1.5971305936282658</c:v>
                </c:pt>
                <c:pt idx="29">
                  <c:v>2.2121228380385149</c:v>
                </c:pt>
                <c:pt idx="30">
                  <c:v>2.7377925374304435</c:v>
                </c:pt>
                <c:pt idx="31">
                  <c:v>2.2394777298433732</c:v>
                </c:pt>
                <c:pt idx="32">
                  <c:v>2.7698883642863117</c:v>
                </c:pt>
                <c:pt idx="33">
                  <c:v>1.5981546202831012</c:v>
                </c:pt>
                <c:pt idx="34">
                  <c:v>2.2124554021279512</c:v>
                </c:pt>
                <c:pt idx="35">
                  <c:v>2.7375488827153811</c:v>
                </c:pt>
                <c:pt idx="36">
                  <c:v>2.7788841402691444</c:v>
                </c:pt>
                <c:pt idx="37">
                  <c:v>1.610423351658572</c:v>
                </c:pt>
                <c:pt idx="38">
                  <c:v>2.2194219682915346</c:v>
                </c:pt>
                <c:pt idx="39">
                  <c:v>2.740096977869058</c:v>
                </c:pt>
                <c:pt idx="40">
                  <c:v>2.2526712726646605</c:v>
                </c:pt>
                <c:pt idx="41">
                  <c:v>2.780035703035713</c:v>
                </c:pt>
                <c:pt idx="42">
                  <c:v>1.6091611921161044</c:v>
                </c:pt>
                <c:pt idx="43">
                  <c:v>2.2173695658171826</c:v>
                </c:pt>
                <c:pt idx="44">
                  <c:v>2.7373860396181358</c:v>
                </c:pt>
                <c:pt idx="45">
                  <c:v>2.2196629802129189</c:v>
                </c:pt>
                <c:pt idx="46">
                  <c:v>2.7390209182373013</c:v>
                </c:pt>
                <c:pt idx="47">
                  <c:v>2.7794449857643322</c:v>
                </c:pt>
                <c:pt idx="48">
                  <c:v>1.6100331385055844</c:v>
                </c:pt>
                <c:pt idx="49">
                  <c:v>2.2123466647958616</c:v>
                </c:pt>
                <c:pt idx="50">
                  <c:v>2.7274507657544809</c:v>
                </c:pt>
                <c:pt idx="51">
                  <c:v>2.7807251128733315</c:v>
                </c:pt>
                <c:pt idx="52">
                  <c:v>1.6095029738828064</c:v>
                </c:pt>
                <c:pt idx="53">
                  <c:v>2.2112238179741706</c:v>
                </c:pt>
                <c:pt idx="54">
                  <c:v>2.7258340171003614</c:v>
                </c:pt>
                <c:pt idx="55">
                  <c:v>2.2125454931419037</c:v>
                </c:pt>
                <c:pt idx="56">
                  <c:v>2.7266617904356671</c:v>
                </c:pt>
                <c:pt idx="57">
                  <c:v>4.376839415453615</c:v>
                </c:pt>
                <c:pt idx="58">
                  <c:v>2.5211462803872235</c:v>
                </c:pt>
                <c:pt idx="59">
                  <c:v>3.3876246726507566</c:v>
                </c:pt>
                <c:pt idx="60">
                  <c:v>4.2847675882792648</c:v>
                </c:pt>
                <c:pt idx="61">
                  <c:v>4.375073346246948</c:v>
                </c:pt>
                <c:pt idx="62">
                  <c:v>2.5181733500260393</c:v>
                </c:pt>
                <c:pt idx="63">
                  <c:v>3.3841249136683156</c:v>
                </c:pt>
                <c:pt idx="64">
                  <c:v>4.280741000675568</c:v>
                </c:pt>
                <c:pt idx="65">
                  <c:v>4.3743937312578041</c:v>
                </c:pt>
                <c:pt idx="66">
                  <c:v>2.5162868738823763</c:v>
                </c:pt>
                <c:pt idx="67">
                  <c:v>3.3817116089033967</c:v>
                </c:pt>
                <c:pt idx="68">
                  <c:v>4.2778008672893932</c:v>
                </c:pt>
                <c:pt idx="69">
                  <c:v>2.500853489648045</c:v>
                </c:pt>
                <c:pt idx="70">
                  <c:v>3.3023578585835254</c:v>
                </c:pt>
                <c:pt idx="71">
                  <c:v>4.3861230455911979</c:v>
                </c:pt>
                <c:pt idx="72">
                  <c:v>2.5294276913753633</c:v>
                </c:pt>
                <c:pt idx="73">
                  <c:v>3.3886699548824475</c:v>
                </c:pt>
                <c:pt idx="74">
                  <c:v>4.2785767417545069</c:v>
                </c:pt>
                <c:pt idx="75">
                  <c:v>2.5008351229234758</c:v>
                </c:pt>
                <c:pt idx="76">
                  <c:v>3.3018208949349068</c:v>
                </c:pt>
                <c:pt idx="77">
                  <c:v>4.3848946193771807</c:v>
                </c:pt>
                <c:pt idx="78">
                  <c:v>2.5260872581409393</c:v>
                </c:pt>
                <c:pt idx="79">
                  <c:v>3.3844075715608244</c:v>
                </c:pt>
                <c:pt idx="80">
                  <c:v>4.2733924083456856</c:v>
                </c:pt>
                <c:pt idx="81">
                  <c:v>2.5041440222400673</c:v>
                </c:pt>
                <c:pt idx="82">
                  <c:v>3.3046111973274495</c:v>
                </c:pt>
                <c:pt idx="83">
                  <c:v>4.3869934592043247</c:v>
                </c:pt>
                <c:pt idx="84">
                  <c:v>2.5260740909476755</c:v>
                </c:pt>
                <c:pt idx="85">
                  <c:v>2.5144653395258718</c:v>
                </c:pt>
                <c:pt idx="86">
                  <c:v>3.3109558907043382</c:v>
                </c:pt>
                <c:pt idx="87">
                  <c:v>4.3880359873693262</c:v>
                </c:pt>
                <c:pt idx="88">
                  <c:v>2.5303895745053158</c:v>
                </c:pt>
                <c:pt idx="89">
                  <c:v>2.5158144630254116</c:v>
                </c:pt>
                <c:pt idx="90">
                  <c:v>3.3117123320049648</c:v>
                </c:pt>
                <c:pt idx="91">
                  <c:v>4.3880021857380678</c:v>
                </c:pt>
                <c:pt idx="92">
                  <c:v>2.527942050565021</c:v>
                </c:pt>
                <c:pt idx="93">
                  <c:v>3.3168145901756794</c:v>
                </c:pt>
                <c:pt idx="94">
                  <c:v>4.3923142009768981</c:v>
                </c:pt>
                <c:pt idx="95">
                  <c:v>2.5298403434948149</c:v>
                </c:pt>
                <c:pt idx="96">
                  <c:v>2.5166974576067309</c:v>
                </c:pt>
                <c:pt idx="97">
                  <c:v>3.3081741910281837</c:v>
                </c:pt>
                <c:pt idx="98">
                  <c:v>4.3785691973504859</c:v>
                </c:pt>
                <c:pt idx="99">
                  <c:v>2.5199717258382996</c:v>
                </c:pt>
                <c:pt idx="100">
                  <c:v>2.5181257552654586</c:v>
                </c:pt>
                <c:pt idx="101">
                  <c:v>3.3091579770377262</c:v>
                </c:pt>
                <c:pt idx="102">
                  <c:v>4.3789603011611149</c:v>
                </c:pt>
                <c:pt idx="103">
                  <c:v>2.5185525379171523</c:v>
                </c:pt>
                <c:pt idx="104">
                  <c:v>3.3125862850366929</c:v>
                </c:pt>
                <c:pt idx="105">
                  <c:v>4.3817959269611686</c:v>
                </c:pt>
                <c:pt idx="106">
                  <c:v>2.5195778719854287</c:v>
                </c:pt>
                <c:pt idx="107">
                  <c:v>4.0118587882183006</c:v>
                </c:pt>
                <c:pt idx="108">
                  <c:v>5.4832804934214243</c:v>
                </c:pt>
                <c:pt idx="109">
                  <c:v>6.9853667219895215</c:v>
                </c:pt>
                <c:pt idx="110">
                  <c:v>4.0576070603066716</c:v>
                </c:pt>
                <c:pt idx="111">
                  <c:v>4.010224426166948</c:v>
                </c:pt>
                <c:pt idx="112">
                  <c:v>5.481119302748815</c:v>
                </c:pt>
                <c:pt idx="113">
                  <c:v>6.9826787026956572</c:v>
                </c:pt>
                <c:pt idx="114">
                  <c:v>4.0537121798582882</c:v>
                </c:pt>
                <c:pt idx="115">
                  <c:v>4.0096765183331176</c:v>
                </c:pt>
                <c:pt idx="116">
                  <c:v>5.4800445662937287</c:v>
                </c:pt>
                <c:pt idx="117">
                  <c:v>6.9810771376193141</c:v>
                </c:pt>
                <c:pt idx="118">
                  <c:v>4.0509037536274271</c:v>
                </c:pt>
                <c:pt idx="119">
                  <c:v>7.0077848136928571</c:v>
                </c:pt>
                <c:pt idx="120">
                  <c:v>5.5005684789272973</c:v>
                </c:pt>
                <c:pt idx="121">
                  <c:v>6.945808164431889</c:v>
                </c:pt>
                <c:pt idx="122">
                  <c:v>4.0229514505449959</c:v>
                </c:pt>
                <c:pt idx="123">
                  <c:v>5.4871370269916708</c:v>
                </c:pt>
                <c:pt idx="124">
                  <c:v>6.98198712680332</c:v>
                </c:pt>
                <c:pt idx="125">
                  <c:v>4.0532252459710252</c:v>
                </c:pt>
                <c:pt idx="126">
                  <c:v>7.014528967234944</c:v>
                </c:pt>
                <c:pt idx="127">
                  <c:v>5.5054134106105961</c:v>
                </c:pt>
                <c:pt idx="128">
                  <c:v>6.9501921210715896</c:v>
                </c:pt>
                <c:pt idx="129">
                  <c:v>4.0219535118527787</c:v>
                </c:pt>
                <c:pt idx="130">
                  <c:v>5.4852171382122545</c:v>
                </c:pt>
                <c:pt idx="131">
                  <c:v>6.9791452879367046</c:v>
                </c:pt>
                <c:pt idx="132">
                  <c:v>4.0482714000840039</c:v>
                </c:pt>
                <c:pt idx="133">
                  <c:v>7.0246003868181921</c:v>
                </c:pt>
                <c:pt idx="134">
                  <c:v>5.513585608335057</c:v>
                </c:pt>
                <c:pt idx="135">
                  <c:v>6.9579033437524505</c:v>
                </c:pt>
                <c:pt idx="136">
                  <c:v>4.0242828392017218</c:v>
                </c:pt>
                <c:pt idx="137">
                  <c:v>7.0217861808673403</c:v>
                </c:pt>
                <c:pt idx="138">
                  <c:v>5.5147768930809589</c:v>
                </c:pt>
                <c:pt idx="139">
                  <c:v>6.9555598516904276</c:v>
                </c:pt>
                <c:pt idx="140">
                  <c:v>4.0270927557706857</c:v>
                </c:pt>
                <c:pt idx="141">
                  <c:v>7.0308638989573451</c:v>
                </c:pt>
                <c:pt idx="142">
                  <c:v>5.5216840719037776</c:v>
                </c:pt>
                <c:pt idx="143">
                  <c:v>6.9619402018919896</c:v>
                </c:pt>
                <c:pt idx="144">
                  <c:v>4.0273223684500561</c:v>
                </c:pt>
                <c:pt idx="145">
                  <c:v>6.9726663689636403</c:v>
                </c:pt>
                <c:pt idx="146">
                  <c:v>4.0318977979995143</c:v>
                </c:pt>
                <c:pt idx="147">
                  <c:v>7.0244078162448567</c:v>
                </c:pt>
                <c:pt idx="148">
                  <c:v>5.5176055754376536</c:v>
                </c:pt>
                <c:pt idx="149">
                  <c:v>6.9539318071519984</c:v>
                </c:pt>
                <c:pt idx="150">
                  <c:v>4.0198543291994069</c:v>
                </c:pt>
                <c:pt idx="151">
                  <c:v>7.0316325598464324</c:v>
                </c:pt>
                <c:pt idx="152">
                  <c:v>5.5232024145888401</c:v>
                </c:pt>
                <c:pt idx="153">
                  <c:v>6.9591335248372426</c:v>
                </c:pt>
                <c:pt idx="154">
                  <c:v>4.0204429937430071</c:v>
                </c:pt>
                <c:pt idx="155">
                  <c:v>6.9667797645119114</c:v>
                </c:pt>
                <c:pt idx="156">
                  <c:v>4.0234761802760319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11-49A0-95D2-9DD88FEEC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8063840"/>
        <c:axId val="1358065920"/>
      </c:scatterChart>
      <c:valAx>
        <c:axId val="1358063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Displacement - ALPHA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8065920"/>
        <c:crosses val="autoZero"/>
        <c:crossBetween val="midCat"/>
      </c:valAx>
      <c:valAx>
        <c:axId val="135806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Displacement - RSE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8063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Cylinders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Cylinders!$F$1</c:f>
              <c:strCache>
                <c:ptCount val="1"/>
                <c:pt idx="0">
                  <c:v>Cylinders-RSE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Cylinders!$E$2:$E$158</c:f>
              <c:numCache>
                <c:formatCode>General</c:formatCode>
                <c:ptCount val="157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6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6</c:v>
                </c:pt>
                <c:pt idx="78">
                  <c:v>6</c:v>
                </c:pt>
                <c:pt idx="79">
                  <c:v>6</c:v>
                </c:pt>
                <c:pt idx="80">
                  <c:v>6</c:v>
                </c:pt>
                <c:pt idx="81">
                  <c:v>6</c:v>
                </c:pt>
                <c:pt idx="82">
                  <c:v>6</c:v>
                </c:pt>
                <c:pt idx="83">
                  <c:v>6</c:v>
                </c:pt>
                <c:pt idx="84">
                  <c:v>6</c:v>
                </c:pt>
                <c:pt idx="85">
                  <c:v>6</c:v>
                </c:pt>
                <c:pt idx="86">
                  <c:v>6</c:v>
                </c:pt>
                <c:pt idx="87">
                  <c:v>6</c:v>
                </c:pt>
                <c:pt idx="88">
                  <c:v>6</c:v>
                </c:pt>
                <c:pt idx="89">
                  <c:v>6</c:v>
                </c:pt>
                <c:pt idx="90">
                  <c:v>6</c:v>
                </c:pt>
                <c:pt idx="91">
                  <c:v>6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5">
                  <c:v>6</c:v>
                </c:pt>
                <c:pt idx="96">
                  <c:v>6</c:v>
                </c:pt>
                <c:pt idx="97">
                  <c:v>6</c:v>
                </c:pt>
                <c:pt idx="98">
                  <c:v>6</c:v>
                </c:pt>
                <c:pt idx="99">
                  <c:v>6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6</c:v>
                </c:pt>
                <c:pt idx="104">
                  <c:v>6</c:v>
                </c:pt>
                <c:pt idx="105">
                  <c:v>6</c:v>
                </c:pt>
                <c:pt idx="106">
                  <c:v>6</c:v>
                </c:pt>
                <c:pt idx="107">
                  <c:v>8</c:v>
                </c:pt>
                <c:pt idx="108">
                  <c:v>8</c:v>
                </c:pt>
                <c:pt idx="109">
                  <c:v>8</c:v>
                </c:pt>
                <c:pt idx="110">
                  <c:v>8</c:v>
                </c:pt>
                <c:pt idx="111">
                  <c:v>8</c:v>
                </c:pt>
                <c:pt idx="112">
                  <c:v>8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8</c:v>
                </c:pt>
                <c:pt idx="118">
                  <c:v>8</c:v>
                </c:pt>
                <c:pt idx="119">
                  <c:v>8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8</c:v>
                </c:pt>
                <c:pt idx="124">
                  <c:v>8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8</c:v>
                </c:pt>
                <c:pt idx="137">
                  <c:v>8</c:v>
                </c:pt>
                <c:pt idx="138">
                  <c:v>8</c:v>
                </c:pt>
                <c:pt idx="139">
                  <c:v>8</c:v>
                </c:pt>
                <c:pt idx="140">
                  <c:v>8</c:v>
                </c:pt>
                <c:pt idx="141">
                  <c:v>8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8</c:v>
                </c:pt>
                <c:pt idx="146">
                  <c:v>8</c:v>
                </c:pt>
                <c:pt idx="147">
                  <c:v>8</c:v>
                </c:pt>
                <c:pt idx="148">
                  <c:v>8</c:v>
                </c:pt>
                <c:pt idx="149">
                  <c:v>8</c:v>
                </c:pt>
                <c:pt idx="150">
                  <c:v>8</c:v>
                </c:pt>
                <c:pt idx="151">
                  <c:v>8</c:v>
                </c:pt>
                <c:pt idx="152">
                  <c:v>8</c:v>
                </c:pt>
                <c:pt idx="153">
                  <c:v>8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</c:numCache>
            </c:numRef>
          </c:xVal>
          <c:yVal>
            <c:numRef>
              <c:f>Cylinders!$F$2:$F$158</c:f>
              <c:numCache>
                <c:formatCode>General</c:formatCode>
                <c:ptCount val="157"/>
                <c:pt idx="0">
                  <c:v>2.7909181725218368</c:v>
                </c:pt>
                <c:pt idx="1">
                  <c:v>3.6573652764157503</c:v>
                </c:pt>
                <c:pt idx="2">
                  <c:v>2.7232337785555445</c:v>
                </c:pt>
                <c:pt idx="3">
                  <c:v>3.603071217217841</c:v>
                </c:pt>
                <c:pt idx="4">
                  <c:v>2.6418916074844794</c:v>
                </c:pt>
                <c:pt idx="5">
                  <c:v>3.535119380915158</c:v>
                </c:pt>
                <c:pt idx="6">
                  <c:v>2.8467696437280847</c:v>
                </c:pt>
                <c:pt idx="7">
                  <c:v>3.6647373810658843</c:v>
                </c:pt>
                <c:pt idx="8">
                  <c:v>2.7770353606916145</c:v>
                </c:pt>
                <c:pt idx="9">
                  <c:v>3.6103063377647073</c:v>
                </c:pt>
                <c:pt idx="10">
                  <c:v>3.5380365651838295</c:v>
                </c:pt>
                <c:pt idx="11">
                  <c:v>2.9129845117321191</c:v>
                </c:pt>
                <c:pt idx="12">
                  <c:v>3.682472882513804</c:v>
                </c:pt>
                <c:pt idx="13">
                  <c:v>2.8689068533106208</c:v>
                </c:pt>
                <c:pt idx="14">
                  <c:v>3.6498726538937758</c:v>
                </c:pt>
                <c:pt idx="15">
                  <c:v>3.6072381400539184</c:v>
                </c:pt>
                <c:pt idx="16">
                  <c:v>4.4659807859668055</c:v>
                </c:pt>
                <c:pt idx="17">
                  <c:v>5.3228547770292227</c:v>
                </c:pt>
                <c:pt idx="18">
                  <c:v>4.4416778542247526</c:v>
                </c:pt>
                <c:pt idx="19">
                  <c:v>5.3081163701217289</c:v>
                </c:pt>
                <c:pt idx="20">
                  <c:v>4.4129152401627758</c:v>
                </c:pt>
                <c:pt idx="21">
                  <c:v>5.2889182808943094</c:v>
                </c:pt>
                <c:pt idx="22">
                  <c:v>5.4602494485087574</c:v>
                </c:pt>
                <c:pt idx="23">
                  <c:v>3.2369770821344028</c:v>
                </c:pt>
                <c:pt idx="24">
                  <c:v>4.4211295189847979</c:v>
                </c:pt>
                <c:pt idx="25">
                  <c:v>5.2314370484580124</c:v>
                </c:pt>
                <c:pt idx="26">
                  <c:v>4.8004907732309317</c:v>
                </c:pt>
                <c:pt idx="27">
                  <c:v>5.4048809331647218</c:v>
                </c:pt>
                <c:pt idx="28">
                  <c:v>3.1759878555523011</c:v>
                </c:pt>
                <c:pt idx="29">
                  <c:v>4.3802257945552698</c:v>
                </c:pt>
                <c:pt idx="30">
                  <c:v>5.2072712424889644</c:v>
                </c:pt>
                <c:pt idx="31">
                  <c:v>4.7214217297058365</c:v>
                </c:pt>
                <c:pt idx="32">
                  <c:v>5.3358546407159109</c:v>
                </c:pt>
                <c:pt idx="33">
                  <c:v>3.1013408518654275</c:v>
                </c:pt>
                <c:pt idx="34">
                  <c:v>4.3256642930209699</c:v>
                </c:pt>
                <c:pt idx="35">
                  <c:v>5.1694476594151446</c:v>
                </c:pt>
                <c:pt idx="36">
                  <c:v>5.4785377857330007</c:v>
                </c:pt>
                <c:pt idx="37">
                  <c:v>3.2685888700625929</c:v>
                </c:pt>
                <c:pt idx="38">
                  <c:v>4.3800222570788181</c:v>
                </c:pt>
                <c:pt idx="39">
                  <c:v>5.1297305783568881</c:v>
                </c:pt>
                <c:pt idx="40">
                  <c:v>4.8534134788086511</c:v>
                </c:pt>
                <c:pt idx="41">
                  <c:v>5.4228787925505353</c:v>
                </c:pt>
                <c:pt idx="42">
                  <c:v>3.206506206893768</c:v>
                </c:pt>
                <c:pt idx="43">
                  <c:v>4.3408944535129335</c:v>
                </c:pt>
                <c:pt idx="44">
                  <c:v>5.1097318244601233</c:v>
                </c:pt>
                <c:pt idx="45">
                  <c:v>4.2839279206673497</c:v>
                </c:pt>
                <c:pt idx="46">
                  <c:v>5.0718943412836559</c:v>
                </c:pt>
                <c:pt idx="47">
                  <c:v>5.5071895197550367</c:v>
                </c:pt>
                <c:pt idx="48">
                  <c:v>3.3105640547885709</c:v>
                </c:pt>
                <c:pt idx="49">
                  <c:v>4.3492783919706239</c:v>
                </c:pt>
                <c:pt idx="50">
                  <c:v>5.0383875050535547</c:v>
                </c:pt>
                <c:pt idx="51">
                  <c:v>5.4736683287240426</c:v>
                </c:pt>
                <c:pt idx="52">
                  <c:v>3.2722251112678071</c:v>
                </c:pt>
                <c:pt idx="53">
                  <c:v>4.3281555931520677</c:v>
                </c:pt>
                <c:pt idx="54">
                  <c:v>5.0316114934868388</c:v>
                </c:pt>
                <c:pt idx="55">
                  <c:v>4.2969985091136786</c:v>
                </c:pt>
                <c:pt idx="56">
                  <c:v>5.0148011967002866</c:v>
                </c:pt>
                <c:pt idx="57">
                  <c:v>6.9795445556098858</c:v>
                </c:pt>
                <c:pt idx="58">
                  <c:v>4.9993582171026656</c:v>
                </c:pt>
                <c:pt idx="59">
                  <c:v>6.1393201648215943</c:v>
                </c:pt>
                <c:pt idx="60">
                  <c:v>6.8685506672410614</c:v>
                </c:pt>
                <c:pt idx="61">
                  <c:v>6.9641921737617487</c:v>
                </c:pt>
                <c:pt idx="62">
                  <c:v>4.9807940002613496</c:v>
                </c:pt>
                <c:pt idx="63">
                  <c:v>6.1360591877155706</c:v>
                </c:pt>
                <c:pt idx="64">
                  <c:v>6.8805929298703301</c:v>
                </c:pt>
                <c:pt idx="65">
                  <c:v>6.9443801095936859</c:v>
                </c:pt>
                <c:pt idx="66">
                  <c:v>4.9577701011001061</c:v>
                </c:pt>
                <c:pt idx="67">
                  <c:v>6.1283385282896212</c:v>
                </c:pt>
                <c:pt idx="68">
                  <c:v>6.8881755101796767</c:v>
                </c:pt>
                <c:pt idx="69">
                  <c:v>5.1702956327669103</c:v>
                </c:pt>
                <c:pt idx="70">
                  <c:v>5.9968377478710204</c:v>
                </c:pt>
                <c:pt idx="71">
                  <c:v>6.8967370181098406</c:v>
                </c:pt>
                <c:pt idx="72">
                  <c:v>4.9265670731671385</c:v>
                </c:pt>
                <c:pt idx="73">
                  <c:v>5.9920226823433396</c:v>
                </c:pt>
                <c:pt idx="74">
                  <c:v>6.6467468462200809</c:v>
                </c:pt>
                <c:pt idx="75">
                  <c:v>5.1099057418847309</c:v>
                </c:pt>
                <c:pt idx="76">
                  <c:v>5.9515119836032708</c:v>
                </c:pt>
                <c:pt idx="77">
                  <c:v>6.8714967559946647</c:v>
                </c:pt>
                <c:pt idx="78">
                  <c:v>4.8957060998138999</c:v>
                </c:pt>
                <c:pt idx="79">
                  <c:v>5.9879423785268653</c:v>
                </c:pt>
                <c:pt idx="80">
                  <c:v>6.6694472119403709</c:v>
                </c:pt>
                <c:pt idx="81">
                  <c:v>5.0358580738977778</c:v>
                </c:pt>
                <c:pt idx="82">
                  <c:v>5.8925284422307476</c:v>
                </c:pt>
                <c:pt idx="83">
                  <c:v>6.8325987167747151</c:v>
                </c:pt>
                <c:pt idx="84">
                  <c:v>4.8511873493558877</c:v>
                </c:pt>
                <c:pt idx="85">
                  <c:v>5.2067637324496996</c:v>
                </c:pt>
                <c:pt idx="86">
                  <c:v>5.9787665601781805</c:v>
                </c:pt>
                <c:pt idx="87">
                  <c:v>6.8059467805828273</c:v>
                </c:pt>
                <c:pt idx="88">
                  <c:v>4.849100286344072</c:v>
                </c:pt>
                <c:pt idx="89">
                  <c:v>5.1453660243664974</c:v>
                </c:pt>
                <c:pt idx="90">
                  <c:v>5.9345849967971835</c:v>
                </c:pt>
                <c:pt idx="91">
                  <c:v>6.7847200768047724</c:v>
                </c:pt>
                <c:pt idx="92">
                  <c:v>4.8214499125796593</c:v>
                </c:pt>
                <c:pt idx="93">
                  <c:v>5.8725647041364892</c:v>
                </c:pt>
                <c:pt idx="94">
                  <c:v>6.7456546437470184</c:v>
                </c:pt>
                <c:pt idx="95">
                  <c:v>4.7759608095355439</c:v>
                </c:pt>
                <c:pt idx="96">
                  <c:v>5.2535952289302745</c:v>
                </c:pt>
                <c:pt idx="97">
                  <c:v>5.9710587692831281</c:v>
                </c:pt>
                <c:pt idx="98">
                  <c:v>6.7255199398536032</c:v>
                </c:pt>
                <c:pt idx="99">
                  <c:v>4.7819968963187929</c:v>
                </c:pt>
                <c:pt idx="100">
                  <c:v>5.2157700017237314</c:v>
                </c:pt>
                <c:pt idx="101">
                  <c:v>5.9461456506032357</c:v>
                </c:pt>
                <c:pt idx="102">
                  <c:v>6.7178229658759196</c:v>
                </c:pt>
                <c:pt idx="103">
                  <c:v>4.7694821698513419</c:v>
                </c:pt>
                <c:pt idx="104">
                  <c:v>5.9111982467035142</c:v>
                </c:pt>
                <c:pt idx="105">
                  <c:v>6.7000917066784016</c:v>
                </c:pt>
                <c:pt idx="106">
                  <c:v>4.7469331581640546</c:v>
                </c:pt>
                <c:pt idx="107">
                  <c:v>6.6866222628924836</c:v>
                </c:pt>
                <c:pt idx="108">
                  <c:v>7.7042871417748042</c:v>
                </c:pt>
                <c:pt idx="109">
                  <c:v>8.3112205753576589</c:v>
                </c:pt>
                <c:pt idx="110">
                  <c:v>6.7247491146330178</c:v>
                </c:pt>
                <c:pt idx="111">
                  <c:v>6.6674440711105207</c:v>
                </c:pt>
                <c:pt idx="112">
                  <c:v>7.7004121897281355</c:v>
                </c:pt>
                <c:pt idx="113">
                  <c:v>8.3226488630462825</c:v>
                </c:pt>
                <c:pt idx="114">
                  <c:v>6.7329655673284643</c:v>
                </c:pt>
                <c:pt idx="115">
                  <c:v>6.6438061970086357</c:v>
                </c:pt>
                <c:pt idx="116">
                  <c:v>7.6920775553615446</c:v>
                </c:pt>
                <c:pt idx="117">
                  <c:v>8.329617468414984</c:v>
                </c:pt>
                <c:pt idx="118">
                  <c:v>6.7367223377039851</c:v>
                </c:pt>
                <c:pt idx="119">
                  <c:v>7.9036433083081761</c:v>
                </c:pt>
                <c:pt idx="120">
                  <c:v>7.9364535901167956</c:v>
                </c:pt>
                <c:pt idx="121">
                  <c:v>8.370832539315689</c:v>
                </c:pt>
                <c:pt idx="122">
                  <c:v>6.6224413100281145</c:v>
                </c:pt>
                <c:pt idx="123">
                  <c:v>7.5655998503677129</c:v>
                </c:pt>
                <c:pt idx="124">
                  <c:v>8.0980269454078417</c:v>
                </c:pt>
                <c:pt idx="125">
                  <c:v>6.5215718782477206</c:v>
                </c:pt>
                <c:pt idx="126">
                  <c:v>7.8703863073783147</c:v>
                </c:pt>
                <c:pt idx="127">
                  <c:v>7.894487882431382</c:v>
                </c:pt>
                <c:pt idx="128">
                  <c:v>8.3422571663986602</c:v>
                </c:pt>
                <c:pt idx="129">
                  <c:v>6.590505880528748</c:v>
                </c:pt>
                <c:pt idx="130">
                  <c:v>7.5604450904051124</c:v>
                </c:pt>
                <c:pt idx="131">
                  <c:v>8.1196528549820073</c:v>
                </c:pt>
                <c:pt idx="132">
                  <c:v>6.5375770765838181</c:v>
                </c:pt>
                <c:pt idx="133">
                  <c:v>7.8234715293436743</c:v>
                </c:pt>
                <c:pt idx="134">
                  <c:v>7.8388643976411965</c:v>
                </c:pt>
                <c:pt idx="135">
                  <c:v>8.3000240163768559</c:v>
                </c:pt>
                <c:pt idx="136">
                  <c:v>6.5449126739246077</c:v>
                </c:pt>
                <c:pt idx="137">
                  <c:v>7.8653333926391795</c:v>
                </c:pt>
                <c:pt idx="138">
                  <c:v>7.9229716335880314</c:v>
                </c:pt>
                <c:pt idx="139">
                  <c:v>8.3088712162308092</c:v>
                </c:pt>
                <c:pt idx="140">
                  <c:v>6.5558907557791608</c:v>
                </c:pt>
                <c:pt idx="141">
                  <c:v>7.8349447016443357</c:v>
                </c:pt>
                <c:pt idx="142">
                  <c:v>7.8826301348725645</c:v>
                </c:pt>
                <c:pt idx="143">
                  <c:v>8.2838329572506382</c:v>
                </c:pt>
                <c:pt idx="144">
                  <c:v>6.5270124321334597</c:v>
                </c:pt>
                <c:pt idx="145">
                  <c:v>8.2409559689907645</c:v>
                </c:pt>
                <c:pt idx="146">
                  <c:v>6.4802953792080595</c:v>
                </c:pt>
                <c:pt idx="147">
                  <c:v>7.8373868737679651</c:v>
                </c:pt>
                <c:pt idx="148">
                  <c:v>7.9198530738570527</c:v>
                </c:pt>
                <c:pt idx="149">
                  <c:v>8.2572732899437149</c:v>
                </c:pt>
                <c:pt idx="150">
                  <c:v>6.4997035983279945</c:v>
                </c:pt>
                <c:pt idx="151">
                  <c:v>7.8228184093776925</c:v>
                </c:pt>
                <c:pt idx="152">
                  <c:v>7.8978200036763058</c:v>
                </c:pt>
                <c:pt idx="153">
                  <c:v>8.2467176495644381</c:v>
                </c:pt>
                <c:pt idx="154">
                  <c:v>6.4862679094495759</c:v>
                </c:pt>
                <c:pt idx="155">
                  <c:v>8.2261277239653374</c:v>
                </c:pt>
                <c:pt idx="156">
                  <c:v>6.4627979353513227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A2-4369-A7A1-D291437F67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2134704"/>
        <c:axId val="1322135536"/>
      </c:scatterChart>
      <c:valAx>
        <c:axId val="1322134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Cylinders - ALPHA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2135536"/>
        <c:crosses val="autoZero"/>
        <c:crossBetween val="midCat"/>
      </c:valAx>
      <c:valAx>
        <c:axId val="132213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Cylinders - RSE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2134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Cylinders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Cylinders!$F$1</c:f>
              <c:strCache>
                <c:ptCount val="1"/>
                <c:pt idx="0">
                  <c:v>Cylinders-RSE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Cylinders!$E$2:$E$158</c:f>
              <c:numCache>
                <c:formatCode>General</c:formatCode>
                <c:ptCount val="157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6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6</c:v>
                </c:pt>
                <c:pt idx="78">
                  <c:v>6</c:v>
                </c:pt>
                <c:pt idx="79">
                  <c:v>6</c:v>
                </c:pt>
                <c:pt idx="80">
                  <c:v>6</c:v>
                </c:pt>
                <c:pt idx="81">
                  <c:v>6</c:v>
                </c:pt>
                <c:pt idx="82">
                  <c:v>6</c:v>
                </c:pt>
                <c:pt idx="83">
                  <c:v>6</c:v>
                </c:pt>
                <c:pt idx="84">
                  <c:v>6</c:v>
                </c:pt>
                <c:pt idx="85">
                  <c:v>6</c:v>
                </c:pt>
                <c:pt idx="86">
                  <c:v>6</c:v>
                </c:pt>
                <c:pt idx="87">
                  <c:v>6</c:v>
                </c:pt>
                <c:pt idx="88">
                  <c:v>6</c:v>
                </c:pt>
                <c:pt idx="89">
                  <c:v>6</c:v>
                </c:pt>
                <c:pt idx="90">
                  <c:v>6</c:v>
                </c:pt>
                <c:pt idx="91">
                  <c:v>6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5">
                  <c:v>6</c:v>
                </c:pt>
                <c:pt idx="96">
                  <c:v>6</c:v>
                </c:pt>
                <c:pt idx="97">
                  <c:v>6</c:v>
                </c:pt>
                <c:pt idx="98">
                  <c:v>6</c:v>
                </c:pt>
                <c:pt idx="99">
                  <c:v>6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6</c:v>
                </c:pt>
                <c:pt idx="104">
                  <c:v>6</c:v>
                </c:pt>
                <c:pt idx="105">
                  <c:v>6</c:v>
                </c:pt>
                <c:pt idx="106">
                  <c:v>6</c:v>
                </c:pt>
                <c:pt idx="107">
                  <c:v>8</c:v>
                </c:pt>
                <c:pt idx="108">
                  <c:v>8</c:v>
                </c:pt>
                <c:pt idx="109">
                  <c:v>8</c:v>
                </c:pt>
                <c:pt idx="110">
                  <c:v>8</c:v>
                </c:pt>
                <c:pt idx="111">
                  <c:v>8</c:v>
                </c:pt>
                <c:pt idx="112">
                  <c:v>8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8</c:v>
                </c:pt>
                <c:pt idx="118">
                  <c:v>8</c:v>
                </c:pt>
                <c:pt idx="119">
                  <c:v>8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8</c:v>
                </c:pt>
                <c:pt idx="124">
                  <c:v>8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8</c:v>
                </c:pt>
                <c:pt idx="137">
                  <c:v>8</c:v>
                </c:pt>
                <c:pt idx="138">
                  <c:v>8</c:v>
                </c:pt>
                <c:pt idx="139">
                  <c:v>8</c:v>
                </c:pt>
                <c:pt idx="140">
                  <c:v>8</c:v>
                </c:pt>
                <c:pt idx="141">
                  <c:v>8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8</c:v>
                </c:pt>
                <c:pt idx="146">
                  <c:v>8</c:v>
                </c:pt>
                <c:pt idx="147">
                  <c:v>8</c:v>
                </c:pt>
                <c:pt idx="148">
                  <c:v>8</c:v>
                </c:pt>
                <c:pt idx="149">
                  <c:v>8</c:v>
                </c:pt>
                <c:pt idx="150">
                  <c:v>8</c:v>
                </c:pt>
                <c:pt idx="151">
                  <c:v>8</c:v>
                </c:pt>
                <c:pt idx="152">
                  <c:v>8</c:v>
                </c:pt>
                <c:pt idx="153">
                  <c:v>8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</c:numCache>
            </c:numRef>
          </c:xVal>
          <c:yVal>
            <c:numRef>
              <c:f>Cylinders!$F$2:$F$158</c:f>
              <c:numCache>
                <c:formatCode>General</c:formatCode>
                <c:ptCount val="157"/>
                <c:pt idx="0">
                  <c:v>2.7909181725218368</c:v>
                </c:pt>
                <c:pt idx="1">
                  <c:v>3.6573652764157503</c:v>
                </c:pt>
                <c:pt idx="2">
                  <c:v>2.7232337785555445</c:v>
                </c:pt>
                <c:pt idx="3">
                  <c:v>3.603071217217841</c:v>
                </c:pt>
                <c:pt idx="4">
                  <c:v>2.6418916074844794</c:v>
                </c:pt>
                <c:pt idx="5">
                  <c:v>3.535119380915158</c:v>
                </c:pt>
                <c:pt idx="6">
                  <c:v>2.8467696437280847</c:v>
                </c:pt>
                <c:pt idx="7">
                  <c:v>3.6647373810658843</c:v>
                </c:pt>
                <c:pt idx="8">
                  <c:v>2.7770353606916145</c:v>
                </c:pt>
                <c:pt idx="9">
                  <c:v>3.6103063377647073</c:v>
                </c:pt>
                <c:pt idx="10">
                  <c:v>3.5380365651838295</c:v>
                </c:pt>
                <c:pt idx="11">
                  <c:v>2.9129845117321191</c:v>
                </c:pt>
                <c:pt idx="12">
                  <c:v>3.682472882513804</c:v>
                </c:pt>
                <c:pt idx="13">
                  <c:v>2.8689068533106208</c:v>
                </c:pt>
                <c:pt idx="14">
                  <c:v>3.6498726538937758</c:v>
                </c:pt>
                <c:pt idx="15">
                  <c:v>3.6072381400539184</c:v>
                </c:pt>
                <c:pt idx="16">
                  <c:v>4.4659807859668055</c:v>
                </c:pt>
                <c:pt idx="17">
                  <c:v>5.3228547770292227</c:v>
                </c:pt>
                <c:pt idx="18">
                  <c:v>4.4416778542247526</c:v>
                </c:pt>
                <c:pt idx="19">
                  <c:v>5.3081163701217289</c:v>
                </c:pt>
                <c:pt idx="20">
                  <c:v>4.4129152401627758</c:v>
                </c:pt>
                <c:pt idx="21">
                  <c:v>5.2889182808943094</c:v>
                </c:pt>
                <c:pt idx="22">
                  <c:v>5.4602494485087574</c:v>
                </c:pt>
                <c:pt idx="23">
                  <c:v>3.2369770821344028</c:v>
                </c:pt>
                <c:pt idx="24">
                  <c:v>4.4211295189847979</c:v>
                </c:pt>
                <c:pt idx="25">
                  <c:v>5.2314370484580124</c:v>
                </c:pt>
                <c:pt idx="26">
                  <c:v>4.8004907732309317</c:v>
                </c:pt>
                <c:pt idx="27">
                  <c:v>5.4048809331647218</c:v>
                </c:pt>
                <c:pt idx="28">
                  <c:v>3.1759878555523011</c:v>
                </c:pt>
                <c:pt idx="29">
                  <c:v>4.3802257945552698</c:v>
                </c:pt>
                <c:pt idx="30">
                  <c:v>5.2072712424889644</c:v>
                </c:pt>
                <c:pt idx="31">
                  <c:v>4.7214217297058365</c:v>
                </c:pt>
                <c:pt idx="32">
                  <c:v>5.3358546407159109</c:v>
                </c:pt>
                <c:pt idx="33">
                  <c:v>3.1013408518654275</c:v>
                </c:pt>
                <c:pt idx="34">
                  <c:v>4.3256642930209699</c:v>
                </c:pt>
                <c:pt idx="35">
                  <c:v>5.1694476594151446</c:v>
                </c:pt>
                <c:pt idx="36">
                  <c:v>5.4785377857330007</c:v>
                </c:pt>
                <c:pt idx="37">
                  <c:v>3.2685888700625929</c:v>
                </c:pt>
                <c:pt idx="38">
                  <c:v>4.3800222570788181</c:v>
                </c:pt>
                <c:pt idx="39">
                  <c:v>5.1297305783568881</c:v>
                </c:pt>
                <c:pt idx="40">
                  <c:v>4.8534134788086511</c:v>
                </c:pt>
                <c:pt idx="41">
                  <c:v>5.4228787925505353</c:v>
                </c:pt>
                <c:pt idx="42">
                  <c:v>3.206506206893768</c:v>
                </c:pt>
                <c:pt idx="43">
                  <c:v>4.3408944535129335</c:v>
                </c:pt>
                <c:pt idx="44">
                  <c:v>5.1097318244601233</c:v>
                </c:pt>
                <c:pt idx="45">
                  <c:v>4.2839279206673497</c:v>
                </c:pt>
                <c:pt idx="46">
                  <c:v>5.0718943412836559</c:v>
                </c:pt>
                <c:pt idx="47">
                  <c:v>5.5071895197550367</c:v>
                </c:pt>
                <c:pt idx="48">
                  <c:v>3.3105640547885709</c:v>
                </c:pt>
                <c:pt idx="49">
                  <c:v>4.3492783919706239</c:v>
                </c:pt>
                <c:pt idx="50">
                  <c:v>5.0383875050535547</c:v>
                </c:pt>
                <c:pt idx="51">
                  <c:v>5.4736683287240426</c:v>
                </c:pt>
                <c:pt idx="52">
                  <c:v>3.2722251112678071</c:v>
                </c:pt>
                <c:pt idx="53">
                  <c:v>4.3281555931520677</c:v>
                </c:pt>
                <c:pt idx="54">
                  <c:v>5.0316114934868388</c:v>
                </c:pt>
                <c:pt idx="55">
                  <c:v>4.2969985091136786</c:v>
                </c:pt>
                <c:pt idx="56">
                  <c:v>5.0148011967002866</c:v>
                </c:pt>
                <c:pt idx="57">
                  <c:v>6.9795445556098858</c:v>
                </c:pt>
                <c:pt idx="58">
                  <c:v>4.9993582171026656</c:v>
                </c:pt>
                <c:pt idx="59">
                  <c:v>6.1393201648215943</c:v>
                </c:pt>
                <c:pt idx="60">
                  <c:v>6.8685506672410614</c:v>
                </c:pt>
                <c:pt idx="61">
                  <c:v>6.9641921737617487</c:v>
                </c:pt>
                <c:pt idx="62">
                  <c:v>4.9807940002613496</c:v>
                </c:pt>
                <c:pt idx="63">
                  <c:v>6.1360591877155706</c:v>
                </c:pt>
                <c:pt idx="64">
                  <c:v>6.8805929298703301</c:v>
                </c:pt>
                <c:pt idx="65">
                  <c:v>6.9443801095936859</c:v>
                </c:pt>
                <c:pt idx="66">
                  <c:v>4.9577701011001061</c:v>
                </c:pt>
                <c:pt idx="67">
                  <c:v>6.1283385282896212</c:v>
                </c:pt>
                <c:pt idx="68">
                  <c:v>6.8881755101796767</c:v>
                </c:pt>
                <c:pt idx="69">
                  <c:v>5.1702956327669103</c:v>
                </c:pt>
                <c:pt idx="70">
                  <c:v>5.9968377478710204</c:v>
                </c:pt>
                <c:pt idx="71">
                  <c:v>6.8967370181098406</c:v>
                </c:pt>
                <c:pt idx="72">
                  <c:v>4.9265670731671385</c:v>
                </c:pt>
                <c:pt idx="73">
                  <c:v>5.9920226823433396</c:v>
                </c:pt>
                <c:pt idx="74">
                  <c:v>6.6467468462200809</c:v>
                </c:pt>
                <c:pt idx="75">
                  <c:v>5.1099057418847309</c:v>
                </c:pt>
                <c:pt idx="76">
                  <c:v>5.9515119836032708</c:v>
                </c:pt>
                <c:pt idx="77">
                  <c:v>6.8714967559946647</c:v>
                </c:pt>
                <c:pt idx="78">
                  <c:v>4.8957060998138999</c:v>
                </c:pt>
                <c:pt idx="79">
                  <c:v>5.9879423785268653</c:v>
                </c:pt>
                <c:pt idx="80">
                  <c:v>6.6694472119403709</c:v>
                </c:pt>
                <c:pt idx="81">
                  <c:v>5.0358580738977778</c:v>
                </c:pt>
                <c:pt idx="82">
                  <c:v>5.8925284422307476</c:v>
                </c:pt>
                <c:pt idx="83">
                  <c:v>6.8325987167747151</c:v>
                </c:pt>
                <c:pt idx="84">
                  <c:v>4.8511873493558877</c:v>
                </c:pt>
                <c:pt idx="85">
                  <c:v>5.2067637324496996</c:v>
                </c:pt>
                <c:pt idx="86">
                  <c:v>5.9787665601781805</c:v>
                </c:pt>
                <c:pt idx="87">
                  <c:v>6.8059467805828273</c:v>
                </c:pt>
                <c:pt idx="88">
                  <c:v>4.849100286344072</c:v>
                </c:pt>
                <c:pt idx="89">
                  <c:v>5.1453660243664974</c:v>
                </c:pt>
                <c:pt idx="90">
                  <c:v>5.9345849967971835</c:v>
                </c:pt>
                <c:pt idx="91">
                  <c:v>6.7847200768047724</c:v>
                </c:pt>
                <c:pt idx="92">
                  <c:v>4.8214499125796593</c:v>
                </c:pt>
                <c:pt idx="93">
                  <c:v>5.8725647041364892</c:v>
                </c:pt>
                <c:pt idx="94">
                  <c:v>6.7456546437470184</c:v>
                </c:pt>
                <c:pt idx="95">
                  <c:v>4.7759608095355439</c:v>
                </c:pt>
                <c:pt idx="96">
                  <c:v>5.2535952289302745</c:v>
                </c:pt>
                <c:pt idx="97">
                  <c:v>5.9710587692831281</c:v>
                </c:pt>
                <c:pt idx="98">
                  <c:v>6.7255199398536032</c:v>
                </c:pt>
                <c:pt idx="99">
                  <c:v>4.7819968963187929</c:v>
                </c:pt>
                <c:pt idx="100">
                  <c:v>5.2157700017237314</c:v>
                </c:pt>
                <c:pt idx="101">
                  <c:v>5.9461456506032357</c:v>
                </c:pt>
                <c:pt idx="102">
                  <c:v>6.7178229658759196</c:v>
                </c:pt>
                <c:pt idx="103">
                  <c:v>4.7694821698513419</c:v>
                </c:pt>
                <c:pt idx="104">
                  <c:v>5.9111982467035142</c:v>
                </c:pt>
                <c:pt idx="105">
                  <c:v>6.7000917066784016</c:v>
                </c:pt>
                <c:pt idx="106">
                  <c:v>4.7469331581640546</c:v>
                </c:pt>
                <c:pt idx="107">
                  <c:v>6.6866222628924836</c:v>
                </c:pt>
                <c:pt idx="108">
                  <c:v>7.7042871417748042</c:v>
                </c:pt>
                <c:pt idx="109">
                  <c:v>8.3112205753576589</c:v>
                </c:pt>
                <c:pt idx="110">
                  <c:v>6.7247491146330178</c:v>
                </c:pt>
                <c:pt idx="111">
                  <c:v>6.6674440711105207</c:v>
                </c:pt>
                <c:pt idx="112">
                  <c:v>7.7004121897281355</c:v>
                </c:pt>
                <c:pt idx="113">
                  <c:v>8.3226488630462825</c:v>
                </c:pt>
                <c:pt idx="114">
                  <c:v>6.7329655673284643</c:v>
                </c:pt>
                <c:pt idx="115">
                  <c:v>6.6438061970086357</c:v>
                </c:pt>
                <c:pt idx="116">
                  <c:v>7.6920775553615446</c:v>
                </c:pt>
                <c:pt idx="117">
                  <c:v>8.329617468414984</c:v>
                </c:pt>
                <c:pt idx="118">
                  <c:v>6.7367223377039851</c:v>
                </c:pt>
                <c:pt idx="119">
                  <c:v>7.9036433083081761</c:v>
                </c:pt>
                <c:pt idx="120">
                  <c:v>7.9364535901167956</c:v>
                </c:pt>
                <c:pt idx="121">
                  <c:v>8.370832539315689</c:v>
                </c:pt>
                <c:pt idx="122">
                  <c:v>6.6224413100281145</c:v>
                </c:pt>
                <c:pt idx="123">
                  <c:v>7.5655998503677129</c:v>
                </c:pt>
                <c:pt idx="124">
                  <c:v>8.0980269454078417</c:v>
                </c:pt>
                <c:pt idx="125">
                  <c:v>6.5215718782477206</c:v>
                </c:pt>
                <c:pt idx="126">
                  <c:v>7.8703863073783147</c:v>
                </c:pt>
                <c:pt idx="127">
                  <c:v>7.894487882431382</c:v>
                </c:pt>
                <c:pt idx="128">
                  <c:v>8.3422571663986602</c:v>
                </c:pt>
                <c:pt idx="129">
                  <c:v>6.590505880528748</c:v>
                </c:pt>
                <c:pt idx="130">
                  <c:v>7.5604450904051124</c:v>
                </c:pt>
                <c:pt idx="131">
                  <c:v>8.1196528549820073</c:v>
                </c:pt>
                <c:pt idx="132">
                  <c:v>6.5375770765838181</c:v>
                </c:pt>
                <c:pt idx="133">
                  <c:v>7.8234715293436743</c:v>
                </c:pt>
                <c:pt idx="134">
                  <c:v>7.8388643976411965</c:v>
                </c:pt>
                <c:pt idx="135">
                  <c:v>8.3000240163768559</c:v>
                </c:pt>
                <c:pt idx="136">
                  <c:v>6.5449126739246077</c:v>
                </c:pt>
                <c:pt idx="137">
                  <c:v>7.8653333926391795</c:v>
                </c:pt>
                <c:pt idx="138">
                  <c:v>7.9229716335880314</c:v>
                </c:pt>
                <c:pt idx="139">
                  <c:v>8.3088712162308092</c:v>
                </c:pt>
                <c:pt idx="140">
                  <c:v>6.5558907557791608</c:v>
                </c:pt>
                <c:pt idx="141">
                  <c:v>7.8349447016443357</c:v>
                </c:pt>
                <c:pt idx="142">
                  <c:v>7.8826301348725645</c:v>
                </c:pt>
                <c:pt idx="143">
                  <c:v>8.2838329572506382</c:v>
                </c:pt>
                <c:pt idx="144">
                  <c:v>6.5270124321334597</c:v>
                </c:pt>
                <c:pt idx="145">
                  <c:v>8.2409559689907645</c:v>
                </c:pt>
                <c:pt idx="146">
                  <c:v>6.4802953792080595</c:v>
                </c:pt>
                <c:pt idx="147">
                  <c:v>7.8373868737679651</c:v>
                </c:pt>
                <c:pt idx="148">
                  <c:v>7.9198530738570527</c:v>
                </c:pt>
                <c:pt idx="149">
                  <c:v>8.2572732899437149</c:v>
                </c:pt>
                <c:pt idx="150">
                  <c:v>6.4997035983279945</c:v>
                </c:pt>
                <c:pt idx="151">
                  <c:v>7.8228184093776925</c:v>
                </c:pt>
                <c:pt idx="152">
                  <c:v>7.8978200036763058</c:v>
                </c:pt>
                <c:pt idx="153">
                  <c:v>8.2467176495644381</c:v>
                </c:pt>
                <c:pt idx="154">
                  <c:v>6.4862679094495759</c:v>
                </c:pt>
                <c:pt idx="155">
                  <c:v>8.2261277239653374</c:v>
                </c:pt>
                <c:pt idx="156">
                  <c:v>6.4627979353513227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EC-4A2B-A56C-F4816DCBE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270288"/>
        <c:axId val="1797267376"/>
      </c:scatterChart>
      <c:valAx>
        <c:axId val="1797270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Cylinders - ALPHA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7267376"/>
        <c:crosses val="autoZero"/>
        <c:crossBetween val="midCat"/>
      </c:valAx>
      <c:valAx>
        <c:axId val="179726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Cylinders - RSE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7270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Cylinders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Cylinders!$F$1</c:f>
              <c:strCache>
                <c:ptCount val="1"/>
                <c:pt idx="0">
                  <c:v>Cylinders-RSE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Cylinders!$E$2:$E$158</c:f>
              <c:numCache>
                <c:formatCode>General</c:formatCode>
                <c:ptCount val="157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6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6</c:v>
                </c:pt>
                <c:pt idx="78">
                  <c:v>6</c:v>
                </c:pt>
                <c:pt idx="79">
                  <c:v>6</c:v>
                </c:pt>
                <c:pt idx="80">
                  <c:v>6</c:v>
                </c:pt>
                <c:pt idx="81">
                  <c:v>6</c:v>
                </c:pt>
                <c:pt idx="82">
                  <c:v>6</c:v>
                </c:pt>
                <c:pt idx="83">
                  <c:v>6</c:v>
                </c:pt>
                <c:pt idx="84">
                  <c:v>6</c:v>
                </c:pt>
                <c:pt idx="85">
                  <c:v>6</c:v>
                </c:pt>
                <c:pt idx="86">
                  <c:v>6</c:v>
                </c:pt>
                <c:pt idx="87">
                  <c:v>6</c:v>
                </c:pt>
                <c:pt idx="88">
                  <c:v>6</c:v>
                </c:pt>
                <c:pt idx="89">
                  <c:v>6</c:v>
                </c:pt>
                <c:pt idx="90">
                  <c:v>6</c:v>
                </c:pt>
                <c:pt idx="91">
                  <c:v>6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5">
                  <c:v>6</c:v>
                </c:pt>
                <c:pt idx="96">
                  <c:v>6</c:v>
                </c:pt>
                <c:pt idx="97">
                  <c:v>6</c:v>
                </c:pt>
                <c:pt idx="98">
                  <c:v>6</c:v>
                </c:pt>
                <c:pt idx="99">
                  <c:v>6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6</c:v>
                </c:pt>
                <c:pt idx="104">
                  <c:v>6</c:v>
                </c:pt>
                <c:pt idx="105">
                  <c:v>6</c:v>
                </c:pt>
                <c:pt idx="106">
                  <c:v>6</c:v>
                </c:pt>
                <c:pt idx="107">
                  <c:v>8</c:v>
                </c:pt>
                <c:pt idx="108">
                  <c:v>8</c:v>
                </c:pt>
                <c:pt idx="109">
                  <c:v>8</c:v>
                </c:pt>
                <c:pt idx="110">
                  <c:v>8</c:v>
                </c:pt>
                <c:pt idx="111">
                  <c:v>8</c:v>
                </c:pt>
                <c:pt idx="112">
                  <c:v>8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8</c:v>
                </c:pt>
                <c:pt idx="118">
                  <c:v>8</c:v>
                </c:pt>
                <c:pt idx="119">
                  <c:v>8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8</c:v>
                </c:pt>
                <c:pt idx="124">
                  <c:v>8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8</c:v>
                </c:pt>
                <c:pt idx="137">
                  <c:v>8</c:v>
                </c:pt>
                <c:pt idx="138">
                  <c:v>8</c:v>
                </c:pt>
                <c:pt idx="139">
                  <c:v>8</c:v>
                </c:pt>
                <c:pt idx="140">
                  <c:v>8</c:v>
                </c:pt>
                <c:pt idx="141">
                  <c:v>8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8</c:v>
                </c:pt>
                <c:pt idx="146">
                  <c:v>8</c:v>
                </c:pt>
                <c:pt idx="147">
                  <c:v>8</c:v>
                </c:pt>
                <c:pt idx="148">
                  <c:v>8</c:v>
                </c:pt>
                <c:pt idx="149">
                  <c:v>8</c:v>
                </c:pt>
                <c:pt idx="150">
                  <c:v>8</c:v>
                </c:pt>
                <c:pt idx="151">
                  <c:v>8</c:v>
                </c:pt>
                <c:pt idx="152">
                  <c:v>8</c:v>
                </c:pt>
                <c:pt idx="153">
                  <c:v>8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</c:numCache>
            </c:numRef>
          </c:xVal>
          <c:yVal>
            <c:numRef>
              <c:f>Cylinders!$F$2:$F$158</c:f>
              <c:numCache>
                <c:formatCode>General</c:formatCode>
                <c:ptCount val="157"/>
                <c:pt idx="0">
                  <c:v>2.7909181725218368</c:v>
                </c:pt>
                <c:pt idx="1">
                  <c:v>3.6573652764157503</c:v>
                </c:pt>
                <c:pt idx="2">
                  <c:v>2.7232337785555445</c:v>
                </c:pt>
                <c:pt idx="3">
                  <c:v>3.603071217217841</c:v>
                </c:pt>
                <c:pt idx="4">
                  <c:v>2.6418916074844794</c:v>
                </c:pt>
                <c:pt idx="5">
                  <c:v>3.535119380915158</c:v>
                </c:pt>
                <c:pt idx="6">
                  <c:v>2.8467696437280847</c:v>
                </c:pt>
                <c:pt idx="7">
                  <c:v>3.6647373810658843</c:v>
                </c:pt>
                <c:pt idx="8">
                  <c:v>2.7770353606916145</c:v>
                </c:pt>
                <c:pt idx="9">
                  <c:v>3.6103063377647073</c:v>
                </c:pt>
                <c:pt idx="10">
                  <c:v>3.5380365651838295</c:v>
                </c:pt>
                <c:pt idx="11">
                  <c:v>2.9129845117321191</c:v>
                </c:pt>
                <c:pt idx="12">
                  <c:v>3.682472882513804</c:v>
                </c:pt>
                <c:pt idx="13">
                  <c:v>2.8689068533106208</c:v>
                </c:pt>
                <c:pt idx="14">
                  <c:v>3.6498726538937758</c:v>
                </c:pt>
                <c:pt idx="15">
                  <c:v>3.6072381400539184</c:v>
                </c:pt>
                <c:pt idx="16">
                  <c:v>4.4659807859668055</c:v>
                </c:pt>
                <c:pt idx="17">
                  <c:v>5.3228547770292227</c:v>
                </c:pt>
                <c:pt idx="18">
                  <c:v>4.4416778542247526</c:v>
                </c:pt>
                <c:pt idx="19">
                  <c:v>5.3081163701217289</c:v>
                </c:pt>
                <c:pt idx="20">
                  <c:v>4.4129152401627758</c:v>
                </c:pt>
                <c:pt idx="21">
                  <c:v>5.2889182808943094</c:v>
                </c:pt>
                <c:pt idx="22">
                  <c:v>5.4602494485087574</c:v>
                </c:pt>
                <c:pt idx="23">
                  <c:v>3.2369770821344028</c:v>
                </c:pt>
                <c:pt idx="24">
                  <c:v>4.4211295189847979</c:v>
                </c:pt>
                <c:pt idx="25">
                  <c:v>5.2314370484580124</c:v>
                </c:pt>
                <c:pt idx="26">
                  <c:v>4.8004907732309317</c:v>
                </c:pt>
                <c:pt idx="27">
                  <c:v>5.4048809331647218</c:v>
                </c:pt>
                <c:pt idx="28">
                  <c:v>3.1759878555523011</c:v>
                </c:pt>
                <c:pt idx="29">
                  <c:v>4.3802257945552698</c:v>
                </c:pt>
                <c:pt idx="30">
                  <c:v>5.2072712424889644</c:v>
                </c:pt>
                <c:pt idx="31">
                  <c:v>4.7214217297058365</c:v>
                </c:pt>
                <c:pt idx="32">
                  <c:v>5.3358546407159109</c:v>
                </c:pt>
                <c:pt idx="33">
                  <c:v>3.1013408518654275</c:v>
                </c:pt>
                <c:pt idx="34">
                  <c:v>4.3256642930209699</c:v>
                </c:pt>
                <c:pt idx="35">
                  <c:v>5.1694476594151446</c:v>
                </c:pt>
                <c:pt idx="36">
                  <c:v>5.4785377857330007</c:v>
                </c:pt>
                <c:pt idx="37">
                  <c:v>3.2685888700625929</c:v>
                </c:pt>
                <c:pt idx="38">
                  <c:v>4.3800222570788181</c:v>
                </c:pt>
                <c:pt idx="39">
                  <c:v>5.1297305783568881</c:v>
                </c:pt>
                <c:pt idx="40">
                  <c:v>4.8534134788086511</c:v>
                </c:pt>
                <c:pt idx="41">
                  <c:v>5.4228787925505353</c:v>
                </c:pt>
                <c:pt idx="42">
                  <c:v>3.206506206893768</c:v>
                </c:pt>
                <c:pt idx="43">
                  <c:v>4.3408944535129335</c:v>
                </c:pt>
                <c:pt idx="44">
                  <c:v>5.1097318244601233</c:v>
                </c:pt>
                <c:pt idx="45">
                  <c:v>4.2839279206673497</c:v>
                </c:pt>
                <c:pt idx="46">
                  <c:v>5.0718943412836559</c:v>
                </c:pt>
                <c:pt idx="47">
                  <c:v>5.5071895197550367</c:v>
                </c:pt>
                <c:pt idx="48">
                  <c:v>3.3105640547885709</c:v>
                </c:pt>
                <c:pt idx="49">
                  <c:v>4.3492783919706239</c:v>
                </c:pt>
                <c:pt idx="50">
                  <c:v>5.0383875050535547</c:v>
                </c:pt>
                <c:pt idx="51">
                  <c:v>5.4736683287240426</c:v>
                </c:pt>
                <c:pt idx="52">
                  <c:v>3.2722251112678071</c:v>
                </c:pt>
                <c:pt idx="53">
                  <c:v>4.3281555931520677</c:v>
                </c:pt>
                <c:pt idx="54">
                  <c:v>5.0316114934868388</c:v>
                </c:pt>
                <c:pt idx="55">
                  <c:v>4.2969985091136786</c:v>
                </c:pt>
                <c:pt idx="56">
                  <c:v>5.0148011967002866</c:v>
                </c:pt>
                <c:pt idx="57">
                  <c:v>6.9795445556098858</c:v>
                </c:pt>
                <c:pt idx="58">
                  <c:v>4.9993582171026656</c:v>
                </c:pt>
                <c:pt idx="59">
                  <c:v>6.1393201648215943</c:v>
                </c:pt>
                <c:pt idx="60">
                  <c:v>6.8685506672410614</c:v>
                </c:pt>
                <c:pt idx="61">
                  <c:v>6.9641921737617487</c:v>
                </c:pt>
                <c:pt idx="62">
                  <c:v>4.9807940002613496</c:v>
                </c:pt>
                <c:pt idx="63">
                  <c:v>6.1360591877155706</c:v>
                </c:pt>
                <c:pt idx="64">
                  <c:v>6.8805929298703301</c:v>
                </c:pt>
                <c:pt idx="65">
                  <c:v>6.9443801095936859</c:v>
                </c:pt>
                <c:pt idx="66">
                  <c:v>4.9577701011001061</c:v>
                </c:pt>
                <c:pt idx="67">
                  <c:v>6.1283385282896212</c:v>
                </c:pt>
                <c:pt idx="68">
                  <c:v>6.8881755101796767</c:v>
                </c:pt>
                <c:pt idx="69">
                  <c:v>5.1702956327669103</c:v>
                </c:pt>
                <c:pt idx="70">
                  <c:v>5.9968377478710204</c:v>
                </c:pt>
                <c:pt idx="71">
                  <c:v>6.8967370181098406</c:v>
                </c:pt>
                <c:pt idx="72">
                  <c:v>4.9265670731671385</c:v>
                </c:pt>
                <c:pt idx="73">
                  <c:v>5.9920226823433396</c:v>
                </c:pt>
                <c:pt idx="74">
                  <c:v>6.6467468462200809</c:v>
                </c:pt>
                <c:pt idx="75">
                  <c:v>5.1099057418847309</c:v>
                </c:pt>
                <c:pt idx="76">
                  <c:v>5.9515119836032708</c:v>
                </c:pt>
                <c:pt idx="77">
                  <c:v>6.8714967559946647</c:v>
                </c:pt>
                <c:pt idx="78">
                  <c:v>4.8957060998138999</c:v>
                </c:pt>
                <c:pt idx="79">
                  <c:v>5.9879423785268653</c:v>
                </c:pt>
                <c:pt idx="80">
                  <c:v>6.6694472119403709</c:v>
                </c:pt>
                <c:pt idx="81">
                  <c:v>5.0358580738977778</c:v>
                </c:pt>
                <c:pt idx="82">
                  <c:v>5.8925284422307476</c:v>
                </c:pt>
                <c:pt idx="83">
                  <c:v>6.8325987167747151</c:v>
                </c:pt>
                <c:pt idx="84">
                  <c:v>4.8511873493558877</c:v>
                </c:pt>
                <c:pt idx="85">
                  <c:v>5.2067637324496996</c:v>
                </c:pt>
                <c:pt idx="86">
                  <c:v>5.9787665601781805</c:v>
                </c:pt>
                <c:pt idx="87">
                  <c:v>6.8059467805828273</c:v>
                </c:pt>
                <c:pt idx="88">
                  <c:v>4.849100286344072</c:v>
                </c:pt>
                <c:pt idx="89">
                  <c:v>5.1453660243664974</c:v>
                </c:pt>
                <c:pt idx="90">
                  <c:v>5.9345849967971835</c:v>
                </c:pt>
                <c:pt idx="91">
                  <c:v>6.7847200768047724</c:v>
                </c:pt>
                <c:pt idx="92">
                  <c:v>4.8214499125796593</c:v>
                </c:pt>
                <c:pt idx="93">
                  <c:v>5.8725647041364892</c:v>
                </c:pt>
                <c:pt idx="94">
                  <c:v>6.7456546437470184</c:v>
                </c:pt>
                <c:pt idx="95">
                  <c:v>4.7759608095355439</c:v>
                </c:pt>
                <c:pt idx="96">
                  <c:v>5.2535952289302745</c:v>
                </c:pt>
                <c:pt idx="97">
                  <c:v>5.9710587692831281</c:v>
                </c:pt>
                <c:pt idx="98">
                  <c:v>6.7255199398536032</c:v>
                </c:pt>
                <c:pt idx="99">
                  <c:v>4.7819968963187929</c:v>
                </c:pt>
                <c:pt idx="100">
                  <c:v>5.2157700017237314</c:v>
                </c:pt>
                <c:pt idx="101">
                  <c:v>5.9461456506032357</c:v>
                </c:pt>
                <c:pt idx="102">
                  <c:v>6.7178229658759196</c:v>
                </c:pt>
                <c:pt idx="103">
                  <c:v>4.7694821698513419</c:v>
                </c:pt>
                <c:pt idx="104">
                  <c:v>5.9111982467035142</c:v>
                </c:pt>
                <c:pt idx="105">
                  <c:v>6.7000917066784016</c:v>
                </c:pt>
                <c:pt idx="106">
                  <c:v>4.7469331581640546</c:v>
                </c:pt>
                <c:pt idx="107">
                  <c:v>6.6866222628924836</c:v>
                </c:pt>
                <c:pt idx="108">
                  <c:v>7.7042871417748042</c:v>
                </c:pt>
                <c:pt idx="109">
                  <c:v>8.3112205753576589</c:v>
                </c:pt>
                <c:pt idx="110">
                  <c:v>6.7247491146330178</c:v>
                </c:pt>
                <c:pt idx="111">
                  <c:v>6.6674440711105207</c:v>
                </c:pt>
                <c:pt idx="112">
                  <c:v>7.7004121897281355</c:v>
                </c:pt>
                <c:pt idx="113">
                  <c:v>8.3226488630462825</c:v>
                </c:pt>
                <c:pt idx="114">
                  <c:v>6.7329655673284643</c:v>
                </c:pt>
                <c:pt idx="115">
                  <c:v>6.6438061970086357</c:v>
                </c:pt>
                <c:pt idx="116">
                  <c:v>7.6920775553615446</c:v>
                </c:pt>
                <c:pt idx="117">
                  <c:v>8.329617468414984</c:v>
                </c:pt>
                <c:pt idx="118">
                  <c:v>6.7367223377039851</c:v>
                </c:pt>
                <c:pt idx="119">
                  <c:v>7.9036433083081761</c:v>
                </c:pt>
                <c:pt idx="120">
                  <c:v>7.9364535901167956</c:v>
                </c:pt>
                <c:pt idx="121">
                  <c:v>8.370832539315689</c:v>
                </c:pt>
                <c:pt idx="122">
                  <c:v>6.6224413100281145</c:v>
                </c:pt>
                <c:pt idx="123">
                  <c:v>7.5655998503677129</c:v>
                </c:pt>
                <c:pt idx="124">
                  <c:v>8.0980269454078417</c:v>
                </c:pt>
                <c:pt idx="125">
                  <c:v>6.5215718782477206</c:v>
                </c:pt>
                <c:pt idx="126">
                  <c:v>7.8703863073783147</c:v>
                </c:pt>
                <c:pt idx="127">
                  <c:v>7.894487882431382</c:v>
                </c:pt>
                <c:pt idx="128">
                  <c:v>8.3422571663986602</c:v>
                </c:pt>
                <c:pt idx="129">
                  <c:v>6.590505880528748</c:v>
                </c:pt>
                <c:pt idx="130">
                  <c:v>7.5604450904051124</c:v>
                </c:pt>
                <c:pt idx="131">
                  <c:v>8.1196528549820073</c:v>
                </c:pt>
                <c:pt idx="132">
                  <c:v>6.5375770765838181</c:v>
                </c:pt>
                <c:pt idx="133">
                  <c:v>7.8234715293436743</c:v>
                </c:pt>
                <c:pt idx="134">
                  <c:v>7.8388643976411965</c:v>
                </c:pt>
                <c:pt idx="135">
                  <c:v>8.3000240163768559</c:v>
                </c:pt>
                <c:pt idx="136">
                  <c:v>6.5449126739246077</c:v>
                </c:pt>
                <c:pt idx="137">
                  <c:v>7.8653333926391795</c:v>
                </c:pt>
                <c:pt idx="138">
                  <c:v>7.9229716335880314</c:v>
                </c:pt>
                <c:pt idx="139">
                  <c:v>8.3088712162308092</c:v>
                </c:pt>
                <c:pt idx="140">
                  <c:v>6.5558907557791608</c:v>
                </c:pt>
                <c:pt idx="141">
                  <c:v>7.8349447016443357</c:v>
                </c:pt>
                <c:pt idx="142">
                  <c:v>7.8826301348725645</c:v>
                </c:pt>
                <c:pt idx="143">
                  <c:v>8.2838329572506382</c:v>
                </c:pt>
                <c:pt idx="144">
                  <c:v>6.5270124321334597</c:v>
                </c:pt>
                <c:pt idx="145">
                  <c:v>8.2409559689907645</c:v>
                </c:pt>
                <c:pt idx="146">
                  <c:v>6.4802953792080595</c:v>
                </c:pt>
                <c:pt idx="147">
                  <c:v>7.8373868737679651</c:v>
                </c:pt>
                <c:pt idx="148">
                  <c:v>7.9198530738570527</c:v>
                </c:pt>
                <c:pt idx="149">
                  <c:v>8.2572732899437149</c:v>
                </c:pt>
                <c:pt idx="150">
                  <c:v>6.4997035983279945</c:v>
                </c:pt>
                <c:pt idx="151">
                  <c:v>7.8228184093776925</c:v>
                </c:pt>
                <c:pt idx="152">
                  <c:v>7.8978200036763058</c:v>
                </c:pt>
                <c:pt idx="153">
                  <c:v>8.2467176495644381</c:v>
                </c:pt>
                <c:pt idx="154">
                  <c:v>6.4862679094495759</c:v>
                </c:pt>
                <c:pt idx="155">
                  <c:v>8.2261277239653374</c:v>
                </c:pt>
                <c:pt idx="156">
                  <c:v>6.4627979353513227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D3-4EB1-B743-5AB470010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6837296"/>
        <c:axId val="1456829392"/>
      </c:scatterChart>
      <c:valAx>
        <c:axId val="1456837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Cylinders - ALPHA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6829392"/>
        <c:crosses val="autoZero"/>
        <c:crossBetween val="midCat"/>
      </c:valAx>
      <c:valAx>
        <c:axId val="145682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Cylinders - RSE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6837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Cylinders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Cylinders!$F$1</c:f>
              <c:strCache>
                <c:ptCount val="1"/>
                <c:pt idx="0">
                  <c:v>Cylinders-RSE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Cylinders!$E$2:$E$158</c:f>
              <c:numCache>
                <c:formatCode>General</c:formatCode>
                <c:ptCount val="157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6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6</c:v>
                </c:pt>
                <c:pt idx="78">
                  <c:v>6</c:v>
                </c:pt>
                <c:pt idx="79">
                  <c:v>6</c:v>
                </c:pt>
                <c:pt idx="80">
                  <c:v>6</c:v>
                </c:pt>
                <c:pt idx="81">
                  <c:v>6</c:v>
                </c:pt>
                <c:pt idx="82">
                  <c:v>6</c:v>
                </c:pt>
                <c:pt idx="83">
                  <c:v>6</c:v>
                </c:pt>
                <c:pt idx="84">
                  <c:v>6</c:v>
                </c:pt>
                <c:pt idx="85">
                  <c:v>6</c:v>
                </c:pt>
                <c:pt idx="86">
                  <c:v>6</c:v>
                </c:pt>
                <c:pt idx="87">
                  <c:v>6</c:v>
                </c:pt>
                <c:pt idx="88">
                  <c:v>6</c:v>
                </c:pt>
                <c:pt idx="89">
                  <c:v>6</c:v>
                </c:pt>
                <c:pt idx="90">
                  <c:v>6</c:v>
                </c:pt>
                <c:pt idx="91">
                  <c:v>6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5">
                  <c:v>6</c:v>
                </c:pt>
                <c:pt idx="96">
                  <c:v>6</c:v>
                </c:pt>
                <c:pt idx="97">
                  <c:v>6</c:v>
                </c:pt>
                <c:pt idx="98">
                  <c:v>6</c:v>
                </c:pt>
                <c:pt idx="99">
                  <c:v>6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6</c:v>
                </c:pt>
                <c:pt idx="104">
                  <c:v>6</c:v>
                </c:pt>
                <c:pt idx="105">
                  <c:v>6</c:v>
                </c:pt>
                <c:pt idx="106">
                  <c:v>6</c:v>
                </c:pt>
                <c:pt idx="107">
                  <c:v>8</c:v>
                </c:pt>
                <c:pt idx="108">
                  <c:v>8</c:v>
                </c:pt>
                <c:pt idx="109">
                  <c:v>8</c:v>
                </c:pt>
                <c:pt idx="110">
                  <c:v>8</c:v>
                </c:pt>
                <c:pt idx="111">
                  <c:v>8</c:v>
                </c:pt>
                <c:pt idx="112">
                  <c:v>8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8</c:v>
                </c:pt>
                <c:pt idx="118">
                  <c:v>8</c:v>
                </c:pt>
                <c:pt idx="119">
                  <c:v>8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8</c:v>
                </c:pt>
                <c:pt idx="124">
                  <c:v>8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8</c:v>
                </c:pt>
                <c:pt idx="137">
                  <c:v>8</c:v>
                </c:pt>
                <c:pt idx="138">
                  <c:v>8</c:v>
                </c:pt>
                <c:pt idx="139">
                  <c:v>8</c:v>
                </c:pt>
                <c:pt idx="140">
                  <c:v>8</c:v>
                </c:pt>
                <c:pt idx="141">
                  <c:v>8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8</c:v>
                </c:pt>
                <c:pt idx="146">
                  <c:v>8</c:v>
                </c:pt>
                <c:pt idx="147">
                  <c:v>8</c:v>
                </c:pt>
                <c:pt idx="148">
                  <c:v>8</c:v>
                </c:pt>
                <c:pt idx="149">
                  <c:v>8</c:v>
                </c:pt>
                <c:pt idx="150">
                  <c:v>8</c:v>
                </c:pt>
                <c:pt idx="151">
                  <c:v>8</c:v>
                </c:pt>
                <c:pt idx="152">
                  <c:v>8</c:v>
                </c:pt>
                <c:pt idx="153">
                  <c:v>8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</c:numCache>
            </c:numRef>
          </c:xVal>
          <c:yVal>
            <c:numRef>
              <c:f>Cylinders!$F$2:$F$158</c:f>
              <c:numCache>
                <c:formatCode>General</c:formatCode>
                <c:ptCount val="157"/>
                <c:pt idx="0">
                  <c:v>2.7909181725218368</c:v>
                </c:pt>
                <c:pt idx="1">
                  <c:v>3.6573652764157503</c:v>
                </c:pt>
                <c:pt idx="2">
                  <c:v>2.7232337785555445</c:v>
                </c:pt>
                <c:pt idx="3">
                  <c:v>3.603071217217841</c:v>
                </c:pt>
                <c:pt idx="4">
                  <c:v>2.6418916074844794</c:v>
                </c:pt>
                <c:pt idx="5">
                  <c:v>3.535119380915158</c:v>
                </c:pt>
                <c:pt idx="6">
                  <c:v>2.8467696437280847</c:v>
                </c:pt>
                <c:pt idx="7">
                  <c:v>3.6647373810658843</c:v>
                </c:pt>
                <c:pt idx="8">
                  <c:v>2.7770353606916145</c:v>
                </c:pt>
                <c:pt idx="9">
                  <c:v>3.6103063377647073</c:v>
                </c:pt>
                <c:pt idx="10">
                  <c:v>3.5380365651838295</c:v>
                </c:pt>
                <c:pt idx="11">
                  <c:v>2.9129845117321191</c:v>
                </c:pt>
                <c:pt idx="12">
                  <c:v>3.682472882513804</c:v>
                </c:pt>
                <c:pt idx="13">
                  <c:v>2.8689068533106208</c:v>
                </c:pt>
                <c:pt idx="14">
                  <c:v>3.6498726538937758</c:v>
                </c:pt>
                <c:pt idx="15">
                  <c:v>3.6072381400539184</c:v>
                </c:pt>
                <c:pt idx="16">
                  <c:v>4.4659807859668055</c:v>
                </c:pt>
                <c:pt idx="17">
                  <c:v>5.3228547770292227</c:v>
                </c:pt>
                <c:pt idx="18">
                  <c:v>4.4416778542247526</c:v>
                </c:pt>
                <c:pt idx="19">
                  <c:v>5.3081163701217289</c:v>
                </c:pt>
                <c:pt idx="20">
                  <c:v>4.4129152401627758</c:v>
                </c:pt>
                <c:pt idx="21">
                  <c:v>5.2889182808943094</c:v>
                </c:pt>
                <c:pt idx="22">
                  <c:v>5.4602494485087574</c:v>
                </c:pt>
                <c:pt idx="23">
                  <c:v>3.2369770821344028</c:v>
                </c:pt>
                <c:pt idx="24">
                  <c:v>4.4211295189847979</c:v>
                </c:pt>
                <c:pt idx="25">
                  <c:v>5.2314370484580124</c:v>
                </c:pt>
                <c:pt idx="26">
                  <c:v>4.8004907732309317</c:v>
                </c:pt>
                <c:pt idx="27">
                  <c:v>5.4048809331647218</c:v>
                </c:pt>
                <c:pt idx="28">
                  <c:v>3.1759878555523011</c:v>
                </c:pt>
                <c:pt idx="29">
                  <c:v>4.3802257945552698</c:v>
                </c:pt>
                <c:pt idx="30">
                  <c:v>5.2072712424889644</c:v>
                </c:pt>
                <c:pt idx="31">
                  <c:v>4.7214217297058365</c:v>
                </c:pt>
                <c:pt idx="32">
                  <c:v>5.3358546407159109</c:v>
                </c:pt>
                <c:pt idx="33">
                  <c:v>3.1013408518654275</c:v>
                </c:pt>
                <c:pt idx="34">
                  <c:v>4.3256642930209699</c:v>
                </c:pt>
                <c:pt idx="35">
                  <c:v>5.1694476594151446</c:v>
                </c:pt>
                <c:pt idx="36">
                  <c:v>5.4785377857330007</c:v>
                </c:pt>
                <c:pt idx="37">
                  <c:v>3.2685888700625929</c:v>
                </c:pt>
                <c:pt idx="38">
                  <c:v>4.3800222570788181</c:v>
                </c:pt>
                <c:pt idx="39">
                  <c:v>5.1297305783568881</c:v>
                </c:pt>
                <c:pt idx="40">
                  <c:v>4.8534134788086511</c:v>
                </c:pt>
                <c:pt idx="41">
                  <c:v>5.4228787925505353</c:v>
                </c:pt>
                <c:pt idx="42">
                  <c:v>3.206506206893768</c:v>
                </c:pt>
                <c:pt idx="43">
                  <c:v>4.3408944535129335</c:v>
                </c:pt>
                <c:pt idx="44">
                  <c:v>5.1097318244601233</c:v>
                </c:pt>
                <c:pt idx="45">
                  <c:v>4.2839279206673497</c:v>
                </c:pt>
                <c:pt idx="46">
                  <c:v>5.0718943412836559</c:v>
                </c:pt>
                <c:pt idx="47">
                  <c:v>5.5071895197550367</c:v>
                </c:pt>
                <c:pt idx="48">
                  <c:v>3.3105640547885709</c:v>
                </c:pt>
                <c:pt idx="49">
                  <c:v>4.3492783919706239</c:v>
                </c:pt>
                <c:pt idx="50">
                  <c:v>5.0383875050535547</c:v>
                </c:pt>
                <c:pt idx="51">
                  <c:v>5.4736683287240426</c:v>
                </c:pt>
                <c:pt idx="52">
                  <c:v>3.2722251112678071</c:v>
                </c:pt>
                <c:pt idx="53">
                  <c:v>4.3281555931520677</c:v>
                </c:pt>
                <c:pt idx="54">
                  <c:v>5.0316114934868388</c:v>
                </c:pt>
                <c:pt idx="55">
                  <c:v>4.2969985091136786</c:v>
                </c:pt>
                <c:pt idx="56">
                  <c:v>5.0148011967002866</c:v>
                </c:pt>
                <c:pt idx="57">
                  <c:v>6.9795445556098858</c:v>
                </c:pt>
                <c:pt idx="58">
                  <c:v>4.9993582171026656</c:v>
                </c:pt>
                <c:pt idx="59">
                  <c:v>6.1393201648215943</c:v>
                </c:pt>
                <c:pt idx="60">
                  <c:v>6.8685506672410614</c:v>
                </c:pt>
                <c:pt idx="61">
                  <c:v>6.9641921737617487</c:v>
                </c:pt>
                <c:pt idx="62">
                  <c:v>4.9807940002613496</c:v>
                </c:pt>
                <c:pt idx="63">
                  <c:v>6.1360591877155706</c:v>
                </c:pt>
                <c:pt idx="64">
                  <c:v>6.8805929298703301</c:v>
                </c:pt>
                <c:pt idx="65">
                  <c:v>6.9443801095936859</c:v>
                </c:pt>
                <c:pt idx="66">
                  <c:v>4.9577701011001061</c:v>
                </c:pt>
                <c:pt idx="67">
                  <c:v>6.1283385282896212</c:v>
                </c:pt>
                <c:pt idx="68">
                  <c:v>6.8881755101796767</c:v>
                </c:pt>
                <c:pt idx="69">
                  <c:v>5.1702956327669103</c:v>
                </c:pt>
                <c:pt idx="70">
                  <c:v>5.9968377478710204</c:v>
                </c:pt>
                <c:pt idx="71">
                  <c:v>6.8967370181098406</c:v>
                </c:pt>
                <c:pt idx="72">
                  <c:v>4.9265670731671385</c:v>
                </c:pt>
                <c:pt idx="73">
                  <c:v>5.9920226823433396</c:v>
                </c:pt>
                <c:pt idx="74">
                  <c:v>6.6467468462200809</c:v>
                </c:pt>
                <c:pt idx="75">
                  <c:v>5.1099057418847309</c:v>
                </c:pt>
                <c:pt idx="76">
                  <c:v>5.9515119836032708</c:v>
                </c:pt>
                <c:pt idx="77">
                  <c:v>6.8714967559946647</c:v>
                </c:pt>
                <c:pt idx="78">
                  <c:v>4.8957060998138999</c:v>
                </c:pt>
                <c:pt idx="79">
                  <c:v>5.9879423785268653</c:v>
                </c:pt>
                <c:pt idx="80">
                  <c:v>6.6694472119403709</c:v>
                </c:pt>
                <c:pt idx="81">
                  <c:v>5.0358580738977778</c:v>
                </c:pt>
                <c:pt idx="82">
                  <c:v>5.8925284422307476</c:v>
                </c:pt>
                <c:pt idx="83">
                  <c:v>6.8325987167747151</c:v>
                </c:pt>
                <c:pt idx="84">
                  <c:v>4.8511873493558877</c:v>
                </c:pt>
                <c:pt idx="85">
                  <c:v>5.2067637324496996</c:v>
                </c:pt>
                <c:pt idx="86">
                  <c:v>5.9787665601781805</c:v>
                </c:pt>
                <c:pt idx="87">
                  <c:v>6.8059467805828273</c:v>
                </c:pt>
                <c:pt idx="88">
                  <c:v>4.849100286344072</c:v>
                </c:pt>
                <c:pt idx="89">
                  <c:v>5.1453660243664974</c:v>
                </c:pt>
                <c:pt idx="90">
                  <c:v>5.9345849967971835</c:v>
                </c:pt>
                <c:pt idx="91">
                  <c:v>6.7847200768047724</c:v>
                </c:pt>
                <c:pt idx="92">
                  <c:v>4.8214499125796593</c:v>
                </c:pt>
                <c:pt idx="93">
                  <c:v>5.8725647041364892</c:v>
                </c:pt>
                <c:pt idx="94">
                  <c:v>6.7456546437470184</c:v>
                </c:pt>
                <c:pt idx="95">
                  <c:v>4.7759608095355439</c:v>
                </c:pt>
                <c:pt idx="96">
                  <c:v>5.2535952289302745</c:v>
                </c:pt>
                <c:pt idx="97">
                  <c:v>5.9710587692831281</c:v>
                </c:pt>
                <c:pt idx="98">
                  <c:v>6.7255199398536032</c:v>
                </c:pt>
                <c:pt idx="99">
                  <c:v>4.7819968963187929</c:v>
                </c:pt>
                <c:pt idx="100">
                  <c:v>5.2157700017237314</c:v>
                </c:pt>
                <c:pt idx="101">
                  <c:v>5.9461456506032357</c:v>
                </c:pt>
                <c:pt idx="102">
                  <c:v>6.7178229658759196</c:v>
                </c:pt>
                <c:pt idx="103">
                  <c:v>4.7694821698513419</c:v>
                </c:pt>
                <c:pt idx="104">
                  <c:v>5.9111982467035142</c:v>
                </c:pt>
                <c:pt idx="105">
                  <c:v>6.7000917066784016</c:v>
                </c:pt>
                <c:pt idx="106">
                  <c:v>4.7469331581640546</c:v>
                </c:pt>
                <c:pt idx="107">
                  <c:v>6.6866222628924836</c:v>
                </c:pt>
                <c:pt idx="108">
                  <c:v>7.7042871417748042</c:v>
                </c:pt>
                <c:pt idx="109">
                  <c:v>8.3112205753576589</c:v>
                </c:pt>
                <c:pt idx="110">
                  <c:v>6.7247491146330178</c:v>
                </c:pt>
                <c:pt idx="111">
                  <c:v>6.6674440711105207</c:v>
                </c:pt>
                <c:pt idx="112">
                  <c:v>7.7004121897281355</c:v>
                </c:pt>
                <c:pt idx="113">
                  <c:v>8.3226488630462825</c:v>
                </c:pt>
                <c:pt idx="114">
                  <c:v>6.7329655673284643</c:v>
                </c:pt>
                <c:pt idx="115">
                  <c:v>6.6438061970086357</c:v>
                </c:pt>
                <c:pt idx="116">
                  <c:v>7.6920775553615446</c:v>
                </c:pt>
                <c:pt idx="117">
                  <c:v>8.329617468414984</c:v>
                </c:pt>
                <c:pt idx="118">
                  <c:v>6.7367223377039851</c:v>
                </c:pt>
                <c:pt idx="119">
                  <c:v>7.9036433083081761</c:v>
                </c:pt>
                <c:pt idx="120">
                  <c:v>7.9364535901167956</c:v>
                </c:pt>
                <c:pt idx="121">
                  <c:v>8.370832539315689</c:v>
                </c:pt>
                <c:pt idx="122">
                  <c:v>6.6224413100281145</c:v>
                </c:pt>
                <c:pt idx="123">
                  <c:v>7.5655998503677129</c:v>
                </c:pt>
                <c:pt idx="124">
                  <c:v>8.0980269454078417</c:v>
                </c:pt>
                <c:pt idx="125">
                  <c:v>6.5215718782477206</c:v>
                </c:pt>
                <c:pt idx="126">
                  <c:v>7.8703863073783147</c:v>
                </c:pt>
                <c:pt idx="127">
                  <c:v>7.894487882431382</c:v>
                </c:pt>
                <c:pt idx="128">
                  <c:v>8.3422571663986602</c:v>
                </c:pt>
                <c:pt idx="129">
                  <c:v>6.590505880528748</c:v>
                </c:pt>
                <c:pt idx="130">
                  <c:v>7.5604450904051124</c:v>
                </c:pt>
                <c:pt idx="131">
                  <c:v>8.1196528549820073</c:v>
                </c:pt>
                <c:pt idx="132">
                  <c:v>6.5375770765838181</c:v>
                </c:pt>
                <c:pt idx="133">
                  <c:v>7.8234715293436743</c:v>
                </c:pt>
                <c:pt idx="134">
                  <c:v>7.8388643976411965</c:v>
                </c:pt>
                <c:pt idx="135">
                  <c:v>8.3000240163768559</c:v>
                </c:pt>
                <c:pt idx="136">
                  <c:v>6.5449126739246077</c:v>
                </c:pt>
                <c:pt idx="137">
                  <c:v>7.8653333926391795</c:v>
                </c:pt>
                <c:pt idx="138">
                  <c:v>7.9229716335880314</c:v>
                </c:pt>
                <c:pt idx="139">
                  <c:v>8.3088712162308092</c:v>
                </c:pt>
                <c:pt idx="140">
                  <c:v>6.5558907557791608</c:v>
                </c:pt>
                <c:pt idx="141">
                  <c:v>7.8349447016443357</c:v>
                </c:pt>
                <c:pt idx="142">
                  <c:v>7.8826301348725645</c:v>
                </c:pt>
                <c:pt idx="143">
                  <c:v>8.2838329572506382</c:v>
                </c:pt>
                <c:pt idx="144">
                  <c:v>6.5270124321334597</c:v>
                </c:pt>
                <c:pt idx="145">
                  <c:v>8.2409559689907645</c:v>
                </c:pt>
                <c:pt idx="146">
                  <c:v>6.4802953792080595</c:v>
                </c:pt>
                <c:pt idx="147">
                  <c:v>7.8373868737679651</c:v>
                </c:pt>
                <c:pt idx="148">
                  <c:v>7.9198530738570527</c:v>
                </c:pt>
                <c:pt idx="149">
                  <c:v>8.2572732899437149</c:v>
                </c:pt>
                <c:pt idx="150">
                  <c:v>6.4997035983279945</c:v>
                </c:pt>
                <c:pt idx="151">
                  <c:v>7.8228184093776925</c:v>
                </c:pt>
                <c:pt idx="152">
                  <c:v>7.8978200036763058</c:v>
                </c:pt>
                <c:pt idx="153">
                  <c:v>8.2467176495644381</c:v>
                </c:pt>
                <c:pt idx="154">
                  <c:v>6.4862679094495759</c:v>
                </c:pt>
                <c:pt idx="155">
                  <c:v>8.2261277239653374</c:v>
                </c:pt>
                <c:pt idx="156">
                  <c:v>6.4627979353513227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45-4C53-B9CE-760A024CA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1912736"/>
        <c:axId val="1441705968"/>
      </c:scatterChart>
      <c:valAx>
        <c:axId val="1451912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Cylinders - ALPHA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1705968"/>
        <c:crosses val="autoZero"/>
        <c:crossBetween val="midCat"/>
      </c:valAx>
      <c:valAx>
        <c:axId val="1441705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Cylinders - RSE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1912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4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chart" Target="../charts/chart2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4" Type="http://schemas.openxmlformats.org/officeDocument/2006/relationships/chart" Target="../charts/chart27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4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14</xdr:col>
      <xdr:colOff>304800</xdr:colOff>
      <xdr:row>16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8A0D92CF-AC23-0FCB-BD38-6A1ADDC5DA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14</xdr:col>
      <xdr:colOff>304800</xdr:colOff>
      <xdr:row>16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B87D0EC9-C925-F2AB-1BC5-4476E689D8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14</xdr:col>
      <xdr:colOff>304800</xdr:colOff>
      <xdr:row>16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E66AAA81-06B1-DDBB-1360-A682464063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14</xdr:col>
      <xdr:colOff>304800</xdr:colOff>
      <xdr:row>16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DD1EA1D-A6F6-48CE-89F6-F4E23E6E89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14</xdr:col>
      <xdr:colOff>304800</xdr:colOff>
      <xdr:row>16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8CC25EB-254A-C807-5464-72689D267E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14</xdr:col>
      <xdr:colOff>304800</xdr:colOff>
      <xdr:row>16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3B641EB-E8FC-5AF0-A8BA-C0844EFEBD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14</xdr:col>
      <xdr:colOff>304800</xdr:colOff>
      <xdr:row>16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6AD37B5-F889-6392-250A-06DD7772B2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14</xdr:col>
      <xdr:colOff>304800</xdr:colOff>
      <xdr:row>16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F3423E-806A-4024-A85D-4FDB30FCB4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14</xdr:col>
      <xdr:colOff>304800</xdr:colOff>
      <xdr:row>16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EA8DE20-3E82-6E1B-C55C-D6719E3CA7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14</xdr:col>
      <xdr:colOff>304800</xdr:colOff>
      <xdr:row>16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30B4D9F-7E18-FBB8-E039-509EB8D4FB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14</xdr:col>
      <xdr:colOff>304800</xdr:colOff>
      <xdr:row>16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8485C44-3400-6C43-C4F4-DA12F8F55E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14</xdr:col>
      <xdr:colOff>304800</xdr:colOff>
      <xdr:row>16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2DD9C33-169D-45C8-8C00-34213ECFE0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14</xdr:col>
      <xdr:colOff>304800</xdr:colOff>
      <xdr:row>16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E67C8CB-E8CF-0630-3A75-E9F587E781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14</xdr:col>
      <xdr:colOff>304800</xdr:colOff>
      <xdr:row>16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9B67FEF-5DFA-B6E2-F26F-606981B2DD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14</xdr:col>
      <xdr:colOff>304800</xdr:colOff>
      <xdr:row>16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8276F43-1191-DD66-9DF5-BD50102BD9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14</xdr:col>
      <xdr:colOff>304800</xdr:colOff>
      <xdr:row>16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5318F44-DDBD-4488-920B-B9FD8E735B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14</xdr:col>
      <xdr:colOff>304800</xdr:colOff>
      <xdr:row>16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553B3C8-C73E-FC71-FFBF-31D27CC2C9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14</xdr:col>
      <xdr:colOff>304800</xdr:colOff>
      <xdr:row>16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0FC4F7E-6967-7D94-EAAC-4935EFE612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14</xdr:col>
      <xdr:colOff>304800</xdr:colOff>
      <xdr:row>16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5CAC37A-6A8F-C06A-5D3B-F33725B0BA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14</xdr:col>
      <xdr:colOff>304800</xdr:colOff>
      <xdr:row>16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3C7674-5ED8-4205-884D-4DDF65FBBA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14</xdr:col>
      <xdr:colOff>304800</xdr:colOff>
      <xdr:row>16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11615EF-8EC8-E43A-C841-9AB2B20594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14</xdr:col>
      <xdr:colOff>304800</xdr:colOff>
      <xdr:row>16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F7DFBAD-03D7-22EE-19FE-7B3AB5359A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14</xdr:col>
      <xdr:colOff>304800</xdr:colOff>
      <xdr:row>16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942C06F-981D-B394-8EE9-58DC7CF588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14</xdr:col>
      <xdr:colOff>304800</xdr:colOff>
      <xdr:row>16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FA278C-4BA7-4867-81E5-6E8771AE35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14</xdr:col>
      <xdr:colOff>304800</xdr:colOff>
      <xdr:row>16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E70EE1E-2DE7-2837-0A6D-C434E07948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14</xdr:col>
      <xdr:colOff>304800</xdr:colOff>
      <xdr:row>16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5170062-6EEB-D1E3-3178-BDDDD82019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14</xdr:col>
      <xdr:colOff>304800</xdr:colOff>
      <xdr:row>16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738DB6C-C2A4-3E4B-11F6-69275E33B3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14</xdr:col>
      <xdr:colOff>304800</xdr:colOff>
      <xdr:row>16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ECB744C-E973-44D1-93BB-0DCE43B2DC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14</xdr:col>
      <xdr:colOff>304800</xdr:colOff>
      <xdr:row>16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9407ACB-CA5A-5537-C044-2D6AED19A9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14</xdr:col>
      <xdr:colOff>304800</xdr:colOff>
      <xdr:row>16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3D8B546-510F-F47A-1A1F-3E93CBF1FC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14</xdr:col>
      <xdr:colOff>304800</xdr:colOff>
      <xdr:row>16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FA0AA49-1625-B2CD-91E2-C07B7F38EC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6DEFF-8C35-4DAF-BE71-5EA2F8D7509A}">
  <sheetPr codeName="Sheet18"/>
  <dimension ref="A1:B30"/>
  <sheetViews>
    <sheetView workbookViewId="0">
      <selection activeCell="C5" sqref="C5"/>
    </sheetView>
  </sheetViews>
  <sheetFormatPr defaultRowHeight="14.4" x14ac:dyDescent="0.3"/>
  <cols>
    <col min="1" max="1" width="29.5546875" customWidth="1"/>
    <col min="2" max="2" width="10.33203125" customWidth="1"/>
  </cols>
  <sheetData>
    <row r="1" spans="1:2" x14ac:dyDescent="0.3">
      <c r="A1" t="s">
        <v>0</v>
      </c>
      <c r="B1" t="s">
        <v>301</v>
      </c>
    </row>
    <row r="2" spans="1:2" x14ac:dyDescent="0.3">
      <c r="A2" t="s">
        <v>1</v>
      </c>
    </row>
    <row r="3" spans="1:2" x14ac:dyDescent="0.3">
      <c r="A3" t="s">
        <v>2</v>
      </c>
    </row>
    <row r="4" spans="1:2" x14ac:dyDescent="0.3">
      <c r="A4" t="s">
        <v>3</v>
      </c>
    </row>
    <row r="6" spans="1:2" x14ac:dyDescent="0.3">
      <c r="A6" t="s">
        <v>4</v>
      </c>
      <c r="B6" t="s">
        <v>5</v>
      </c>
    </row>
    <row r="7" spans="1:2" x14ac:dyDescent="0.3">
      <c r="A7" t="s">
        <v>6</v>
      </c>
      <c r="B7" t="s">
        <v>7</v>
      </c>
    </row>
    <row r="8" spans="1:2" x14ac:dyDescent="0.3">
      <c r="A8" t="s">
        <v>8</v>
      </c>
      <c r="B8" t="s">
        <v>9</v>
      </c>
    </row>
    <row r="9" spans="1:2" x14ac:dyDescent="0.3">
      <c r="A9" t="s">
        <v>10</v>
      </c>
      <c r="B9" t="s">
        <v>11</v>
      </c>
    </row>
    <row r="10" spans="1:2" x14ac:dyDescent="0.3">
      <c r="A10" t="s">
        <v>12</v>
      </c>
      <c r="B10" t="s">
        <v>13</v>
      </c>
    </row>
    <row r="11" spans="1:2" x14ac:dyDescent="0.3">
      <c r="A11" t="s">
        <v>14</v>
      </c>
      <c r="B11" t="s">
        <v>15</v>
      </c>
    </row>
    <row r="13" spans="1:2" x14ac:dyDescent="0.3">
      <c r="A13" t="s">
        <v>16</v>
      </c>
      <c r="B13" t="s">
        <v>17</v>
      </c>
    </row>
    <row r="14" spans="1:2" x14ac:dyDescent="0.3">
      <c r="A14" t="s">
        <v>18</v>
      </c>
      <c r="B14" t="s">
        <v>19</v>
      </c>
    </row>
    <row r="16" spans="1:2" x14ac:dyDescent="0.3">
      <c r="A16" t="s">
        <v>20</v>
      </c>
      <c r="B16" t="s">
        <v>49</v>
      </c>
    </row>
    <row r="17" spans="1:2" x14ac:dyDescent="0.3">
      <c r="A17" t="s">
        <v>21</v>
      </c>
      <c r="B17" t="s">
        <v>50</v>
      </c>
    </row>
    <row r="18" spans="1:2" x14ac:dyDescent="0.3">
      <c r="A18" t="s">
        <v>22</v>
      </c>
      <c r="B18" t="s">
        <v>51</v>
      </c>
    </row>
    <row r="19" spans="1:2" x14ac:dyDescent="0.3">
      <c r="A19" t="s">
        <v>23</v>
      </c>
      <c r="B19" t="s">
        <v>52</v>
      </c>
    </row>
    <row r="23" spans="1:2" x14ac:dyDescent="0.3">
      <c r="A23" t="s">
        <v>24</v>
      </c>
      <c r="B23" t="s">
        <v>45</v>
      </c>
    </row>
    <row r="24" spans="1:2" x14ac:dyDescent="0.3">
      <c r="A24" t="s">
        <v>25</v>
      </c>
      <c r="B24" t="s">
        <v>46</v>
      </c>
    </row>
    <row r="25" spans="1:2" x14ac:dyDescent="0.3">
      <c r="A25" t="s">
        <v>26</v>
      </c>
      <c r="B25" t="s">
        <v>53</v>
      </c>
    </row>
    <row r="26" spans="1:2" x14ac:dyDescent="0.3">
      <c r="A26" t="s">
        <v>27</v>
      </c>
      <c r="B26" t="s">
        <v>54</v>
      </c>
    </row>
    <row r="27" spans="1:2" x14ac:dyDescent="0.3">
      <c r="A27" t="s">
        <v>28</v>
      </c>
      <c r="B27" t="s">
        <v>55</v>
      </c>
    </row>
    <row r="28" spans="1:2" x14ac:dyDescent="0.3">
      <c r="A28" t="s">
        <v>29</v>
      </c>
      <c r="B28" t="s">
        <v>56</v>
      </c>
    </row>
    <row r="29" spans="1:2" x14ac:dyDescent="0.3">
      <c r="A29" t="s">
        <v>30</v>
      </c>
      <c r="B29" t="s">
        <v>47</v>
      </c>
    </row>
    <row r="30" spans="1:2" x14ac:dyDescent="0.3">
      <c r="A30" t="s">
        <v>31</v>
      </c>
      <c r="B30" t="s">
        <v>48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9BF84-57A6-4C8E-B902-4A3972D6E1A4}">
  <sheetPr codeName="Sheet1"/>
  <dimension ref="A1:HI159"/>
  <sheetViews>
    <sheetView workbookViewId="0"/>
  </sheetViews>
  <sheetFormatPr defaultRowHeight="14.4" x14ac:dyDescent="0.3"/>
  <sheetData>
    <row r="1" spans="1:217" x14ac:dyDescent="0.3">
      <c r="A1" t="s">
        <v>57</v>
      </c>
      <c r="B1" t="s">
        <v>58</v>
      </c>
      <c r="C1" t="s">
        <v>59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65</v>
      </c>
      <c r="J1" t="s">
        <v>66</v>
      </c>
      <c r="K1" t="s">
        <v>67</v>
      </c>
      <c r="L1" t="s">
        <v>68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74</v>
      </c>
      <c r="S1" t="s">
        <v>75</v>
      </c>
      <c r="T1" t="s">
        <v>76</v>
      </c>
      <c r="U1" t="s">
        <v>77</v>
      </c>
      <c r="V1" t="s">
        <v>78</v>
      </c>
      <c r="W1" t="s">
        <v>79</v>
      </c>
      <c r="X1" t="s">
        <v>80</v>
      </c>
      <c r="Y1" t="s">
        <v>81</v>
      </c>
      <c r="Z1" t="s">
        <v>79</v>
      </c>
      <c r="AA1" t="s">
        <v>82</v>
      </c>
      <c r="AB1" t="s">
        <v>83</v>
      </c>
      <c r="AC1" t="s">
        <v>84</v>
      </c>
      <c r="AD1" t="s">
        <v>85</v>
      </c>
      <c r="AE1" t="s">
        <v>86</v>
      </c>
      <c r="AF1" t="s">
        <v>87</v>
      </c>
      <c r="AG1" t="s">
        <v>88</v>
      </c>
      <c r="AH1" t="s">
        <v>89</v>
      </c>
      <c r="AI1" t="s">
        <v>90</v>
      </c>
      <c r="AJ1" t="s">
        <v>91</v>
      </c>
      <c r="AK1" t="s">
        <v>92</v>
      </c>
      <c r="AL1" t="s">
        <v>93</v>
      </c>
      <c r="AM1" t="s">
        <v>94</v>
      </c>
      <c r="AN1" t="s">
        <v>79</v>
      </c>
      <c r="AO1" t="s">
        <v>95</v>
      </c>
      <c r="AP1" t="s">
        <v>95</v>
      </c>
      <c r="AQ1" t="s">
        <v>96</v>
      </c>
      <c r="AR1" t="s">
        <v>97</v>
      </c>
      <c r="AS1" t="s">
        <v>98</v>
      </c>
      <c r="AT1" t="s">
        <v>99</v>
      </c>
      <c r="AU1" t="s">
        <v>100</v>
      </c>
      <c r="AV1" t="s">
        <v>101</v>
      </c>
      <c r="AW1" t="s">
        <v>102</v>
      </c>
      <c r="AX1" t="s">
        <v>103</v>
      </c>
      <c r="AY1" t="s">
        <v>104</v>
      </c>
      <c r="AZ1" t="s">
        <v>105</v>
      </c>
      <c r="BA1" t="s">
        <v>106</v>
      </c>
      <c r="BB1" t="s">
        <v>107</v>
      </c>
      <c r="BC1" t="s">
        <v>79</v>
      </c>
      <c r="BD1" t="s">
        <v>79</v>
      </c>
      <c r="BE1" t="s">
        <v>108</v>
      </c>
      <c r="BF1" t="s">
        <v>109</v>
      </c>
      <c r="BG1" t="s">
        <v>110</v>
      </c>
      <c r="BH1" t="s">
        <v>79</v>
      </c>
      <c r="BI1" t="s">
        <v>111</v>
      </c>
      <c r="BJ1" t="s">
        <v>112</v>
      </c>
      <c r="BK1" t="s">
        <v>113</v>
      </c>
      <c r="BL1" t="s">
        <v>79</v>
      </c>
      <c r="BM1" t="s">
        <v>111</v>
      </c>
      <c r="BN1" t="s">
        <v>112</v>
      </c>
      <c r="BO1" t="s">
        <v>113</v>
      </c>
      <c r="BP1" t="s">
        <v>79</v>
      </c>
      <c r="BQ1" t="s">
        <v>114</v>
      </c>
      <c r="BR1" t="s">
        <v>115</v>
      </c>
      <c r="BS1" t="s">
        <v>116</v>
      </c>
      <c r="BT1" t="s">
        <v>79</v>
      </c>
      <c r="BU1" t="s">
        <v>117</v>
      </c>
      <c r="BV1" t="s">
        <v>118</v>
      </c>
      <c r="BW1" t="s">
        <v>119</v>
      </c>
      <c r="BX1" t="s">
        <v>79</v>
      </c>
      <c r="BY1" t="s">
        <v>120</v>
      </c>
      <c r="BZ1" t="s">
        <v>121</v>
      </c>
      <c r="CA1" t="s">
        <v>122</v>
      </c>
      <c r="CB1" t="s">
        <v>123</v>
      </c>
      <c r="CC1" t="s">
        <v>124</v>
      </c>
      <c r="CD1" t="s">
        <v>125</v>
      </c>
      <c r="CE1" t="s">
        <v>79</v>
      </c>
      <c r="CF1" t="s">
        <v>126</v>
      </c>
      <c r="CG1" t="s">
        <v>127</v>
      </c>
      <c r="CH1" t="s">
        <v>128</v>
      </c>
      <c r="CI1" t="s">
        <v>129</v>
      </c>
      <c r="CJ1" t="s">
        <v>130</v>
      </c>
      <c r="CK1" t="s">
        <v>131</v>
      </c>
      <c r="CL1" t="s">
        <v>79</v>
      </c>
      <c r="CM1" t="s">
        <v>132</v>
      </c>
      <c r="CN1" t="s">
        <v>133</v>
      </c>
      <c r="CO1" t="s">
        <v>134</v>
      </c>
      <c r="CP1" t="s">
        <v>135</v>
      </c>
      <c r="CQ1" t="s">
        <v>136</v>
      </c>
      <c r="CR1" t="s">
        <v>137</v>
      </c>
      <c r="CS1" t="s">
        <v>79</v>
      </c>
      <c r="CT1" t="s">
        <v>138</v>
      </c>
      <c r="CU1" t="s">
        <v>139</v>
      </c>
      <c r="CV1" t="s">
        <v>140</v>
      </c>
      <c r="CW1" t="s">
        <v>141</v>
      </c>
      <c r="CX1" t="s">
        <v>142</v>
      </c>
      <c r="CY1" t="s">
        <v>143</v>
      </c>
      <c r="CZ1" t="s">
        <v>79</v>
      </c>
      <c r="DA1" t="s">
        <v>144</v>
      </c>
      <c r="DB1" t="s">
        <v>145</v>
      </c>
      <c r="DC1" t="s">
        <v>146</v>
      </c>
      <c r="DD1" t="s">
        <v>147</v>
      </c>
      <c r="DE1" t="s">
        <v>148</v>
      </c>
      <c r="DF1" t="s">
        <v>149</v>
      </c>
      <c r="DG1" t="s">
        <v>150</v>
      </c>
      <c r="DH1" t="s">
        <v>151</v>
      </c>
      <c r="DI1" t="s">
        <v>152</v>
      </c>
      <c r="DJ1" t="s">
        <v>153</v>
      </c>
      <c r="DK1" t="s">
        <v>154</v>
      </c>
      <c r="DL1" t="s">
        <v>155</v>
      </c>
      <c r="DM1" t="s">
        <v>79</v>
      </c>
      <c r="DN1" t="s">
        <v>156</v>
      </c>
      <c r="DO1" t="s">
        <v>157</v>
      </c>
      <c r="DP1" t="s">
        <v>158</v>
      </c>
      <c r="DQ1" t="s">
        <v>159</v>
      </c>
      <c r="DR1" t="s">
        <v>160</v>
      </c>
      <c r="DS1" t="s">
        <v>161</v>
      </c>
      <c r="DT1" t="s">
        <v>162</v>
      </c>
      <c r="DU1" t="s">
        <v>163</v>
      </c>
      <c r="DV1" t="s">
        <v>164</v>
      </c>
      <c r="DW1" t="s">
        <v>165</v>
      </c>
      <c r="DX1" t="s">
        <v>79</v>
      </c>
      <c r="DY1" t="s">
        <v>166</v>
      </c>
      <c r="DZ1" t="s">
        <v>167</v>
      </c>
      <c r="EA1" t="s">
        <v>168</v>
      </c>
      <c r="EB1" t="s">
        <v>169</v>
      </c>
      <c r="EC1" t="s">
        <v>170</v>
      </c>
      <c r="ED1" t="s">
        <v>171</v>
      </c>
      <c r="EE1" t="s">
        <v>172</v>
      </c>
      <c r="EF1" t="s">
        <v>173</v>
      </c>
      <c r="EG1" t="s">
        <v>174</v>
      </c>
      <c r="EH1" t="s">
        <v>175</v>
      </c>
      <c r="EI1" t="s">
        <v>176</v>
      </c>
      <c r="EJ1" t="s">
        <v>177</v>
      </c>
      <c r="EK1" t="s">
        <v>79</v>
      </c>
      <c r="EL1" t="s">
        <v>79</v>
      </c>
      <c r="EM1" t="s">
        <v>178</v>
      </c>
      <c r="EN1" t="s">
        <v>179</v>
      </c>
      <c r="EO1" t="s">
        <v>180</v>
      </c>
      <c r="EP1" t="s">
        <v>181</v>
      </c>
      <c r="EQ1" t="s">
        <v>182</v>
      </c>
      <c r="ER1" t="s">
        <v>183</v>
      </c>
      <c r="ES1" t="s">
        <v>184</v>
      </c>
      <c r="ET1" t="s">
        <v>185</v>
      </c>
      <c r="EU1" t="s">
        <v>186</v>
      </c>
      <c r="EV1" t="s">
        <v>187</v>
      </c>
      <c r="EW1" t="s">
        <v>188</v>
      </c>
      <c r="EX1" t="s">
        <v>189</v>
      </c>
      <c r="EY1" t="s">
        <v>79</v>
      </c>
      <c r="EZ1" t="s">
        <v>79</v>
      </c>
      <c r="FA1" t="s">
        <v>190</v>
      </c>
      <c r="FB1" t="s">
        <v>191</v>
      </c>
      <c r="FC1" t="s">
        <v>192</v>
      </c>
      <c r="FD1" t="s">
        <v>193</v>
      </c>
      <c r="FE1" t="s">
        <v>194</v>
      </c>
      <c r="FF1" t="s">
        <v>195</v>
      </c>
      <c r="FG1" t="s">
        <v>196</v>
      </c>
      <c r="FH1" t="s">
        <v>197</v>
      </c>
      <c r="FI1" t="s">
        <v>198</v>
      </c>
      <c r="FJ1" t="s">
        <v>199</v>
      </c>
      <c r="FK1" t="s">
        <v>200</v>
      </c>
      <c r="FL1" t="s">
        <v>201</v>
      </c>
      <c r="FM1" t="s">
        <v>79</v>
      </c>
      <c r="FN1" t="s">
        <v>79</v>
      </c>
      <c r="FO1" t="s">
        <v>202</v>
      </c>
      <c r="FP1" t="s">
        <v>203</v>
      </c>
      <c r="FQ1" t="s">
        <v>204</v>
      </c>
      <c r="FR1" t="s">
        <v>205</v>
      </c>
      <c r="FS1" t="s">
        <v>206</v>
      </c>
      <c r="FT1" t="s">
        <v>207</v>
      </c>
      <c r="FU1" t="s">
        <v>208</v>
      </c>
      <c r="FV1" t="s">
        <v>209</v>
      </c>
      <c r="FW1" t="s">
        <v>210</v>
      </c>
      <c r="FX1" t="s">
        <v>211</v>
      </c>
      <c r="FY1" t="s">
        <v>212</v>
      </c>
      <c r="FZ1" t="s">
        <v>213</v>
      </c>
      <c r="GA1" t="s">
        <v>79</v>
      </c>
      <c r="GB1" t="s">
        <v>79</v>
      </c>
      <c r="GC1" t="s">
        <v>214</v>
      </c>
      <c r="GD1" t="s">
        <v>215</v>
      </c>
      <c r="GE1" t="s">
        <v>216</v>
      </c>
      <c r="GF1" t="s">
        <v>217</v>
      </c>
      <c r="GG1" t="s">
        <v>218</v>
      </c>
      <c r="GH1" t="s">
        <v>219</v>
      </c>
      <c r="GI1" t="s">
        <v>220</v>
      </c>
      <c r="GJ1" t="s">
        <v>221</v>
      </c>
      <c r="GK1" t="s">
        <v>222</v>
      </c>
      <c r="GL1" t="s">
        <v>223</v>
      </c>
      <c r="GM1" t="s">
        <v>224</v>
      </c>
      <c r="GN1" t="s">
        <v>225</v>
      </c>
      <c r="GO1" t="s">
        <v>79</v>
      </c>
      <c r="GP1" t="s">
        <v>79</v>
      </c>
      <c r="GQ1" t="s">
        <v>226</v>
      </c>
      <c r="GR1" t="s">
        <v>227</v>
      </c>
      <c r="GS1" t="s">
        <v>228</v>
      </c>
      <c r="GT1" t="s">
        <v>229</v>
      </c>
      <c r="GU1" t="s">
        <v>230</v>
      </c>
      <c r="GV1" t="s">
        <v>231</v>
      </c>
      <c r="GW1" t="s">
        <v>232</v>
      </c>
      <c r="GX1" t="s">
        <v>233</v>
      </c>
      <c r="GY1" t="s">
        <v>234</v>
      </c>
      <c r="GZ1" t="s">
        <v>235</v>
      </c>
      <c r="HA1" t="s">
        <v>236</v>
      </c>
      <c r="HB1" t="s">
        <v>237</v>
      </c>
      <c r="HC1" t="s">
        <v>79</v>
      </c>
      <c r="HD1" t="s">
        <v>79</v>
      </c>
      <c r="HE1" t="s">
        <v>238</v>
      </c>
      <c r="HF1" t="s">
        <v>32</v>
      </c>
      <c r="HG1" t="s">
        <v>33</v>
      </c>
      <c r="HH1" t="s">
        <v>34</v>
      </c>
      <c r="HI1" t="s">
        <v>35</v>
      </c>
    </row>
    <row r="2" spans="1:217" x14ac:dyDescent="0.3">
      <c r="A2" t="s">
        <v>239</v>
      </c>
      <c r="I2" t="s">
        <v>240</v>
      </c>
      <c r="J2" t="s">
        <v>239</v>
      </c>
      <c r="K2" t="s">
        <v>241</v>
      </c>
      <c r="L2" t="s">
        <v>242</v>
      </c>
      <c r="M2" t="s">
        <v>243</v>
      </c>
      <c r="N2" t="s">
        <v>241</v>
      </c>
      <c r="O2" t="s">
        <v>242</v>
      </c>
      <c r="P2" t="s">
        <v>243</v>
      </c>
      <c r="Q2" t="s">
        <v>244</v>
      </c>
      <c r="R2" t="s">
        <v>239</v>
      </c>
      <c r="S2" t="s">
        <v>239</v>
      </c>
      <c r="T2" t="s">
        <v>239</v>
      </c>
      <c r="V2" t="s">
        <v>245</v>
      </c>
      <c r="W2" t="s">
        <v>79</v>
      </c>
      <c r="X2" t="s">
        <v>246</v>
      </c>
      <c r="Y2" t="s">
        <v>246</v>
      </c>
      <c r="Z2" t="s">
        <v>79</v>
      </c>
      <c r="AA2" t="s">
        <v>246</v>
      </c>
      <c r="AC2" t="s">
        <v>247</v>
      </c>
      <c r="AD2" t="s">
        <v>239</v>
      </c>
      <c r="AF2" t="s">
        <v>239</v>
      </c>
      <c r="AG2" t="s">
        <v>245</v>
      </c>
      <c r="AH2" t="s">
        <v>239</v>
      </c>
      <c r="AI2" t="s">
        <v>239</v>
      </c>
      <c r="AJ2" t="s">
        <v>248</v>
      </c>
      <c r="AK2" t="s">
        <v>248</v>
      </c>
      <c r="AL2" t="s">
        <v>249</v>
      </c>
      <c r="AM2" t="s">
        <v>239</v>
      </c>
      <c r="AN2" t="s">
        <v>79</v>
      </c>
      <c r="AO2" t="s">
        <v>64</v>
      </c>
      <c r="AP2" t="s">
        <v>246</v>
      </c>
      <c r="AQ2" t="s">
        <v>250</v>
      </c>
      <c r="AR2" t="s">
        <v>239</v>
      </c>
      <c r="AS2" t="s">
        <v>251</v>
      </c>
      <c r="AT2" t="s">
        <v>247</v>
      </c>
      <c r="AU2" t="s">
        <v>252</v>
      </c>
      <c r="AV2" t="s">
        <v>245</v>
      </c>
      <c r="AW2" t="s">
        <v>253</v>
      </c>
      <c r="AX2" t="s">
        <v>254</v>
      </c>
      <c r="AY2" t="s">
        <v>239</v>
      </c>
      <c r="AZ2" t="s">
        <v>255</v>
      </c>
      <c r="BA2" t="s">
        <v>256</v>
      </c>
      <c r="BB2" t="s">
        <v>256</v>
      </c>
      <c r="BC2" t="s">
        <v>79</v>
      </c>
      <c r="BD2" t="s">
        <v>79</v>
      </c>
      <c r="BE2" t="s">
        <v>257</v>
      </c>
      <c r="BF2" t="s">
        <v>258</v>
      </c>
      <c r="BG2" t="s">
        <v>259</v>
      </c>
      <c r="BH2" t="s">
        <v>79</v>
      </c>
      <c r="BI2" t="s">
        <v>257</v>
      </c>
      <c r="BJ2" t="s">
        <v>258</v>
      </c>
      <c r="BK2" t="s">
        <v>259</v>
      </c>
      <c r="BL2" t="s">
        <v>79</v>
      </c>
      <c r="BM2" t="s">
        <v>257</v>
      </c>
      <c r="BN2" t="s">
        <v>258</v>
      </c>
      <c r="BO2" t="s">
        <v>259</v>
      </c>
      <c r="BP2" t="s">
        <v>79</v>
      </c>
      <c r="BQ2" t="s">
        <v>257</v>
      </c>
      <c r="BR2" t="s">
        <v>258</v>
      </c>
      <c r="BS2" t="s">
        <v>259</v>
      </c>
      <c r="BT2" t="s">
        <v>79</v>
      </c>
      <c r="BU2" t="s">
        <v>257</v>
      </c>
      <c r="BV2" t="s">
        <v>258</v>
      </c>
      <c r="BW2" t="s">
        <v>259</v>
      </c>
      <c r="BX2" t="s">
        <v>79</v>
      </c>
      <c r="BY2" t="s">
        <v>257</v>
      </c>
      <c r="BZ2" t="s">
        <v>257</v>
      </c>
      <c r="CA2" t="s">
        <v>257</v>
      </c>
      <c r="CB2" t="s">
        <v>257</v>
      </c>
      <c r="CC2" t="s">
        <v>257</v>
      </c>
      <c r="CD2" t="s">
        <v>257</v>
      </c>
      <c r="CE2" t="s">
        <v>79</v>
      </c>
      <c r="CF2" t="s">
        <v>258</v>
      </c>
      <c r="CG2" t="s">
        <v>258</v>
      </c>
      <c r="CH2" t="s">
        <v>258</v>
      </c>
      <c r="CI2" t="s">
        <v>258</v>
      </c>
      <c r="CJ2" t="s">
        <v>258</v>
      </c>
      <c r="CK2" t="s">
        <v>258</v>
      </c>
      <c r="CL2" t="s">
        <v>79</v>
      </c>
      <c r="CM2" t="s">
        <v>259</v>
      </c>
      <c r="CN2" t="s">
        <v>259</v>
      </c>
      <c r="CO2" t="s">
        <v>259</v>
      </c>
      <c r="CP2" t="s">
        <v>259</v>
      </c>
      <c r="CQ2" t="s">
        <v>259</v>
      </c>
      <c r="CR2" t="s">
        <v>259</v>
      </c>
      <c r="CS2" t="s">
        <v>79</v>
      </c>
      <c r="CT2" t="s">
        <v>260</v>
      </c>
      <c r="CU2" t="s">
        <v>260</v>
      </c>
      <c r="CV2" t="s">
        <v>260</v>
      </c>
      <c r="CW2" t="s">
        <v>260</v>
      </c>
      <c r="CX2" t="s">
        <v>260</v>
      </c>
      <c r="CY2" t="s">
        <v>260</v>
      </c>
      <c r="CZ2" t="s">
        <v>79</v>
      </c>
      <c r="DA2" t="s">
        <v>261</v>
      </c>
      <c r="DB2" t="s">
        <v>256</v>
      </c>
      <c r="DC2" t="s">
        <v>261</v>
      </c>
      <c r="DD2" t="s">
        <v>256</v>
      </c>
      <c r="DE2" t="s">
        <v>261</v>
      </c>
      <c r="DF2" t="s">
        <v>256</v>
      </c>
      <c r="DG2" t="s">
        <v>261</v>
      </c>
      <c r="DH2" t="s">
        <v>256</v>
      </c>
      <c r="DI2" t="s">
        <v>261</v>
      </c>
      <c r="DJ2" t="s">
        <v>256</v>
      </c>
      <c r="DK2" t="s">
        <v>261</v>
      </c>
      <c r="DL2" t="s">
        <v>256</v>
      </c>
      <c r="DM2" t="s">
        <v>79</v>
      </c>
      <c r="DN2" t="s">
        <v>262</v>
      </c>
      <c r="DO2" t="s">
        <v>262</v>
      </c>
      <c r="DP2" t="s">
        <v>262</v>
      </c>
      <c r="DQ2" t="s">
        <v>262</v>
      </c>
      <c r="DR2" t="s">
        <v>262</v>
      </c>
      <c r="DS2" t="s">
        <v>262</v>
      </c>
      <c r="DT2" t="s">
        <v>262</v>
      </c>
      <c r="DU2" t="s">
        <v>263</v>
      </c>
      <c r="DV2" t="s">
        <v>263</v>
      </c>
      <c r="DW2" t="s">
        <v>245</v>
      </c>
      <c r="DX2" t="s">
        <v>79</v>
      </c>
      <c r="DY2" t="s">
        <v>245</v>
      </c>
      <c r="DZ2" t="s">
        <v>264</v>
      </c>
      <c r="EA2" t="s">
        <v>265</v>
      </c>
      <c r="EB2" t="s">
        <v>265</v>
      </c>
      <c r="EC2" t="s">
        <v>245</v>
      </c>
      <c r="ED2" t="s">
        <v>245</v>
      </c>
      <c r="EE2" t="s">
        <v>266</v>
      </c>
      <c r="EF2" t="s">
        <v>251</v>
      </c>
      <c r="EG2" t="s">
        <v>239</v>
      </c>
      <c r="EH2" t="s">
        <v>239</v>
      </c>
      <c r="EI2" t="s">
        <v>239</v>
      </c>
      <c r="EJ2" t="s">
        <v>239</v>
      </c>
      <c r="EK2" t="s">
        <v>79</v>
      </c>
      <c r="EL2" t="s">
        <v>79</v>
      </c>
      <c r="EM2" t="s">
        <v>245</v>
      </c>
      <c r="EN2" t="s">
        <v>264</v>
      </c>
      <c r="EO2" t="s">
        <v>265</v>
      </c>
      <c r="EP2" t="s">
        <v>265</v>
      </c>
      <c r="EQ2" t="s">
        <v>245</v>
      </c>
      <c r="ER2" t="s">
        <v>245</v>
      </c>
      <c r="ES2" t="s">
        <v>266</v>
      </c>
      <c r="ET2" t="s">
        <v>251</v>
      </c>
      <c r="EU2" t="s">
        <v>239</v>
      </c>
      <c r="EV2" t="s">
        <v>239</v>
      </c>
      <c r="EW2" t="s">
        <v>239</v>
      </c>
      <c r="EX2" t="s">
        <v>239</v>
      </c>
      <c r="EY2" t="s">
        <v>79</v>
      </c>
      <c r="EZ2" t="s">
        <v>79</v>
      </c>
      <c r="FA2" t="s">
        <v>245</v>
      </c>
      <c r="FB2" t="s">
        <v>264</v>
      </c>
      <c r="FC2" t="s">
        <v>265</v>
      </c>
      <c r="FD2" t="s">
        <v>265</v>
      </c>
      <c r="FE2" t="s">
        <v>245</v>
      </c>
      <c r="FF2" t="s">
        <v>245</v>
      </c>
      <c r="FG2" t="s">
        <v>266</v>
      </c>
      <c r="FH2" t="s">
        <v>251</v>
      </c>
      <c r="FI2" t="s">
        <v>239</v>
      </c>
      <c r="FJ2" t="s">
        <v>239</v>
      </c>
      <c r="FK2" t="s">
        <v>239</v>
      </c>
      <c r="FL2" t="s">
        <v>239</v>
      </c>
      <c r="FM2" t="s">
        <v>79</v>
      </c>
      <c r="FN2" t="s">
        <v>79</v>
      </c>
      <c r="FO2" t="s">
        <v>245</v>
      </c>
      <c r="FP2" t="s">
        <v>264</v>
      </c>
      <c r="FQ2" t="s">
        <v>265</v>
      </c>
      <c r="FR2" t="s">
        <v>265</v>
      </c>
      <c r="FS2" t="s">
        <v>245</v>
      </c>
      <c r="FT2" t="s">
        <v>245</v>
      </c>
      <c r="FU2" t="s">
        <v>266</v>
      </c>
      <c r="FV2" t="s">
        <v>251</v>
      </c>
      <c r="FW2" t="s">
        <v>239</v>
      </c>
      <c r="FX2" t="s">
        <v>239</v>
      </c>
      <c r="FY2" t="s">
        <v>239</v>
      </c>
      <c r="FZ2" t="s">
        <v>239</v>
      </c>
      <c r="GA2" t="s">
        <v>79</v>
      </c>
      <c r="GB2" t="s">
        <v>79</v>
      </c>
      <c r="GC2" t="s">
        <v>245</v>
      </c>
      <c r="GD2" t="s">
        <v>264</v>
      </c>
      <c r="GE2" t="s">
        <v>265</v>
      </c>
      <c r="GF2" t="s">
        <v>265</v>
      </c>
      <c r="GG2" t="s">
        <v>245</v>
      </c>
      <c r="GH2" t="s">
        <v>245</v>
      </c>
      <c r="GI2" t="s">
        <v>266</v>
      </c>
      <c r="GJ2" t="s">
        <v>251</v>
      </c>
      <c r="GK2" t="s">
        <v>239</v>
      </c>
      <c r="GL2" t="s">
        <v>239</v>
      </c>
      <c r="GM2" t="s">
        <v>239</v>
      </c>
      <c r="GN2" t="s">
        <v>239</v>
      </c>
      <c r="GO2" t="s">
        <v>79</v>
      </c>
      <c r="GP2" t="s">
        <v>79</v>
      </c>
      <c r="GQ2" t="s">
        <v>245</v>
      </c>
      <c r="GR2" t="s">
        <v>264</v>
      </c>
      <c r="GS2" t="s">
        <v>265</v>
      </c>
      <c r="GT2" t="s">
        <v>265</v>
      </c>
      <c r="GU2" t="s">
        <v>245</v>
      </c>
      <c r="GV2" t="s">
        <v>245</v>
      </c>
      <c r="GW2" t="s">
        <v>266</v>
      </c>
      <c r="GX2" t="s">
        <v>251</v>
      </c>
      <c r="GY2" t="s">
        <v>239</v>
      </c>
      <c r="GZ2" t="s">
        <v>239</v>
      </c>
      <c r="HA2" t="s">
        <v>239</v>
      </c>
      <c r="HB2" t="s">
        <v>239</v>
      </c>
      <c r="HC2" t="s">
        <v>79</v>
      </c>
      <c r="HD2" t="s">
        <v>79</v>
      </c>
      <c r="HE2" t="s">
        <v>267</v>
      </c>
      <c r="HF2" t="s">
        <v>268</v>
      </c>
      <c r="HG2" t="s">
        <v>268</v>
      </c>
      <c r="HH2" t="s">
        <v>268</v>
      </c>
      <c r="HI2" t="s">
        <v>240</v>
      </c>
    </row>
    <row r="3" spans="1:217" x14ac:dyDescent="0.3">
      <c r="A3">
        <v>71</v>
      </c>
      <c r="B3" t="s">
        <v>269</v>
      </c>
      <c r="F3" t="s">
        <v>270</v>
      </c>
      <c r="G3" t="s">
        <v>271</v>
      </c>
      <c r="H3" t="s">
        <v>272</v>
      </c>
      <c r="I3">
        <v>3250</v>
      </c>
      <c r="J3">
        <v>1</v>
      </c>
      <c r="K3">
        <v>23.360156</v>
      </c>
      <c r="L3">
        <v>0.22</v>
      </c>
      <c r="M3">
        <v>6.7710000000000001E-3</v>
      </c>
      <c r="N3">
        <v>0</v>
      </c>
      <c r="O3">
        <v>0</v>
      </c>
      <c r="P3">
        <v>0</v>
      </c>
      <c r="Q3">
        <v>6.84</v>
      </c>
      <c r="R3">
        <v>1</v>
      </c>
      <c r="S3">
        <v>1</v>
      </c>
      <c r="T3">
        <v>1</v>
      </c>
      <c r="U3">
        <v>1</v>
      </c>
      <c r="V3">
        <v>100</v>
      </c>
      <c r="W3" t="s">
        <v>273</v>
      </c>
      <c r="X3" t="s">
        <v>274</v>
      </c>
      <c r="Y3" t="s">
        <v>274</v>
      </c>
      <c r="Z3" t="s">
        <v>273</v>
      </c>
      <c r="AA3" t="s">
        <v>275</v>
      </c>
      <c r="AB3" t="s">
        <v>276</v>
      </c>
      <c r="AC3">
        <v>164</v>
      </c>
      <c r="AD3">
        <v>5</v>
      </c>
      <c r="AE3" t="s">
        <v>277</v>
      </c>
      <c r="AF3">
        <v>3.7955290000000002</v>
      </c>
      <c r="AG3">
        <v>100</v>
      </c>
      <c r="AH3">
        <v>34.200000000000003</v>
      </c>
      <c r="AI3">
        <v>2050</v>
      </c>
      <c r="AJ3">
        <v>800</v>
      </c>
      <c r="AK3">
        <v>1200</v>
      </c>
      <c r="AL3">
        <v>253.6</v>
      </c>
      <c r="AM3">
        <v>2.2000000000000002</v>
      </c>
      <c r="AN3" t="s">
        <v>273</v>
      </c>
      <c r="AO3" t="s">
        <v>278</v>
      </c>
      <c r="AP3" t="s">
        <v>279</v>
      </c>
      <c r="AQ3">
        <v>1.4</v>
      </c>
      <c r="AR3">
        <v>3</v>
      </c>
      <c r="AS3">
        <v>78.5</v>
      </c>
      <c r="AT3">
        <v>142.80000000000001</v>
      </c>
      <c r="AU3">
        <v>8.1395999999999996E-2</v>
      </c>
      <c r="AV3">
        <v>36.200000000000003</v>
      </c>
      <c r="AW3">
        <v>237.7</v>
      </c>
      <c r="AX3" t="s">
        <v>280</v>
      </c>
      <c r="AY3">
        <v>0</v>
      </c>
      <c r="AZ3" t="s">
        <v>281</v>
      </c>
      <c r="BA3">
        <v>0.2</v>
      </c>
      <c r="BB3">
        <v>0.5</v>
      </c>
      <c r="BC3" t="s">
        <v>273</v>
      </c>
      <c r="BD3" t="s">
        <v>273</v>
      </c>
      <c r="BE3">
        <v>42.253250999999999</v>
      </c>
      <c r="BF3">
        <v>42.739773</v>
      </c>
      <c r="BG3">
        <v>202.74088</v>
      </c>
      <c r="BH3" t="s">
        <v>273</v>
      </c>
      <c r="BI3">
        <v>66.647523000000007</v>
      </c>
      <c r="BJ3">
        <v>67.414931999999993</v>
      </c>
      <c r="BK3">
        <v>128.533828</v>
      </c>
      <c r="BL3" t="s">
        <v>273</v>
      </c>
      <c r="BM3">
        <v>66.652229000000005</v>
      </c>
      <c r="BN3">
        <v>67.419691999999998</v>
      </c>
      <c r="BO3">
        <v>128.52475200000001</v>
      </c>
      <c r="BP3" t="s">
        <v>273</v>
      </c>
      <c r="BQ3">
        <v>39.334865000000001</v>
      </c>
      <c r="BR3">
        <v>39.787784000000002</v>
      </c>
      <c r="BS3">
        <v>217.78290699999999</v>
      </c>
      <c r="BT3" t="s">
        <v>273</v>
      </c>
      <c r="BU3">
        <v>15.564556</v>
      </c>
      <c r="BV3">
        <v>15.743772999999999</v>
      </c>
      <c r="BW3">
        <v>550.38262999999995</v>
      </c>
      <c r="BX3" t="s">
        <v>273</v>
      </c>
      <c r="BY3">
        <v>40.151929000000003</v>
      </c>
      <c r="BZ3">
        <v>41.132415999999999</v>
      </c>
      <c r="CA3">
        <v>46.478934000000002</v>
      </c>
      <c r="CB3">
        <v>66.652229000000005</v>
      </c>
      <c r="CC3">
        <v>22.024972999999999</v>
      </c>
      <c r="CD3">
        <v>50.778767000000002</v>
      </c>
      <c r="CE3" t="s">
        <v>273</v>
      </c>
      <c r="CF3">
        <v>40.614255</v>
      </c>
      <c r="CG3">
        <v>41.606031999999999</v>
      </c>
      <c r="CH3">
        <v>47.014113000000002</v>
      </c>
      <c r="CI3">
        <v>67.419691999999998</v>
      </c>
      <c r="CJ3">
        <v>22.278578</v>
      </c>
      <c r="CK3">
        <v>51.363455999999999</v>
      </c>
      <c r="CL3" t="s">
        <v>273</v>
      </c>
      <c r="CM3">
        <v>213.351179</v>
      </c>
      <c r="CN3">
        <v>208.26545400000001</v>
      </c>
      <c r="CO3">
        <v>184.308471</v>
      </c>
      <c r="CP3">
        <v>128.52475200000001</v>
      </c>
      <c r="CQ3">
        <v>388.94309900000002</v>
      </c>
      <c r="CR3">
        <v>168.70164</v>
      </c>
      <c r="CS3" t="s">
        <v>273</v>
      </c>
      <c r="CT3">
        <v>253.84519599999999</v>
      </c>
      <c r="CU3">
        <v>266.55750599999999</v>
      </c>
      <c r="CV3">
        <v>219.25477799999999</v>
      </c>
      <c r="CW3">
        <v>435.347553</v>
      </c>
      <c r="CX3">
        <v>229.67976899999999</v>
      </c>
      <c r="CY3">
        <v>347.41052500000001</v>
      </c>
      <c r="CZ3" t="s">
        <v>273</v>
      </c>
      <c r="DA3">
        <v>3.6067420000000001</v>
      </c>
      <c r="DB3">
        <v>510.01</v>
      </c>
      <c r="DC3">
        <v>3.8798490000000001</v>
      </c>
      <c r="DD3">
        <v>864</v>
      </c>
      <c r="DE3">
        <v>3.6061589999999999</v>
      </c>
      <c r="DF3">
        <v>505</v>
      </c>
      <c r="DG3">
        <v>10.268109000000001</v>
      </c>
      <c r="DH3">
        <v>765</v>
      </c>
      <c r="DI3">
        <v>1.7901020000000001</v>
      </c>
      <c r="DJ3">
        <v>235</v>
      </c>
      <c r="DK3">
        <v>6.2425899999999999</v>
      </c>
      <c r="DL3">
        <v>365</v>
      </c>
      <c r="DM3" t="s">
        <v>273</v>
      </c>
      <c r="DN3">
        <v>4.6509900000000002</v>
      </c>
      <c r="DO3">
        <v>12.145016</v>
      </c>
      <c r="DP3">
        <v>5.5944859999999998</v>
      </c>
      <c r="DQ3" t="s">
        <v>282</v>
      </c>
      <c r="DR3">
        <v>8.5891219999999997</v>
      </c>
      <c r="DS3">
        <v>19.240677000000002</v>
      </c>
      <c r="DT3">
        <v>45.569302</v>
      </c>
      <c r="DU3">
        <v>77.300583000000003</v>
      </c>
      <c r="DV3">
        <v>138.14295899999999</v>
      </c>
      <c r="DW3" t="s">
        <v>283</v>
      </c>
      <c r="DX3" t="s">
        <v>273</v>
      </c>
      <c r="DY3">
        <v>24.786078</v>
      </c>
      <c r="DZ3">
        <v>5.423E-2</v>
      </c>
      <c r="EA3">
        <v>0.73032399999999997</v>
      </c>
      <c r="EB3">
        <v>0.613985</v>
      </c>
      <c r="EC3">
        <v>84.070223999999996</v>
      </c>
      <c r="ED3">
        <v>20.458348999999998</v>
      </c>
      <c r="EE3">
        <v>373.871826</v>
      </c>
      <c r="EF3">
        <v>4.2550819999999998</v>
      </c>
      <c r="EG3">
        <v>33</v>
      </c>
      <c r="EH3">
        <v>33</v>
      </c>
      <c r="EI3">
        <v>22</v>
      </c>
      <c r="EJ3">
        <v>28</v>
      </c>
      <c r="EK3" t="s">
        <v>273</v>
      </c>
      <c r="EL3" t="s">
        <v>273</v>
      </c>
      <c r="EM3">
        <v>25.00357</v>
      </c>
      <c r="EN3">
        <v>3.2221E-2</v>
      </c>
      <c r="EO3">
        <v>0.77362699999999995</v>
      </c>
      <c r="EP3">
        <v>0.62158899999999995</v>
      </c>
      <c r="EQ3">
        <v>80.347371999999993</v>
      </c>
      <c r="ER3">
        <v>19.610600000000002</v>
      </c>
      <c r="ES3">
        <v>349.83591000000001</v>
      </c>
      <c r="ET3">
        <v>2.5282170000000002</v>
      </c>
      <c r="EU3">
        <v>40</v>
      </c>
      <c r="EV3">
        <v>40</v>
      </c>
      <c r="EW3">
        <v>38</v>
      </c>
      <c r="EX3">
        <v>39</v>
      </c>
      <c r="EY3" t="s">
        <v>273</v>
      </c>
      <c r="EZ3" t="s">
        <v>273</v>
      </c>
      <c r="FA3">
        <v>28.686318</v>
      </c>
      <c r="FB3">
        <v>5.4762999999999999E-2</v>
      </c>
      <c r="FC3">
        <v>0.73006700000000002</v>
      </c>
      <c r="FD3">
        <v>0.61393399999999998</v>
      </c>
      <c r="FE3">
        <v>84.092832000000001</v>
      </c>
      <c r="FF3">
        <v>23.683764</v>
      </c>
      <c r="FG3">
        <v>373.899427</v>
      </c>
      <c r="FH3">
        <v>4.2969189999999999</v>
      </c>
      <c r="FI3">
        <v>33</v>
      </c>
      <c r="FJ3">
        <v>33</v>
      </c>
      <c r="FK3">
        <v>22</v>
      </c>
      <c r="FL3">
        <v>28</v>
      </c>
      <c r="FM3" t="s">
        <v>273</v>
      </c>
      <c r="FN3" t="s">
        <v>273</v>
      </c>
      <c r="FO3">
        <v>29.137080000000001</v>
      </c>
      <c r="FP3">
        <v>7.6918E-2</v>
      </c>
      <c r="FQ3">
        <v>1.472383</v>
      </c>
      <c r="FR3">
        <v>1.2930740000000001</v>
      </c>
      <c r="FS3">
        <v>87.821848000000003</v>
      </c>
      <c r="FT3">
        <v>25.379363999999999</v>
      </c>
      <c r="FU3">
        <v>279.39513199999999</v>
      </c>
      <c r="FV3">
        <v>6.0352709999999998</v>
      </c>
      <c r="FW3">
        <v>15</v>
      </c>
      <c r="FX3">
        <v>15</v>
      </c>
      <c r="FY3">
        <v>15</v>
      </c>
      <c r="FZ3">
        <v>14</v>
      </c>
      <c r="GA3" t="s">
        <v>273</v>
      </c>
      <c r="GB3" t="s">
        <v>273</v>
      </c>
      <c r="GC3">
        <v>29.671104</v>
      </c>
      <c r="GD3">
        <v>0.12463</v>
      </c>
      <c r="GE3">
        <v>0.79103400000000001</v>
      </c>
      <c r="GF3">
        <v>0.65714700000000004</v>
      </c>
      <c r="GG3">
        <v>83.074414000000004</v>
      </c>
      <c r="GH3">
        <v>23.943697</v>
      </c>
      <c r="GI3">
        <v>797.68967199999997</v>
      </c>
      <c r="GJ3">
        <v>9.7789629999999992</v>
      </c>
      <c r="GK3">
        <v>32</v>
      </c>
      <c r="GL3">
        <v>32</v>
      </c>
      <c r="GM3">
        <v>15</v>
      </c>
      <c r="GN3">
        <v>29</v>
      </c>
      <c r="GO3" t="s">
        <v>273</v>
      </c>
      <c r="GP3" t="s">
        <v>273</v>
      </c>
      <c r="GQ3">
        <v>30.463322000000002</v>
      </c>
      <c r="GR3">
        <v>0.133046</v>
      </c>
      <c r="GS3">
        <v>1.2284539999999999</v>
      </c>
      <c r="GT3">
        <v>1.0727720000000001</v>
      </c>
      <c r="GU3">
        <v>87.327003000000005</v>
      </c>
      <c r="GV3">
        <v>26.246894999999999</v>
      </c>
      <c r="GW3">
        <v>379.27023000000003</v>
      </c>
      <c r="GX3">
        <v>10.439257</v>
      </c>
      <c r="GY3">
        <v>32</v>
      </c>
      <c r="GZ3">
        <v>32</v>
      </c>
      <c r="HA3">
        <v>15</v>
      </c>
      <c r="HB3">
        <v>14</v>
      </c>
      <c r="HC3" t="s">
        <v>273</v>
      </c>
      <c r="HD3" t="s">
        <v>273</v>
      </c>
      <c r="HE3">
        <v>31</v>
      </c>
      <c r="HF3">
        <v>5.0000000000000001E-4</v>
      </c>
      <c r="HG3">
        <v>3.0000000000000001E-3</v>
      </c>
      <c r="HH3">
        <v>3.2258000000000002E-2</v>
      </c>
      <c r="HI3">
        <v>3250</v>
      </c>
    </row>
    <row r="4" spans="1:217" x14ac:dyDescent="0.3">
      <c r="A4">
        <v>72</v>
      </c>
      <c r="B4" t="s">
        <v>269</v>
      </c>
      <c r="F4" t="s">
        <v>270</v>
      </c>
      <c r="G4" t="s">
        <v>271</v>
      </c>
      <c r="H4" t="s">
        <v>272</v>
      </c>
      <c r="I4">
        <v>4250</v>
      </c>
      <c r="J4">
        <v>1</v>
      </c>
      <c r="K4">
        <v>31.563281</v>
      </c>
      <c r="L4">
        <v>0.22</v>
      </c>
      <c r="M4">
        <v>9.7009999999999996E-3</v>
      </c>
      <c r="N4">
        <v>0</v>
      </c>
      <c r="O4">
        <v>0</v>
      </c>
      <c r="P4">
        <v>0</v>
      </c>
      <c r="Q4">
        <v>8.91</v>
      </c>
      <c r="R4">
        <v>1</v>
      </c>
      <c r="S4">
        <v>1</v>
      </c>
      <c r="T4">
        <v>1</v>
      </c>
      <c r="U4">
        <v>1</v>
      </c>
      <c r="V4">
        <v>100</v>
      </c>
      <c r="W4" t="s">
        <v>273</v>
      </c>
      <c r="X4" t="s">
        <v>274</v>
      </c>
      <c r="Y4" t="s">
        <v>274</v>
      </c>
      <c r="Z4" t="s">
        <v>273</v>
      </c>
      <c r="AA4" t="s">
        <v>275</v>
      </c>
      <c r="AB4" t="s">
        <v>276</v>
      </c>
      <c r="AC4">
        <v>211</v>
      </c>
      <c r="AD4">
        <v>5</v>
      </c>
      <c r="AE4" t="s">
        <v>277</v>
      </c>
      <c r="AF4">
        <v>3.425233</v>
      </c>
      <c r="AG4">
        <v>100</v>
      </c>
      <c r="AH4">
        <v>30.8</v>
      </c>
      <c r="AI4">
        <v>1850</v>
      </c>
      <c r="AJ4">
        <v>800</v>
      </c>
      <c r="AK4">
        <v>1200</v>
      </c>
      <c r="AL4">
        <v>223.6</v>
      </c>
      <c r="AM4">
        <v>2.2000000000000002</v>
      </c>
      <c r="AN4" t="s">
        <v>273</v>
      </c>
      <c r="AO4" t="s">
        <v>278</v>
      </c>
      <c r="AP4" t="s">
        <v>284</v>
      </c>
      <c r="AQ4">
        <v>1.8</v>
      </c>
      <c r="AR4">
        <v>3</v>
      </c>
      <c r="AS4">
        <v>101</v>
      </c>
      <c r="AT4">
        <v>183.7</v>
      </c>
      <c r="AU4">
        <v>0.104652</v>
      </c>
      <c r="AV4">
        <v>36.6</v>
      </c>
      <c r="AW4">
        <v>235.2</v>
      </c>
      <c r="AX4" t="s">
        <v>280</v>
      </c>
      <c r="AY4">
        <v>0</v>
      </c>
      <c r="AZ4" t="s">
        <v>281</v>
      </c>
      <c r="BA4">
        <v>0.2</v>
      </c>
      <c r="BB4">
        <v>0.5</v>
      </c>
      <c r="BC4" t="s">
        <v>273</v>
      </c>
      <c r="BD4" t="s">
        <v>273</v>
      </c>
      <c r="BE4">
        <v>33.146450999999999</v>
      </c>
      <c r="BF4">
        <v>33.528112999999998</v>
      </c>
      <c r="BG4">
        <v>258.44279399999999</v>
      </c>
      <c r="BH4" t="s">
        <v>273</v>
      </c>
      <c r="BI4">
        <v>52.957923999999998</v>
      </c>
      <c r="BJ4">
        <v>53.567704999999997</v>
      </c>
      <c r="BK4">
        <v>161.75976299999999</v>
      </c>
      <c r="BL4" t="s">
        <v>273</v>
      </c>
      <c r="BM4">
        <v>52.960931000000002</v>
      </c>
      <c r="BN4">
        <v>53.570746</v>
      </c>
      <c r="BO4">
        <v>161.75057899999999</v>
      </c>
      <c r="BP4" t="s">
        <v>273</v>
      </c>
      <c r="BQ4">
        <v>30.611898</v>
      </c>
      <c r="BR4">
        <v>30.964376000000001</v>
      </c>
      <c r="BS4">
        <v>279.84090900000001</v>
      </c>
      <c r="BT4" t="s">
        <v>273</v>
      </c>
      <c r="BU4">
        <v>11.913644</v>
      </c>
      <c r="BV4">
        <v>12.050822999999999</v>
      </c>
      <c r="BW4">
        <v>719.04628000000002</v>
      </c>
      <c r="BX4" t="s">
        <v>273</v>
      </c>
      <c r="BY4">
        <v>31.544955000000002</v>
      </c>
      <c r="BZ4">
        <v>32.231707</v>
      </c>
      <c r="CA4">
        <v>36.499113999999999</v>
      </c>
      <c r="CB4">
        <v>52.960931000000002</v>
      </c>
      <c r="CC4">
        <v>17.036528000000001</v>
      </c>
      <c r="CD4">
        <v>39.674151999999999</v>
      </c>
      <c r="CE4" t="s">
        <v>273</v>
      </c>
      <c r="CF4">
        <v>31.908176999999998</v>
      </c>
      <c r="CG4">
        <v>32.602837000000001</v>
      </c>
      <c r="CH4">
        <v>36.919381000000001</v>
      </c>
      <c r="CI4">
        <v>53.570746</v>
      </c>
      <c r="CJ4">
        <v>17.232693999999999</v>
      </c>
      <c r="CK4">
        <v>40.130977000000001</v>
      </c>
      <c r="CL4" t="s">
        <v>273</v>
      </c>
      <c r="CM4">
        <v>271.56359300000003</v>
      </c>
      <c r="CN4">
        <v>265.77746400000001</v>
      </c>
      <c r="CO4">
        <v>234.70326399999999</v>
      </c>
      <c r="CP4">
        <v>161.75057899999999</v>
      </c>
      <c r="CQ4">
        <v>502.82906600000001</v>
      </c>
      <c r="CR4">
        <v>215.92046300000001</v>
      </c>
      <c r="CS4" t="s">
        <v>273</v>
      </c>
      <c r="CT4">
        <v>323.18596500000001</v>
      </c>
      <c r="CU4">
        <v>340.17020000000002</v>
      </c>
      <c r="CV4">
        <v>279.27642900000001</v>
      </c>
      <c r="CW4">
        <v>547.87296300000003</v>
      </c>
      <c r="CX4">
        <v>296.75098500000001</v>
      </c>
      <c r="CY4">
        <v>444.53668199999998</v>
      </c>
      <c r="CZ4" t="s">
        <v>273</v>
      </c>
      <c r="DA4">
        <v>3.607631</v>
      </c>
      <c r="DB4">
        <v>510.01</v>
      </c>
      <c r="DC4">
        <v>3.8798889999999999</v>
      </c>
      <c r="DD4">
        <v>864</v>
      </c>
      <c r="DE4">
        <v>3.607084</v>
      </c>
      <c r="DF4">
        <v>505</v>
      </c>
      <c r="DG4">
        <v>10.267747</v>
      </c>
      <c r="DH4">
        <v>765</v>
      </c>
      <c r="DI4">
        <v>1.7890109999999999</v>
      </c>
      <c r="DJ4">
        <v>235</v>
      </c>
      <c r="DK4">
        <v>6.2410110000000003</v>
      </c>
      <c r="DL4">
        <v>365</v>
      </c>
      <c r="DM4" t="s">
        <v>273</v>
      </c>
      <c r="DN4">
        <v>4.9454440000000002</v>
      </c>
      <c r="DO4">
        <v>12.679356</v>
      </c>
      <c r="DP4">
        <v>6.2085670000000004</v>
      </c>
      <c r="DQ4" t="s">
        <v>282</v>
      </c>
      <c r="DR4">
        <v>9.8797499999999996</v>
      </c>
      <c r="DS4">
        <v>19.552296999999999</v>
      </c>
      <c r="DT4">
        <v>48.319969999999998</v>
      </c>
      <c r="DU4">
        <v>76.128360999999998</v>
      </c>
      <c r="DV4">
        <v>139.18221199999999</v>
      </c>
      <c r="DW4" t="s">
        <v>283</v>
      </c>
      <c r="DX4" t="s">
        <v>273</v>
      </c>
      <c r="DY4">
        <v>25.89424</v>
      </c>
      <c r="DZ4">
        <v>5.5115999999999998E-2</v>
      </c>
      <c r="EA4">
        <v>0.97139200000000003</v>
      </c>
      <c r="EB4">
        <v>0.80307300000000004</v>
      </c>
      <c r="EC4">
        <v>82.672443000000001</v>
      </c>
      <c r="ED4">
        <v>21.020422</v>
      </c>
      <c r="EE4">
        <v>488.95600999999999</v>
      </c>
      <c r="EF4">
        <v>5.5662419999999999</v>
      </c>
      <c r="EG4">
        <v>28</v>
      </c>
      <c r="EH4">
        <v>28</v>
      </c>
      <c r="EI4">
        <v>24</v>
      </c>
      <c r="EJ4">
        <v>27</v>
      </c>
      <c r="EK4" t="s">
        <v>273</v>
      </c>
      <c r="EL4" t="s">
        <v>273</v>
      </c>
      <c r="EM4">
        <v>26.109155000000001</v>
      </c>
      <c r="EN4">
        <v>3.2732999999999998E-2</v>
      </c>
      <c r="EO4">
        <v>1.0309269999999999</v>
      </c>
      <c r="EP4">
        <v>0.81287799999999999</v>
      </c>
      <c r="EQ4">
        <v>78.849271999999999</v>
      </c>
      <c r="ER4">
        <v>20.092977000000001</v>
      </c>
      <c r="ES4">
        <v>457.42382800000001</v>
      </c>
      <c r="ET4">
        <v>3.305774</v>
      </c>
      <c r="EU4">
        <v>55</v>
      </c>
      <c r="EV4">
        <v>55</v>
      </c>
      <c r="EW4">
        <v>35</v>
      </c>
      <c r="EX4">
        <v>34</v>
      </c>
      <c r="EY4" t="s">
        <v>273</v>
      </c>
      <c r="EZ4" t="s">
        <v>273</v>
      </c>
      <c r="FA4">
        <v>29.959416999999998</v>
      </c>
      <c r="FB4">
        <v>5.5659E-2</v>
      </c>
      <c r="FC4">
        <v>0.97119500000000003</v>
      </c>
      <c r="FD4">
        <v>0.80302499999999999</v>
      </c>
      <c r="FE4">
        <v>82.684224999999998</v>
      </c>
      <c r="FF4">
        <v>24.323719000000001</v>
      </c>
      <c r="FG4">
        <v>488.99870600000003</v>
      </c>
      <c r="FH4">
        <v>5.6211029999999997</v>
      </c>
      <c r="FI4">
        <v>28</v>
      </c>
      <c r="FJ4">
        <v>28</v>
      </c>
      <c r="FK4">
        <v>24</v>
      </c>
      <c r="FL4">
        <v>27</v>
      </c>
      <c r="FM4" t="s">
        <v>273</v>
      </c>
      <c r="FN4" t="s">
        <v>273</v>
      </c>
      <c r="FO4">
        <v>30.310386999999999</v>
      </c>
      <c r="FP4">
        <v>7.7958E-2</v>
      </c>
      <c r="FQ4">
        <v>1.9275690000000001</v>
      </c>
      <c r="FR4">
        <v>1.686237</v>
      </c>
      <c r="FS4">
        <v>87.479939000000002</v>
      </c>
      <c r="FT4">
        <v>26.307690000000001</v>
      </c>
      <c r="FU4">
        <v>364.48517399999997</v>
      </c>
      <c r="FV4">
        <v>7.8730399999999996</v>
      </c>
      <c r="FW4">
        <v>21</v>
      </c>
      <c r="FX4">
        <v>21</v>
      </c>
      <c r="FY4">
        <v>21</v>
      </c>
      <c r="FZ4">
        <v>21</v>
      </c>
      <c r="GA4" t="s">
        <v>273</v>
      </c>
      <c r="GB4" t="s">
        <v>273</v>
      </c>
      <c r="GC4">
        <v>30.457509999999999</v>
      </c>
      <c r="GD4">
        <v>0.12674199999999999</v>
      </c>
      <c r="GE4">
        <v>1.0491200000000001</v>
      </c>
      <c r="GF4">
        <v>0.85994300000000001</v>
      </c>
      <c r="GG4">
        <v>81.968008999999995</v>
      </c>
      <c r="GH4">
        <v>24.256824999999999</v>
      </c>
      <c r="GI4">
        <v>1044.746803</v>
      </c>
      <c r="GJ4">
        <v>12.799854</v>
      </c>
      <c r="GK4">
        <v>28</v>
      </c>
      <c r="GL4">
        <v>28</v>
      </c>
      <c r="GM4">
        <v>14</v>
      </c>
      <c r="GN4">
        <v>27</v>
      </c>
      <c r="GO4" t="s">
        <v>273</v>
      </c>
      <c r="GP4" t="s">
        <v>273</v>
      </c>
      <c r="GQ4">
        <v>31.376445</v>
      </c>
      <c r="GR4">
        <v>0.13541600000000001</v>
      </c>
      <c r="GS4">
        <v>1.6190119999999999</v>
      </c>
      <c r="GT4">
        <v>1.4042159999999999</v>
      </c>
      <c r="GU4">
        <v>86.732923</v>
      </c>
      <c r="GV4">
        <v>26.871811000000001</v>
      </c>
      <c r="GW4">
        <v>496.98386199999999</v>
      </c>
      <c r="GX4">
        <v>13.675815999999999</v>
      </c>
      <c r="GY4">
        <v>34</v>
      </c>
      <c r="GZ4">
        <v>34</v>
      </c>
      <c r="HA4">
        <v>18</v>
      </c>
      <c r="HB4">
        <v>20</v>
      </c>
      <c r="HC4" t="s">
        <v>273</v>
      </c>
      <c r="HD4" t="s">
        <v>273</v>
      </c>
      <c r="HE4">
        <v>31</v>
      </c>
      <c r="HF4">
        <v>5.0000000000000001E-4</v>
      </c>
      <c r="HG4">
        <v>3.0000000000000001E-3</v>
      </c>
      <c r="HH4">
        <v>3.2258000000000002E-2</v>
      </c>
      <c r="HI4">
        <v>4250</v>
      </c>
    </row>
    <row r="5" spans="1:217" x14ac:dyDescent="0.3">
      <c r="A5">
        <v>89</v>
      </c>
      <c r="B5" t="s">
        <v>269</v>
      </c>
      <c r="F5" t="s">
        <v>270</v>
      </c>
      <c r="G5" t="s">
        <v>271</v>
      </c>
      <c r="H5" t="s">
        <v>272</v>
      </c>
      <c r="I5">
        <v>3250</v>
      </c>
      <c r="J5">
        <v>1</v>
      </c>
      <c r="K5">
        <v>18.916796999999999</v>
      </c>
      <c r="L5">
        <v>0.22</v>
      </c>
      <c r="M5">
        <v>1.788E-2</v>
      </c>
      <c r="N5">
        <v>0</v>
      </c>
      <c r="O5">
        <v>0</v>
      </c>
      <c r="P5">
        <v>0</v>
      </c>
      <c r="Q5">
        <v>9.9499999999999993</v>
      </c>
      <c r="R5">
        <v>1</v>
      </c>
      <c r="S5">
        <v>1</v>
      </c>
      <c r="T5">
        <v>1</v>
      </c>
      <c r="U5">
        <v>1</v>
      </c>
      <c r="V5">
        <v>100</v>
      </c>
      <c r="W5" t="s">
        <v>273</v>
      </c>
      <c r="X5" t="s">
        <v>274</v>
      </c>
      <c r="Y5" t="s">
        <v>274</v>
      </c>
      <c r="Z5" t="s">
        <v>273</v>
      </c>
      <c r="AA5" t="s">
        <v>275</v>
      </c>
      <c r="AB5" t="s">
        <v>276</v>
      </c>
      <c r="AC5">
        <v>164</v>
      </c>
      <c r="AD5">
        <v>5</v>
      </c>
      <c r="AE5" t="s">
        <v>277</v>
      </c>
      <c r="AF5">
        <v>3.7955290000000002</v>
      </c>
      <c r="AG5">
        <v>100</v>
      </c>
      <c r="AH5">
        <v>34.200000000000003</v>
      </c>
      <c r="AI5">
        <v>2050</v>
      </c>
      <c r="AJ5">
        <v>800</v>
      </c>
      <c r="AK5">
        <v>1200</v>
      </c>
      <c r="AL5">
        <v>253.6</v>
      </c>
      <c r="AM5">
        <v>2.2000000000000002</v>
      </c>
      <c r="AN5" t="s">
        <v>273</v>
      </c>
      <c r="AO5" t="s">
        <v>278</v>
      </c>
      <c r="AP5" t="s">
        <v>279</v>
      </c>
      <c r="AQ5">
        <v>1.4</v>
      </c>
      <c r="AR5">
        <v>3</v>
      </c>
      <c r="AS5">
        <v>78.5</v>
      </c>
      <c r="AT5">
        <v>142.80000000000001</v>
      </c>
      <c r="AU5">
        <v>8.1395999999999996E-2</v>
      </c>
      <c r="AV5">
        <v>36.200000000000003</v>
      </c>
      <c r="AW5">
        <v>237.7</v>
      </c>
      <c r="AX5" t="s">
        <v>280</v>
      </c>
      <c r="AY5">
        <v>0</v>
      </c>
      <c r="AZ5" t="s">
        <v>281</v>
      </c>
      <c r="BA5">
        <v>0.2</v>
      </c>
      <c r="BB5">
        <v>0.5</v>
      </c>
      <c r="BC5" t="s">
        <v>273</v>
      </c>
      <c r="BD5" t="s">
        <v>273</v>
      </c>
      <c r="BE5">
        <v>39.988796999999998</v>
      </c>
      <c r="BF5">
        <v>40.449244999999998</v>
      </c>
      <c r="BG5">
        <v>214.221531</v>
      </c>
      <c r="BH5" t="s">
        <v>273</v>
      </c>
      <c r="BI5">
        <v>52.142097999999997</v>
      </c>
      <c r="BJ5">
        <v>52.742485000000002</v>
      </c>
      <c r="BK5">
        <v>164.29069100000001</v>
      </c>
      <c r="BL5" t="s">
        <v>273</v>
      </c>
      <c r="BM5">
        <v>52.145277999999998</v>
      </c>
      <c r="BN5">
        <v>52.745700999999997</v>
      </c>
      <c r="BO5">
        <v>164.28067100000001</v>
      </c>
      <c r="BP5" t="s">
        <v>273</v>
      </c>
      <c r="BQ5">
        <v>31.383890000000001</v>
      </c>
      <c r="BR5">
        <v>31.745256999999999</v>
      </c>
      <c r="BS5">
        <v>272.95728500000001</v>
      </c>
      <c r="BT5" t="s">
        <v>273</v>
      </c>
      <c r="BU5">
        <v>13.923697000000001</v>
      </c>
      <c r="BV5">
        <v>14.084021</v>
      </c>
      <c r="BW5">
        <v>615.24328200000002</v>
      </c>
      <c r="BX5" t="s">
        <v>273</v>
      </c>
      <c r="BY5">
        <v>36.318533000000002</v>
      </c>
      <c r="BZ5">
        <v>40.583202</v>
      </c>
      <c r="CA5">
        <v>42.031084999999997</v>
      </c>
      <c r="CB5">
        <v>52.145277999999998</v>
      </c>
      <c r="CC5">
        <v>20.827590000000001</v>
      </c>
      <c r="CD5">
        <v>36.722124999999998</v>
      </c>
      <c r="CE5" t="s">
        <v>273</v>
      </c>
      <c r="CF5">
        <v>36.736721000000003</v>
      </c>
      <c r="CG5">
        <v>41.050494999999998</v>
      </c>
      <c r="CH5">
        <v>42.515048999999998</v>
      </c>
      <c r="CI5">
        <v>52.745700999999997</v>
      </c>
      <c r="CJ5">
        <v>21.067408</v>
      </c>
      <c r="CK5">
        <v>37.144959</v>
      </c>
      <c r="CL5" t="s">
        <v>273</v>
      </c>
      <c r="CM5">
        <v>235.87024299999999</v>
      </c>
      <c r="CN5">
        <v>211.08391499999999</v>
      </c>
      <c r="CO5">
        <v>203.81251900000001</v>
      </c>
      <c r="CP5">
        <v>164.28067100000001</v>
      </c>
      <c r="CQ5">
        <v>411.30353700000001</v>
      </c>
      <c r="CR5">
        <v>233.27793</v>
      </c>
      <c r="CS5" t="s">
        <v>273</v>
      </c>
      <c r="CT5">
        <v>280.56474400000002</v>
      </c>
      <c r="CU5">
        <v>270.16274600000003</v>
      </c>
      <c r="CV5">
        <v>242.404211</v>
      </c>
      <c r="CW5">
        <v>556.39315899999997</v>
      </c>
      <c r="CX5">
        <v>242.75190699999999</v>
      </c>
      <c r="CY5">
        <v>480.03914700000001</v>
      </c>
      <c r="CZ5" t="s">
        <v>273</v>
      </c>
      <c r="DA5">
        <v>3.6057950000000001</v>
      </c>
      <c r="DB5">
        <v>510.01</v>
      </c>
      <c r="DC5">
        <v>3.8798189999999999</v>
      </c>
      <c r="DD5">
        <v>864</v>
      </c>
      <c r="DE5">
        <v>3.605375</v>
      </c>
      <c r="DF5">
        <v>505</v>
      </c>
      <c r="DG5">
        <v>10.266832000000001</v>
      </c>
      <c r="DH5">
        <v>765</v>
      </c>
      <c r="DI5">
        <v>1.7891280000000001</v>
      </c>
      <c r="DJ5">
        <v>235</v>
      </c>
      <c r="DK5">
        <v>6.2379819999999997</v>
      </c>
      <c r="DL5">
        <v>365</v>
      </c>
      <c r="DM5" t="s">
        <v>273</v>
      </c>
      <c r="DN5">
        <v>4.6465399999999999</v>
      </c>
      <c r="DO5">
        <v>12.45392</v>
      </c>
      <c r="DP5">
        <v>5.7063879999999996</v>
      </c>
      <c r="DQ5" t="s">
        <v>282</v>
      </c>
      <c r="DR5">
        <v>9.4451549999999997</v>
      </c>
      <c r="DS5">
        <v>19.425350999999999</v>
      </c>
      <c r="DT5">
        <v>47.030813999999999</v>
      </c>
      <c r="DU5">
        <v>75.047263000000001</v>
      </c>
      <c r="DV5">
        <v>114.49388399999999</v>
      </c>
      <c r="DW5" t="s">
        <v>283</v>
      </c>
      <c r="DX5" t="s">
        <v>273</v>
      </c>
      <c r="DY5">
        <v>25.434279</v>
      </c>
      <c r="DZ5">
        <v>6.1807000000000001E-2</v>
      </c>
      <c r="EA5">
        <v>0.82830700000000002</v>
      </c>
      <c r="EB5">
        <v>0.69783700000000004</v>
      </c>
      <c r="EC5">
        <v>84.248593999999997</v>
      </c>
      <c r="ED5">
        <v>21.096316999999999</v>
      </c>
      <c r="EE5">
        <v>426.22316999999998</v>
      </c>
      <c r="EF5">
        <v>4.8496269999999999</v>
      </c>
      <c r="EG5">
        <v>125</v>
      </c>
      <c r="EH5">
        <v>125</v>
      </c>
      <c r="EI5">
        <v>22</v>
      </c>
      <c r="EJ5">
        <v>27</v>
      </c>
      <c r="EK5" t="s">
        <v>273</v>
      </c>
      <c r="EL5" t="s">
        <v>273</v>
      </c>
      <c r="EM5">
        <v>25.078707000000001</v>
      </c>
      <c r="EN5">
        <v>3.2820000000000002E-2</v>
      </c>
      <c r="EO5">
        <v>0.78644700000000001</v>
      </c>
      <c r="EP5">
        <v>0.63272899999999999</v>
      </c>
      <c r="EQ5">
        <v>80.454161999999997</v>
      </c>
      <c r="ER5">
        <v>19.708044000000001</v>
      </c>
      <c r="ES5">
        <v>356.33218799999997</v>
      </c>
      <c r="ET5">
        <v>2.575145</v>
      </c>
      <c r="EU5">
        <v>40</v>
      </c>
      <c r="EV5">
        <v>40</v>
      </c>
      <c r="EW5">
        <v>38</v>
      </c>
      <c r="EX5">
        <v>39</v>
      </c>
      <c r="EY5" t="s">
        <v>273</v>
      </c>
      <c r="EZ5" t="s">
        <v>273</v>
      </c>
      <c r="FA5">
        <v>29.394680000000001</v>
      </c>
      <c r="FB5">
        <v>6.2419000000000002E-2</v>
      </c>
      <c r="FC5">
        <v>0.82708000000000004</v>
      </c>
      <c r="FD5">
        <v>0.69784999999999997</v>
      </c>
      <c r="FE5">
        <v>84.37518</v>
      </c>
      <c r="FF5">
        <v>24.416754999999998</v>
      </c>
      <c r="FG5">
        <v>426.26323500000001</v>
      </c>
      <c r="FH5">
        <v>4.8976280000000001</v>
      </c>
      <c r="FI5">
        <v>32</v>
      </c>
      <c r="FJ5">
        <v>32</v>
      </c>
      <c r="FK5">
        <v>23</v>
      </c>
      <c r="FL5">
        <v>28</v>
      </c>
      <c r="FM5" t="s">
        <v>273</v>
      </c>
      <c r="FN5" t="s">
        <v>273</v>
      </c>
      <c r="FO5">
        <v>30.865902999999999</v>
      </c>
      <c r="FP5">
        <v>0.104432</v>
      </c>
      <c r="FQ5">
        <v>1.9934229999999999</v>
      </c>
      <c r="FR5">
        <v>1.751582</v>
      </c>
      <c r="FS5">
        <v>87.868043</v>
      </c>
      <c r="FT5">
        <v>26.961341999999998</v>
      </c>
      <c r="FU5">
        <v>379.38425999999998</v>
      </c>
      <c r="FV5">
        <v>8.1941369999999996</v>
      </c>
      <c r="FW5">
        <v>23</v>
      </c>
      <c r="FX5">
        <v>23</v>
      </c>
      <c r="FY5">
        <v>23</v>
      </c>
      <c r="FZ5">
        <v>22</v>
      </c>
      <c r="GA5" t="s">
        <v>273</v>
      </c>
      <c r="GB5" t="s">
        <v>273</v>
      </c>
      <c r="GC5">
        <v>29.790429</v>
      </c>
      <c r="GD5">
        <v>0.132686</v>
      </c>
      <c r="GE5">
        <v>0.839418</v>
      </c>
      <c r="GF5">
        <v>0.69849499999999998</v>
      </c>
      <c r="GG5">
        <v>83.211831000000004</v>
      </c>
      <c r="GH5">
        <v>24.118542999999999</v>
      </c>
      <c r="GI5">
        <v>849.70801800000004</v>
      </c>
      <c r="GJ5">
        <v>10.410990999999999</v>
      </c>
      <c r="GK5">
        <v>31</v>
      </c>
      <c r="GL5">
        <v>31</v>
      </c>
      <c r="GM5">
        <v>15</v>
      </c>
      <c r="GN5">
        <v>29</v>
      </c>
      <c r="GO5" t="s">
        <v>273</v>
      </c>
      <c r="GP5" t="s">
        <v>273</v>
      </c>
      <c r="GQ5">
        <v>31.752444000000001</v>
      </c>
      <c r="GR5">
        <v>0.19332099999999999</v>
      </c>
      <c r="GS5">
        <v>1.769263</v>
      </c>
      <c r="GT5">
        <v>1.5501739999999999</v>
      </c>
      <c r="GU5">
        <v>87.616898000000006</v>
      </c>
      <c r="GV5">
        <v>27.600826999999999</v>
      </c>
      <c r="GW5">
        <v>551.50222499999995</v>
      </c>
      <c r="GX5">
        <v>15.168668</v>
      </c>
      <c r="GY5">
        <v>35</v>
      </c>
      <c r="GZ5">
        <v>35</v>
      </c>
      <c r="HA5">
        <v>32</v>
      </c>
      <c r="HB5">
        <v>32</v>
      </c>
      <c r="HC5" t="s">
        <v>273</v>
      </c>
      <c r="HD5" t="s">
        <v>273</v>
      </c>
      <c r="HE5">
        <v>31</v>
      </c>
      <c r="HF5">
        <v>5.0000000000000001E-4</v>
      </c>
      <c r="HG5">
        <v>4.7499999999999999E-3</v>
      </c>
      <c r="HH5">
        <v>3.2258000000000002E-2</v>
      </c>
      <c r="HI5">
        <v>3250</v>
      </c>
    </row>
    <row r="6" spans="1:217" x14ac:dyDescent="0.3">
      <c r="A6">
        <v>90</v>
      </c>
      <c r="B6" t="s">
        <v>269</v>
      </c>
      <c r="F6" t="s">
        <v>270</v>
      </c>
      <c r="G6" t="s">
        <v>271</v>
      </c>
      <c r="H6" t="s">
        <v>272</v>
      </c>
      <c r="I6">
        <v>4250</v>
      </c>
      <c r="J6">
        <v>1</v>
      </c>
      <c r="K6">
        <v>25.752734</v>
      </c>
      <c r="L6">
        <v>0.22</v>
      </c>
      <c r="M6">
        <v>2.4228E-2</v>
      </c>
      <c r="N6">
        <v>0</v>
      </c>
      <c r="O6">
        <v>0</v>
      </c>
      <c r="P6">
        <v>0</v>
      </c>
      <c r="Q6">
        <v>12.98</v>
      </c>
      <c r="R6">
        <v>1</v>
      </c>
      <c r="S6">
        <v>1</v>
      </c>
      <c r="T6">
        <v>1</v>
      </c>
      <c r="U6">
        <v>1</v>
      </c>
      <c r="V6">
        <v>100</v>
      </c>
      <c r="W6" t="s">
        <v>273</v>
      </c>
      <c r="X6" t="s">
        <v>274</v>
      </c>
      <c r="Y6" t="s">
        <v>274</v>
      </c>
      <c r="Z6" t="s">
        <v>273</v>
      </c>
      <c r="AA6" t="s">
        <v>275</v>
      </c>
      <c r="AB6" t="s">
        <v>276</v>
      </c>
      <c r="AC6">
        <v>211</v>
      </c>
      <c r="AD6">
        <v>5</v>
      </c>
      <c r="AE6" t="s">
        <v>277</v>
      </c>
      <c r="AF6">
        <v>3.425233</v>
      </c>
      <c r="AG6">
        <v>100</v>
      </c>
      <c r="AH6">
        <v>30.8</v>
      </c>
      <c r="AI6">
        <v>1850</v>
      </c>
      <c r="AJ6">
        <v>800</v>
      </c>
      <c r="AK6">
        <v>1200</v>
      </c>
      <c r="AL6">
        <v>223.6</v>
      </c>
      <c r="AM6">
        <v>2.2000000000000002</v>
      </c>
      <c r="AN6" t="s">
        <v>273</v>
      </c>
      <c r="AO6" t="s">
        <v>278</v>
      </c>
      <c r="AP6" t="s">
        <v>284</v>
      </c>
      <c r="AQ6">
        <v>1.8</v>
      </c>
      <c r="AR6">
        <v>3</v>
      </c>
      <c r="AS6">
        <v>101</v>
      </c>
      <c r="AT6">
        <v>183.7</v>
      </c>
      <c r="AU6">
        <v>0.104652</v>
      </c>
      <c r="AV6">
        <v>36.6</v>
      </c>
      <c r="AW6">
        <v>235.2</v>
      </c>
      <c r="AX6" t="s">
        <v>280</v>
      </c>
      <c r="AY6">
        <v>0</v>
      </c>
      <c r="AZ6" t="s">
        <v>281</v>
      </c>
      <c r="BA6">
        <v>0.2</v>
      </c>
      <c r="BB6">
        <v>0.5</v>
      </c>
      <c r="BC6" t="s">
        <v>273</v>
      </c>
      <c r="BD6" t="s">
        <v>273</v>
      </c>
      <c r="BE6">
        <v>31.328101</v>
      </c>
      <c r="BF6">
        <v>31.688825999999999</v>
      </c>
      <c r="BG6">
        <v>273.44336199999998</v>
      </c>
      <c r="BH6" t="s">
        <v>273</v>
      </c>
      <c r="BI6">
        <v>41.095725000000002</v>
      </c>
      <c r="BJ6">
        <v>41.568919000000001</v>
      </c>
      <c r="BK6">
        <v>208.45139499999999</v>
      </c>
      <c r="BL6" t="s">
        <v>273</v>
      </c>
      <c r="BM6">
        <v>41.098263000000003</v>
      </c>
      <c r="BN6">
        <v>41.571486</v>
      </c>
      <c r="BO6">
        <v>208.438524</v>
      </c>
      <c r="BP6" t="s">
        <v>273</v>
      </c>
      <c r="BQ6">
        <v>24.263199</v>
      </c>
      <c r="BR6">
        <v>24.542576</v>
      </c>
      <c r="BS6">
        <v>353.063963</v>
      </c>
      <c r="BT6" t="s">
        <v>273</v>
      </c>
      <c r="BU6">
        <v>11.095058</v>
      </c>
      <c r="BV6">
        <v>11.222811999999999</v>
      </c>
      <c r="BW6">
        <v>772.09700299999997</v>
      </c>
      <c r="BX6" t="s">
        <v>273</v>
      </c>
      <c r="BY6">
        <v>28.474433000000001</v>
      </c>
      <c r="BZ6">
        <v>31.790272999999999</v>
      </c>
      <c r="CA6">
        <v>32.913473000000003</v>
      </c>
      <c r="CB6">
        <v>41.098263000000003</v>
      </c>
      <c r="CC6">
        <v>16.040658000000001</v>
      </c>
      <c r="CD6">
        <v>28.441217000000002</v>
      </c>
      <c r="CE6" t="s">
        <v>273</v>
      </c>
      <c r="CF6">
        <v>28.802299999999999</v>
      </c>
      <c r="CG6">
        <v>32.156320000000001</v>
      </c>
      <c r="CH6">
        <v>33.292453000000002</v>
      </c>
      <c r="CI6">
        <v>41.571486</v>
      </c>
      <c r="CJ6">
        <v>16.225356999999999</v>
      </c>
      <c r="CK6">
        <v>28.768702000000001</v>
      </c>
      <c r="CL6" t="s">
        <v>273</v>
      </c>
      <c r="CM6">
        <v>300.84747299999998</v>
      </c>
      <c r="CN6">
        <v>269.46799800000002</v>
      </c>
      <c r="CO6">
        <v>260.27217999999999</v>
      </c>
      <c r="CP6">
        <v>208.438524</v>
      </c>
      <c r="CQ6">
        <v>534.04674899999998</v>
      </c>
      <c r="CR6">
        <v>301.19882699999999</v>
      </c>
      <c r="CS6" t="s">
        <v>273</v>
      </c>
      <c r="CT6">
        <v>357.93539600000003</v>
      </c>
      <c r="CU6">
        <v>344.89539600000001</v>
      </c>
      <c r="CV6">
        <v>309.61415899999997</v>
      </c>
      <c r="CW6">
        <v>705.94329600000003</v>
      </c>
      <c r="CX6">
        <v>314.929239</v>
      </c>
      <c r="CY6">
        <v>619.79595500000005</v>
      </c>
      <c r="CZ6" t="s">
        <v>273</v>
      </c>
      <c r="DA6">
        <v>3.6066120000000002</v>
      </c>
      <c r="DB6">
        <v>510.01</v>
      </c>
      <c r="DC6">
        <v>3.8799070000000002</v>
      </c>
      <c r="DD6">
        <v>864</v>
      </c>
      <c r="DE6">
        <v>3.6060699999999999</v>
      </c>
      <c r="DF6">
        <v>505</v>
      </c>
      <c r="DG6">
        <v>10.26675</v>
      </c>
      <c r="DH6">
        <v>765</v>
      </c>
      <c r="DI6">
        <v>1.7876190000000001</v>
      </c>
      <c r="DJ6">
        <v>235</v>
      </c>
      <c r="DK6">
        <v>6.2378739999999997</v>
      </c>
      <c r="DL6">
        <v>365</v>
      </c>
      <c r="DM6" t="s">
        <v>273</v>
      </c>
      <c r="DN6">
        <v>4.943492</v>
      </c>
      <c r="DO6">
        <v>12.974411</v>
      </c>
      <c r="DP6">
        <v>6.3476790000000003</v>
      </c>
      <c r="DQ6" t="s">
        <v>282</v>
      </c>
      <c r="DR6">
        <v>11.051192</v>
      </c>
      <c r="DS6">
        <v>19.731137</v>
      </c>
      <c r="DT6">
        <v>50.104419</v>
      </c>
      <c r="DU6">
        <v>73.920721999999998</v>
      </c>
      <c r="DV6">
        <v>109.96744</v>
      </c>
      <c r="DW6" t="s">
        <v>283</v>
      </c>
      <c r="DX6" t="s">
        <v>273</v>
      </c>
      <c r="DY6">
        <v>26.465315</v>
      </c>
      <c r="DZ6">
        <v>6.2812000000000007E-2</v>
      </c>
      <c r="EA6">
        <v>1.099564</v>
      </c>
      <c r="EB6">
        <v>0.91260799999999997</v>
      </c>
      <c r="EC6">
        <v>82.997315</v>
      </c>
      <c r="ED6">
        <v>21.629749</v>
      </c>
      <c r="EE6">
        <v>557.38456299999996</v>
      </c>
      <c r="EF6">
        <v>6.3434359999999996</v>
      </c>
      <c r="EG6">
        <v>45</v>
      </c>
      <c r="EH6">
        <v>45</v>
      </c>
      <c r="EI6">
        <v>24</v>
      </c>
      <c r="EJ6">
        <v>29</v>
      </c>
      <c r="EK6" t="s">
        <v>273</v>
      </c>
      <c r="EL6" t="s">
        <v>273</v>
      </c>
      <c r="EM6">
        <v>26.168564</v>
      </c>
      <c r="EN6">
        <v>3.3343999999999999E-2</v>
      </c>
      <c r="EO6">
        <v>1.047625</v>
      </c>
      <c r="EP6">
        <v>0.82756099999999999</v>
      </c>
      <c r="EQ6">
        <v>78.993988000000002</v>
      </c>
      <c r="ER6">
        <v>20.187493</v>
      </c>
      <c r="ES6">
        <v>465.95719600000001</v>
      </c>
      <c r="ET6">
        <v>3.3674599999999999</v>
      </c>
      <c r="EU6">
        <v>35</v>
      </c>
      <c r="EV6">
        <v>35</v>
      </c>
      <c r="EW6">
        <v>35</v>
      </c>
      <c r="EX6">
        <v>34</v>
      </c>
      <c r="EY6" t="s">
        <v>273</v>
      </c>
      <c r="EZ6" t="s">
        <v>273</v>
      </c>
      <c r="FA6">
        <v>30.593043000000002</v>
      </c>
      <c r="FB6">
        <v>6.3432000000000002E-2</v>
      </c>
      <c r="FC6">
        <v>1.099467</v>
      </c>
      <c r="FD6">
        <v>0.91256300000000001</v>
      </c>
      <c r="FE6">
        <v>83.000532000000007</v>
      </c>
      <c r="FF6">
        <v>25.004135000000002</v>
      </c>
      <c r="FG6">
        <v>557.44045500000004</v>
      </c>
      <c r="FH6">
        <v>6.4060480000000002</v>
      </c>
      <c r="FI6">
        <v>31</v>
      </c>
      <c r="FJ6">
        <v>31</v>
      </c>
      <c r="FK6">
        <v>24</v>
      </c>
      <c r="FL6">
        <v>29</v>
      </c>
      <c r="FM6" t="s">
        <v>273</v>
      </c>
      <c r="FN6" t="s">
        <v>273</v>
      </c>
      <c r="FO6">
        <v>31.888370999999999</v>
      </c>
      <c r="FP6">
        <v>0.10592699999999999</v>
      </c>
      <c r="FQ6">
        <v>2.6130089999999999</v>
      </c>
      <c r="FR6">
        <v>2.286359</v>
      </c>
      <c r="FS6">
        <v>87.499097000000006</v>
      </c>
      <c r="FT6">
        <v>27.742155</v>
      </c>
      <c r="FU6">
        <v>495.30137100000002</v>
      </c>
      <c r="FV6">
        <v>10.697689</v>
      </c>
      <c r="FW6">
        <v>31</v>
      </c>
      <c r="FX6">
        <v>31</v>
      </c>
      <c r="FY6">
        <v>30</v>
      </c>
      <c r="FZ6">
        <v>27</v>
      </c>
      <c r="GA6" t="s">
        <v>273</v>
      </c>
      <c r="GB6" t="s">
        <v>273</v>
      </c>
      <c r="GC6">
        <v>30.474394</v>
      </c>
      <c r="GD6">
        <v>0.134912</v>
      </c>
      <c r="GE6">
        <v>1.114004</v>
      </c>
      <c r="GF6">
        <v>0.91380499999999998</v>
      </c>
      <c r="GG6">
        <v>82.028920999999997</v>
      </c>
      <c r="GH6">
        <v>24.329934999999999</v>
      </c>
      <c r="GI6">
        <v>1112.9540979999999</v>
      </c>
      <c r="GJ6">
        <v>13.624893999999999</v>
      </c>
      <c r="GK6">
        <v>29</v>
      </c>
      <c r="GL6">
        <v>29</v>
      </c>
      <c r="GM6">
        <v>16</v>
      </c>
      <c r="GN6">
        <v>29</v>
      </c>
      <c r="GO6" t="s">
        <v>273</v>
      </c>
      <c r="GP6" t="s">
        <v>273</v>
      </c>
      <c r="GQ6">
        <v>32.397267999999997</v>
      </c>
      <c r="GR6">
        <v>0.196826</v>
      </c>
      <c r="GS6">
        <v>2.3307509999999998</v>
      </c>
      <c r="GT6">
        <v>2.0309330000000001</v>
      </c>
      <c r="GU6">
        <v>87.136449999999996</v>
      </c>
      <c r="GV6">
        <v>28.013546000000002</v>
      </c>
      <c r="GW6">
        <v>722.72472400000004</v>
      </c>
      <c r="GX6">
        <v>19.877673000000001</v>
      </c>
      <c r="GY6">
        <v>75</v>
      </c>
      <c r="GZ6">
        <v>75</v>
      </c>
      <c r="HA6">
        <v>38</v>
      </c>
      <c r="HB6">
        <v>38</v>
      </c>
      <c r="HC6" t="s">
        <v>273</v>
      </c>
      <c r="HD6" t="s">
        <v>273</v>
      </c>
      <c r="HE6">
        <v>31</v>
      </c>
      <c r="HF6">
        <v>5.0000000000000001E-4</v>
      </c>
      <c r="HG6">
        <v>4.7499999999999999E-3</v>
      </c>
      <c r="HH6">
        <v>3.2258000000000002E-2</v>
      </c>
      <c r="HI6">
        <v>4250</v>
      </c>
    </row>
    <row r="7" spans="1:217" x14ac:dyDescent="0.3">
      <c r="A7">
        <v>107</v>
      </c>
      <c r="B7" t="s">
        <v>269</v>
      </c>
      <c r="F7" t="s">
        <v>270</v>
      </c>
      <c r="G7" t="s">
        <v>271</v>
      </c>
      <c r="H7" t="s">
        <v>272</v>
      </c>
      <c r="I7">
        <v>3250</v>
      </c>
      <c r="J7">
        <v>1</v>
      </c>
      <c r="K7">
        <v>14.473437000000001</v>
      </c>
      <c r="L7">
        <v>0.22</v>
      </c>
      <c r="M7">
        <v>2.8988E-2</v>
      </c>
      <c r="N7">
        <v>0</v>
      </c>
      <c r="O7">
        <v>0</v>
      </c>
      <c r="P7">
        <v>0</v>
      </c>
      <c r="Q7">
        <v>13.06</v>
      </c>
      <c r="R7">
        <v>1</v>
      </c>
      <c r="S7">
        <v>1</v>
      </c>
      <c r="T7">
        <v>1</v>
      </c>
      <c r="U7">
        <v>1</v>
      </c>
      <c r="V7">
        <v>100</v>
      </c>
      <c r="W7" t="s">
        <v>273</v>
      </c>
      <c r="X7" t="s">
        <v>274</v>
      </c>
      <c r="Y7" t="s">
        <v>274</v>
      </c>
      <c r="Z7" t="s">
        <v>273</v>
      </c>
      <c r="AA7" t="s">
        <v>275</v>
      </c>
      <c r="AB7" t="s">
        <v>276</v>
      </c>
      <c r="AC7">
        <v>164</v>
      </c>
      <c r="AD7">
        <v>5</v>
      </c>
      <c r="AE7" t="s">
        <v>277</v>
      </c>
      <c r="AF7">
        <v>3.7955290000000002</v>
      </c>
      <c r="AG7">
        <v>100</v>
      </c>
      <c r="AH7">
        <v>34.200000000000003</v>
      </c>
      <c r="AI7">
        <v>2050</v>
      </c>
      <c r="AJ7">
        <v>800</v>
      </c>
      <c r="AK7">
        <v>1200</v>
      </c>
      <c r="AL7">
        <v>253.6</v>
      </c>
      <c r="AM7">
        <v>2.2000000000000002</v>
      </c>
      <c r="AN7" t="s">
        <v>273</v>
      </c>
      <c r="AO7" t="s">
        <v>278</v>
      </c>
      <c r="AP7" t="s">
        <v>279</v>
      </c>
      <c r="AQ7">
        <v>1.4</v>
      </c>
      <c r="AR7">
        <v>3</v>
      </c>
      <c r="AS7">
        <v>78.5</v>
      </c>
      <c r="AT7">
        <v>142.80000000000001</v>
      </c>
      <c r="AU7">
        <v>8.1395999999999996E-2</v>
      </c>
      <c r="AV7">
        <v>36.200000000000003</v>
      </c>
      <c r="AW7">
        <v>237.7</v>
      </c>
      <c r="AX7" t="s">
        <v>280</v>
      </c>
      <c r="AY7">
        <v>0</v>
      </c>
      <c r="AZ7" t="s">
        <v>281</v>
      </c>
      <c r="BA7">
        <v>0.2</v>
      </c>
      <c r="BB7">
        <v>0.5</v>
      </c>
      <c r="BC7" t="s">
        <v>273</v>
      </c>
      <c r="BD7" t="s">
        <v>273</v>
      </c>
      <c r="BE7">
        <v>37.891176999999999</v>
      </c>
      <c r="BF7">
        <v>38.327472</v>
      </c>
      <c r="BG7">
        <v>226.08063300000001</v>
      </c>
      <c r="BH7" t="s">
        <v>273</v>
      </c>
      <c r="BI7">
        <v>42.627901999999999</v>
      </c>
      <c r="BJ7">
        <v>43.118738</v>
      </c>
      <c r="BK7">
        <v>200.95901699999999</v>
      </c>
      <c r="BL7" t="s">
        <v>273</v>
      </c>
      <c r="BM7">
        <v>42.630167</v>
      </c>
      <c r="BN7">
        <v>43.121029</v>
      </c>
      <c r="BO7">
        <v>200.94833800000001</v>
      </c>
      <c r="BP7" t="s">
        <v>273</v>
      </c>
      <c r="BQ7">
        <v>25.904478999999998</v>
      </c>
      <c r="BR7">
        <v>26.202753999999999</v>
      </c>
      <c r="BS7">
        <v>330.69421799999998</v>
      </c>
      <c r="BT7" t="s">
        <v>273</v>
      </c>
      <c r="BU7">
        <v>13.242006999999999</v>
      </c>
      <c r="BV7">
        <v>13.394481000000001</v>
      </c>
      <c r="BW7">
        <v>646.91564400000004</v>
      </c>
      <c r="BX7" t="s">
        <v>273</v>
      </c>
      <c r="BY7">
        <v>33.060017999999999</v>
      </c>
      <c r="BZ7">
        <v>40.045282</v>
      </c>
      <c r="CA7">
        <v>38.222937000000002</v>
      </c>
      <c r="CB7">
        <v>42.630167</v>
      </c>
      <c r="CC7">
        <v>19.688849000000001</v>
      </c>
      <c r="CD7">
        <v>28.484311999999999</v>
      </c>
      <c r="CE7" t="s">
        <v>273</v>
      </c>
      <c r="CF7">
        <v>33.440685000000002</v>
      </c>
      <c r="CG7">
        <v>40.506380999999998</v>
      </c>
      <c r="CH7">
        <v>38.663052</v>
      </c>
      <c r="CI7">
        <v>43.121029</v>
      </c>
      <c r="CJ7">
        <v>19.915555000000001</v>
      </c>
      <c r="CK7">
        <v>28.812291999999999</v>
      </c>
      <c r="CL7" t="s">
        <v>273</v>
      </c>
      <c r="CM7">
        <v>259.118472</v>
      </c>
      <c r="CN7">
        <v>213.919363</v>
      </c>
      <c r="CO7">
        <v>224.11834300000001</v>
      </c>
      <c r="CP7">
        <v>200.94833800000001</v>
      </c>
      <c r="CQ7">
        <v>435.09201899999999</v>
      </c>
      <c r="CR7">
        <v>300.74313899999999</v>
      </c>
      <c r="CS7" t="s">
        <v>273</v>
      </c>
      <c r="CT7">
        <v>308.17336299999999</v>
      </c>
      <c r="CU7">
        <v>273.78983899999997</v>
      </c>
      <c r="CV7">
        <v>266.50425100000001</v>
      </c>
      <c r="CW7">
        <v>680.52680399999997</v>
      </c>
      <c r="CX7">
        <v>256.63720699999999</v>
      </c>
      <c r="CY7">
        <v>618.31973500000004</v>
      </c>
      <c r="CZ7" t="s">
        <v>273</v>
      </c>
      <c r="DA7">
        <v>3.6052710000000001</v>
      </c>
      <c r="DB7">
        <v>510.01</v>
      </c>
      <c r="DC7">
        <v>3.879791</v>
      </c>
      <c r="DD7">
        <v>864</v>
      </c>
      <c r="DE7">
        <v>3.6046900000000002</v>
      </c>
      <c r="DF7">
        <v>505</v>
      </c>
      <c r="DG7">
        <v>10.266016</v>
      </c>
      <c r="DH7">
        <v>765</v>
      </c>
      <c r="DI7">
        <v>1.7880499999999999</v>
      </c>
      <c r="DJ7">
        <v>235</v>
      </c>
      <c r="DK7">
        <v>6.2324460000000004</v>
      </c>
      <c r="DL7">
        <v>365</v>
      </c>
      <c r="DM7" t="s">
        <v>273</v>
      </c>
      <c r="DN7">
        <v>4.6451929999999999</v>
      </c>
      <c r="DO7">
        <v>12.801735000000001</v>
      </c>
      <c r="DP7">
        <v>5.8239939999999999</v>
      </c>
      <c r="DQ7" t="s">
        <v>282</v>
      </c>
      <c r="DR7">
        <v>10.500883999999999</v>
      </c>
      <c r="DS7">
        <v>19.608004999999999</v>
      </c>
      <c r="DT7">
        <v>48.734617999999998</v>
      </c>
      <c r="DU7">
        <v>72.917922000000004</v>
      </c>
      <c r="DV7">
        <v>96.649294999999995</v>
      </c>
      <c r="DW7" t="s">
        <v>283</v>
      </c>
      <c r="DX7" t="s">
        <v>273</v>
      </c>
      <c r="DY7">
        <v>25.974553</v>
      </c>
      <c r="DZ7">
        <v>6.9835999999999995E-2</v>
      </c>
      <c r="EA7">
        <v>0.92914200000000002</v>
      </c>
      <c r="EB7">
        <v>0.78728900000000002</v>
      </c>
      <c r="EC7">
        <v>84.732924999999994</v>
      </c>
      <c r="ED7">
        <v>21.701364999999999</v>
      </c>
      <c r="EE7">
        <v>481.66188199999999</v>
      </c>
      <c r="EF7">
        <v>5.4796189999999996</v>
      </c>
      <c r="EG7">
        <v>34</v>
      </c>
      <c r="EH7">
        <v>34</v>
      </c>
      <c r="EI7">
        <v>25</v>
      </c>
      <c r="EJ7">
        <v>31</v>
      </c>
      <c r="EK7" t="s">
        <v>273</v>
      </c>
      <c r="EL7" t="s">
        <v>273</v>
      </c>
      <c r="EM7">
        <v>25.166440000000001</v>
      </c>
      <c r="EN7">
        <v>3.3439999999999998E-2</v>
      </c>
      <c r="EO7">
        <v>0.79979299999999998</v>
      </c>
      <c r="EP7">
        <v>0.64429499999999995</v>
      </c>
      <c r="EQ7">
        <v>80.557674000000006</v>
      </c>
      <c r="ER7">
        <v>19.814634000000002</v>
      </c>
      <c r="ES7">
        <v>363.07203700000002</v>
      </c>
      <c r="ET7">
        <v>2.623834</v>
      </c>
      <c r="EU7">
        <v>40</v>
      </c>
      <c r="EV7">
        <v>40</v>
      </c>
      <c r="EW7">
        <v>38</v>
      </c>
      <c r="EX7">
        <v>39</v>
      </c>
      <c r="EY7" t="s">
        <v>273</v>
      </c>
      <c r="EZ7" t="s">
        <v>273</v>
      </c>
      <c r="FA7">
        <v>30.028592</v>
      </c>
      <c r="FB7">
        <v>7.0525000000000004E-2</v>
      </c>
      <c r="FC7">
        <v>0.92891900000000005</v>
      </c>
      <c r="FD7">
        <v>0.78724899999999998</v>
      </c>
      <c r="FE7">
        <v>84.748901000000004</v>
      </c>
      <c r="FF7">
        <v>25.092919999999999</v>
      </c>
      <c r="FG7">
        <v>481.712334</v>
      </c>
      <c r="FH7">
        <v>5.5336689999999997</v>
      </c>
      <c r="FI7">
        <v>34</v>
      </c>
      <c r="FJ7">
        <v>34</v>
      </c>
      <c r="FK7">
        <v>25</v>
      </c>
      <c r="FL7">
        <v>31</v>
      </c>
      <c r="FM7" t="s">
        <v>273</v>
      </c>
      <c r="FN7" t="s">
        <v>273</v>
      </c>
      <c r="FO7">
        <v>32.038767999999997</v>
      </c>
      <c r="FP7">
        <v>0.132711</v>
      </c>
      <c r="FQ7">
        <v>2.5308109999999999</v>
      </c>
      <c r="FR7">
        <v>2.2234379999999998</v>
      </c>
      <c r="FS7">
        <v>87.854738999999995</v>
      </c>
      <c r="FT7">
        <v>28.012471000000001</v>
      </c>
      <c r="FU7">
        <v>482.15552200000002</v>
      </c>
      <c r="FV7">
        <v>10.413016000000001</v>
      </c>
      <c r="FW7">
        <v>30</v>
      </c>
      <c r="FX7">
        <v>30</v>
      </c>
      <c r="FY7">
        <v>30</v>
      </c>
      <c r="FZ7">
        <v>27</v>
      </c>
      <c r="GA7" t="s">
        <v>273</v>
      </c>
      <c r="GB7" t="s">
        <v>273</v>
      </c>
      <c r="GC7">
        <v>29.908667999999999</v>
      </c>
      <c r="GD7">
        <v>0.14116200000000001</v>
      </c>
      <c r="GE7">
        <v>0.89095400000000002</v>
      </c>
      <c r="GF7">
        <v>0.74142200000000003</v>
      </c>
      <c r="GG7">
        <v>83.216660000000005</v>
      </c>
      <c r="GH7">
        <v>24.270966999999999</v>
      </c>
      <c r="GI7">
        <v>904.53272600000003</v>
      </c>
      <c r="GJ7">
        <v>11.076051</v>
      </c>
      <c r="GK7">
        <v>31</v>
      </c>
      <c r="GL7">
        <v>31</v>
      </c>
      <c r="GM7">
        <v>15</v>
      </c>
      <c r="GN7">
        <v>29</v>
      </c>
      <c r="GO7" t="s">
        <v>273</v>
      </c>
      <c r="GP7" t="s">
        <v>273</v>
      </c>
      <c r="GQ7">
        <v>32.526812999999997</v>
      </c>
      <c r="GR7">
        <v>0.25606899999999999</v>
      </c>
      <c r="GS7">
        <v>2.3344969999999998</v>
      </c>
      <c r="GT7">
        <v>2.0503650000000002</v>
      </c>
      <c r="GU7">
        <v>87.828997999999999</v>
      </c>
      <c r="GV7">
        <v>28.383410000000001</v>
      </c>
      <c r="GW7">
        <v>731.15878699999996</v>
      </c>
      <c r="GX7">
        <v>20.092141999999999</v>
      </c>
      <c r="GY7">
        <v>60</v>
      </c>
      <c r="GZ7">
        <v>60</v>
      </c>
      <c r="HA7">
        <v>40</v>
      </c>
      <c r="HB7">
        <v>39</v>
      </c>
      <c r="HC7" t="s">
        <v>273</v>
      </c>
      <c r="HD7" t="s">
        <v>273</v>
      </c>
      <c r="HE7">
        <v>31</v>
      </c>
      <c r="HF7">
        <v>5.0000000000000001E-4</v>
      </c>
      <c r="HG7">
        <v>6.4999999999999997E-3</v>
      </c>
      <c r="HH7">
        <v>3.2258000000000002E-2</v>
      </c>
      <c r="HI7">
        <v>3250</v>
      </c>
    </row>
    <row r="8" spans="1:217" x14ac:dyDescent="0.3">
      <c r="A8">
        <v>108</v>
      </c>
      <c r="B8" t="s">
        <v>269</v>
      </c>
      <c r="F8" t="s">
        <v>270</v>
      </c>
      <c r="G8" t="s">
        <v>271</v>
      </c>
      <c r="H8" t="s">
        <v>272</v>
      </c>
      <c r="I8">
        <v>4250</v>
      </c>
      <c r="J8">
        <v>1</v>
      </c>
      <c r="K8">
        <v>19.942187000000001</v>
      </c>
      <c r="L8">
        <v>0.22</v>
      </c>
      <c r="M8">
        <v>3.8753999999999997E-2</v>
      </c>
      <c r="N8">
        <v>0</v>
      </c>
      <c r="O8">
        <v>0</v>
      </c>
      <c r="P8">
        <v>0</v>
      </c>
      <c r="Q8">
        <v>17.04</v>
      </c>
      <c r="R8">
        <v>1</v>
      </c>
      <c r="S8">
        <v>1</v>
      </c>
      <c r="T8">
        <v>1</v>
      </c>
      <c r="U8">
        <v>1</v>
      </c>
      <c r="V8">
        <v>100</v>
      </c>
      <c r="W8" t="s">
        <v>273</v>
      </c>
      <c r="X8" t="s">
        <v>274</v>
      </c>
      <c r="Y8" t="s">
        <v>274</v>
      </c>
      <c r="Z8" t="s">
        <v>273</v>
      </c>
      <c r="AA8" t="s">
        <v>275</v>
      </c>
      <c r="AB8" t="s">
        <v>276</v>
      </c>
      <c r="AC8">
        <v>211</v>
      </c>
      <c r="AD8">
        <v>5</v>
      </c>
      <c r="AE8" t="s">
        <v>277</v>
      </c>
      <c r="AF8">
        <v>3.425233</v>
      </c>
      <c r="AG8">
        <v>100</v>
      </c>
      <c r="AH8">
        <v>30.8</v>
      </c>
      <c r="AI8">
        <v>1850</v>
      </c>
      <c r="AJ8">
        <v>800</v>
      </c>
      <c r="AK8">
        <v>1200</v>
      </c>
      <c r="AL8">
        <v>223.6</v>
      </c>
      <c r="AM8">
        <v>2.2000000000000002</v>
      </c>
      <c r="AN8" t="s">
        <v>273</v>
      </c>
      <c r="AO8" t="s">
        <v>278</v>
      </c>
      <c r="AP8" t="s">
        <v>284</v>
      </c>
      <c r="AQ8">
        <v>1.8</v>
      </c>
      <c r="AR8">
        <v>3</v>
      </c>
      <c r="AS8">
        <v>101</v>
      </c>
      <c r="AT8">
        <v>183.7</v>
      </c>
      <c r="AU8">
        <v>0.104652</v>
      </c>
      <c r="AV8">
        <v>36.6</v>
      </c>
      <c r="AW8">
        <v>235.2</v>
      </c>
      <c r="AX8" t="s">
        <v>280</v>
      </c>
      <c r="AY8">
        <v>0</v>
      </c>
      <c r="AZ8" t="s">
        <v>281</v>
      </c>
      <c r="BA8">
        <v>0.2</v>
      </c>
      <c r="BB8">
        <v>0.5</v>
      </c>
      <c r="BC8" t="s">
        <v>273</v>
      </c>
      <c r="BD8" t="s">
        <v>273</v>
      </c>
      <c r="BE8">
        <v>29.580413</v>
      </c>
      <c r="BF8">
        <v>29.921014</v>
      </c>
      <c r="BG8">
        <v>289.59911299999999</v>
      </c>
      <c r="BH8" t="s">
        <v>273</v>
      </c>
      <c r="BI8">
        <v>33.067808999999997</v>
      </c>
      <c r="BJ8">
        <v>33.448566</v>
      </c>
      <c r="BK8">
        <v>259.05742099999998</v>
      </c>
      <c r="BL8" t="s">
        <v>273</v>
      </c>
      <c r="BM8">
        <v>33.069280999999997</v>
      </c>
      <c r="BN8">
        <v>33.450054999999999</v>
      </c>
      <c r="BO8">
        <v>259.045886</v>
      </c>
      <c r="BP8" t="s">
        <v>273</v>
      </c>
      <c r="BQ8">
        <v>19.683008999999998</v>
      </c>
      <c r="BR8">
        <v>19.909647</v>
      </c>
      <c r="BS8">
        <v>435.22113000000002</v>
      </c>
      <c r="BT8" t="s">
        <v>273</v>
      </c>
      <c r="BU8">
        <v>9.9093830000000001</v>
      </c>
      <c r="BV8">
        <v>10.023484</v>
      </c>
      <c r="BW8">
        <v>864.47978699999999</v>
      </c>
      <c r="BX8" t="s">
        <v>273</v>
      </c>
      <c r="BY8">
        <v>25.761989</v>
      </c>
      <c r="BZ8">
        <v>31.361221</v>
      </c>
      <c r="CA8">
        <v>29.717447</v>
      </c>
      <c r="CB8">
        <v>33.069280999999997</v>
      </c>
      <c r="CC8">
        <v>15.115335</v>
      </c>
      <c r="CD8">
        <v>21.546209999999999</v>
      </c>
      <c r="CE8" t="s">
        <v>273</v>
      </c>
      <c r="CF8">
        <v>26.058623999999998</v>
      </c>
      <c r="CG8">
        <v>31.722328000000001</v>
      </c>
      <c r="CH8">
        <v>30.059626999999999</v>
      </c>
      <c r="CI8">
        <v>33.450054999999999</v>
      </c>
      <c r="CJ8">
        <v>15.28938</v>
      </c>
      <c r="CK8">
        <v>21.794301999999998</v>
      </c>
      <c r="CL8" t="s">
        <v>273</v>
      </c>
      <c r="CM8">
        <v>332.52328399999999</v>
      </c>
      <c r="CN8">
        <v>273.154583</v>
      </c>
      <c r="CO8">
        <v>288.26369899999997</v>
      </c>
      <c r="CP8">
        <v>259.045886</v>
      </c>
      <c r="CQ8">
        <v>566.73974499999997</v>
      </c>
      <c r="CR8">
        <v>397.58553499999999</v>
      </c>
      <c r="CS8" t="s">
        <v>273</v>
      </c>
      <c r="CT8">
        <v>395.50930899999997</v>
      </c>
      <c r="CU8">
        <v>349.60904699999998</v>
      </c>
      <c r="CV8">
        <v>342.80609600000003</v>
      </c>
      <c r="CW8">
        <v>877.28134699999998</v>
      </c>
      <c r="CX8">
        <v>333.63948299999998</v>
      </c>
      <c r="CY8">
        <v>817.92368399999998</v>
      </c>
      <c r="CZ8" t="s">
        <v>273</v>
      </c>
      <c r="DA8">
        <v>3.605585</v>
      </c>
      <c r="DB8">
        <v>510.01</v>
      </c>
      <c r="DC8">
        <v>3.8798530000000002</v>
      </c>
      <c r="DD8">
        <v>864</v>
      </c>
      <c r="DE8">
        <v>3.6049540000000002</v>
      </c>
      <c r="DF8">
        <v>505</v>
      </c>
      <c r="DG8">
        <v>10.266049000000001</v>
      </c>
      <c r="DH8">
        <v>765</v>
      </c>
      <c r="DI8">
        <v>1.784575</v>
      </c>
      <c r="DJ8">
        <v>235</v>
      </c>
      <c r="DK8">
        <v>6.2362479999999998</v>
      </c>
      <c r="DL8">
        <v>365</v>
      </c>
      <c r="DM8" t="s">
        <v>273</v>
      </c>
      <c r="DN8">
        <v>4.9415870000000002</v>
      </c>
      <c r="DO8">
        <v>13.299795</v>
      </c>
      <c r="DP8">
        <v>6.4944430000000004</v>
      </c>
      <c r="DQ8" t="s">
        <v>282</v>
      </c>
      <c r="DR8">
        <v>12.554028000000001</v>
      </c>
      <c r="DS8">
        <v>19.907292999999999</v>
      </c>
      <c r="DT8">
        <v>52.255558999999998</v>
      </c>
      <c r="DU8">
        <v>71.862050999999994</v>
      </c>
      <c r="DV8">
        <v>95.923316999999997</v>
      </c>
      <c r="DW8" t="s">
        <v>283</v>
      </c>
      <c r="DX8" t="s">
        <v>273</v>
      </c>
      <c r="DY8">
        <v>26.843005000000002</v>
      </c>
      <c r="DZ8">
        <v>7.0938000000000001E-2</v>
      </c>
      <c r="EA8">
        <v>1.232329</v>
      </c>
      <c r="EB8">
        <v>1.0287869999999999</v>
      </c>
      <c r="EC8">
        <v>83.483136000000002</v>
      </c>
      <c r="ED8">
        <v>22.107339</v>
      </c>
      <c r="EE8">
        <v>629.673405</v>
      </c>
      <c r="EF8">
        <v>7.1640949999999997</v>
      </c>
      <c r="EG8">
        <v>76</v>
      </c>
      <c r="EH8">
        <v>76</v>
      </c>
      <c r="EI8">
        <v>29</v>
      </c>
      <c r="EJ8">
        <v>33</v>
      </c>
      <c r="EK8" t="s">
        <v>273</v>
      </c>
      <c r="EL8" t="s">
        <v>273</v>
      </c>
      <c r="EM8">
        <v>26.256564999999998</v>
      </c>
      <c r="EN8">
        <v>3.3972000000000002E-2</v>
      </c>
      <c r="EO8">
        <v>1.0655140000000001</v>
      </c>
      <c r="EP8">
        <v>0.84260500000000005</v>
      </c>
      <c r="EQ8">
        <v>79.079611</v>
      </c>
      <c r="ER8">
        <v>20.290375999999998</v>
      </c>
      <c r="ES8">
        <v>474.739532</v>
      </c>
      <c r="ET8">
        <v>3.4308830000000001</v>
      </c>
      <c r="EU8">
        <v>35</v>
      </c>
      <c r="EV8">
        <v>35</v>
      </c>
      <c r="EW8">
        <v>35</v>
      </c>
      <c r="EX8">
        <v>34</v>
      </c>
      <c r="EY8" t="s">
        <v>273</v>
      </c>
      <c r="EZ8" t="s">
        <v>273</v>
      </c>
      <c r="FA8">
        <v>31.012886000000002</v>
      </c>
      <c r="FB8">
        <v>7.1636000000000005E-2</v>
      </c>
      <c r="FC8">
        <v>1.23404</v>
      </c>
      <c r="FD8">
        <v>1.028699</v>
      </c>
      <c r="FE8">
        <v>83.360228000000006</v>
      </c>
      <c r="FF8">
        <v>25.504093999999998</v>
      </c>
      <c r="FG8">
        <v>629.73669500000005</v>
      </c>
      <c r="FH8">
        <v>7.2346279999999998</v>
      </c>
      <c r="FI8">
        <v>35</v>
      </c>
      <c r="FJ8">
        <v>35</v>
      </c>
      <c r="FK8">
        <v>29</v>
      </c>
      <c r="FL8">
        <v>34</v>
      </c>
      <c r="FM8" t="s">
        <v>273</v>
      </c>
      <c r="FN8" t="s">
        <v>273</v>
      </c>
      <c r="FO8">
        <v>32.640118000000001</v>
      </c>
      <c r="FP8">
        <v>0.134657</v>
      </c>
      <c r="FQ8">
        <v>3.3237570000000001</v>
      </c>
      <c r="FR8">
        <v>2.9031449999999999</v>
      </c>
      <c r="FS8">
        <v>87.345262000000005</v>
      </c>
      <c r="FT8">
        <v>28.378720999999999</v>
      </c>
      <c r="FU8">
        <v>629.68137899999999</v>
      </c>
      <c r="FV8">
        <v>13.599145999999999</v>
      </c>
      <c r="FW8">
        <v>37</v>
      </c>
      <c r="FX8">
        <v>37</v>
      </c>
      <c r="FY8">
        <v>36</v>
      </c>
      <c r="FZ8">
        <v>32</v>
      </c>
      <c r="GA8" t="s">
        <v>273</v>
      </c>
      <c r="GB8" t="s">
        <v>273</v>
      </c>
      <c r="GC8">
        <v>30.475528000000001</v>
      </c>
      <c r="GD8">
        <v>0.143148</v>
      </c>
      <c r="GE8">
        <v>1.1802319999999999</v>
      </c>
      <c r="GF8">
        <v>0.96786300000000003</v>
      </c>
      <c r="GG8">
        <v>82.006148999999994</v>
      </c>
      <c r="GH8">
        <v>24.367612999999999</v>
      </c>
      <c r="GI8">
        <v>1182.9127129999999</v>
      </c>
      <c r="GJ8">
        <v>14.456682000000001</v>
      </c>
      <c r="GK8">
        <v>30</v>
      </c>
      <c r="GL8">
        <v>30</v>
      </c>
      <c r="GM8">
        <v>17</v>
      </c>
      <c r="GN8">
        <v>29</v>
      </c>
      <c r="GO8" t="s">
        <v>273</v>
      </c>
      <c r="GP8" t="s">
        <v>273</v>
      </c>
      <c r="GQ8">
        <v>32.787022</v>
      </c>
      <c r="GR8">
        <v>0.26115899999999997</v>
      </c>
      <c r="GS8">
        <v>3.112816</v>
      </c>
      <c r="GT8">
        <v>2.690264</v>
      </c>
      <c r="GU8">
        <v>86.425419000000005</v>
      </c>
      <c r="GV8">
        <v>28.166166</v>
      </c>
      <c r="GW8">
        <v>959.20103500000005</v>
      </c>
      <c r="GX8">
        <v>26.374790000000001</v>
      </c>
      <c r="GY8">
        <v>49</v>
      </c>
      <c r="GZ8">
        <v>49</v>
      </c>
      <c r="HA8">
        <v>44</v>
      </c>
      <c r="HB8">
        <v>40</v>
      </c>
      <c r="HC8" t="s">
        <v>273</v>
      </c>
      <c r="HD8" t="s">
        <v>273</v>
      </c>
      <c r="HE8">
        <v>31</v>
      </c>
      <c r="HF8">
        <v>5.0000000000000001E-4</v>
      </c>
      <c r="HG8">
        <v>6.4999999999999997E-3</v>
      </c>
      <c r="HH8">
        <v>3.2258000000000002E-2</v>
      </c>
      <c r="HI8">
        <v>4250</v>
      </c>
    </row>
    <row r="9" spans="1:217" x14ac:dyDescent="0.3">
      <c r="A9">
        <v>125</v>
      </c>
      <c r="B9" t="s">
        <v>269</v>
      </c>
      <c r="F9" t="s">
        <v>270</v>
      </c>
      <c r="G9" t="s">
        <v>271</v>
      </c>
      <c r="H9" t="s">
        <v>272</v>
      </c>
      <c r="I9">
        <v>3250</v>
      </c>
      <c r="J9">
        <v>1</v>
      </c>
      <c r="K9">
        <v>37.959766000000002</v>
      </c>
      <c r="L9">
        <v>0.22</v>
      </c>
      <c r="M9">
        <v>8.3580000000000008E-3</v>
      </c>
      <c r="N9">
        <v>0</v>
      </c>
      <c r="O9">
        <v>0</v>
      </c>
      <c r="P9">
        <v>0</v>
      </c>
      <c r="Q9">
        <v>9.31</v>
      </c>
      <c r="R9">
        <v>1</v>
      </c>
      <c r="S9">
        <v>1</v>
      </c>
      <c r="T9">
        <v>1</v>
      </c>
      <c r="U9">
        <v>1</v>
      </c>
      <c r="V9">
        <v>100</v>
      </c>
      <c r="W9" t="s">
        <v>273</v>
      </c>
      <c r="X9" t="s">
        <v>274</v>
      </c>
      <c r="Y9" t="s">
        <v>274</v>
      </c>
      <c r="Z9" t="s">
        <v>273</v>
      </c>
      <c r="AA9" t="s">
        <v>275</v>
      </c>
      <c r="AB9" t="s">
        <v>276</v>
      </c>
      <c r="AC9">
        <v>164</v>
      </c>
      <c r="AD9">
        <v>5</v>
      </c>
      <c r="AE9" t="s">
        <v>277</v>
      </c>
      <c r="AF9">
        <v>3.7955290000000002</v>
      </c>
      <c r="AG9">
        <v>100</v>
      </c>
      <c r="AH9">
        <v>34.200000000000003</v>
      </c>
      <c r="AI9">
        <v>2050</v>
      </c>
      <c r="AJ9">
        <v>800</v>
      </c>
      <c r="AK9">
        <v>1200</v>
      </c>
      <c r="AL9">
        <v>253.6</v>
      </c>
      <c r="AM9">
        <v>2.2000000000000002</v>
      </c>
      <c r="AN9" t="s">
        <v>273</v>
      </c>
      <c r="AO9" t="s">
        <v>278</v>
      </c>
      <c r="AP9" t="s">
        <v>279</v>
      </c>
      <c r="AQ9">
        <v>1.4</v>
      </c>
      <c r="AR9">
        <v>3</v>
      </c>
      <c r="AS9">
        <v>78.5</v>
      </c>
      <c r="AT9">
        <v>142.80000000000001</v>
      </c>
      <c r="AU9">
        <v>8.1395999999999996E-2</v>
      </c>
      <c r="AV9">
        <v>36.200000000000003</v>
      </c>
      <c r="AW9">
        <v>237.7</v>
      </c>
      <c r="AX9" t="s">
        <v>280</v>
      </c>
      <c r="AY9">
        <v>0</v>
      </c>
      <c r="AZ9" t="s">
        <v>281</v>
      </c>
      <c r="BA9">
        <v>0.2</v>
      </c>
      <c r="BB9">
        <v>0.5</v>
      </c>
      <c r="BC9" t="s">
        <v>273</v>
      </c>
      <c r="BD9" t="s">
        <v>273</v>
      </c>
      <c r="BE9">
        <v>37.982230999999999</v>
      </c>
      <c r="BF9">
        <v>38.419575000000002</v>
      </c>
      <c r="BG9">
        <v>225.53865500000001</v>
      </c>
      <c r="BH9" t="s">
        <v>273</v>
      </c>
      <c r="BI9">
        <v>55.031973000000001</v>
      </c>
      <c r="BJ9">
        <v>55.665635000000002</v>
      </c>
      <c r="BK9">
        <v>155.66335100000001</v>
      </c>
      <c r="BL9" t="s">
        <v>273</v>
      </c>
      <c r="BM9">
        <v>55.036091999999996</v>
      </c>
      <c r="BN9">
        <v>55.669801999999997</v>
      </c>
      <c r="BO9">
        <v>155.65169900000001</v>
      </c>
      <c r="BP9" t="s">
        <v>273</v>
      </c>
      <c r="BQ9">
        <v>34.864561999999999</v>
      </c>
      <c r="BR9">
        <v>35.266007999999999</v>
      </c>
      <c r="BS9">
        <v>245.70683399999999</v>
      </c>
      <c r="BT9" t="s">
        <v>273</v>
      </c>
      <c r="BU9">
        <v>14.902989</v>
      </c>
      <c r="BV9">
        <v>15.074589</v>
      </c>
      <c r="BW9">
        <v>574.81496400000003</v>
      </c>
      <c r="BX9" t="s">
        <v>273</v>
      </c>
      <c r="BY9">
        <v>35.751617000000003</v>
      </c>
      <c r="BZ9">
        <v>37.283245999999998</v>
      </c>
      <c r="CA9">
        <v>41.395020000000002</v>
      </c>
      <c r="CB9">
        <v>55.036091999999996</v>
      </c>
      <c r="CC9">
        <v>20.953806</v>
      </c>
      <c r="CD9">
        <v>43.055419000000001</v>
      </c>
      <c r="CE9" t="s">
        <v>273</v>
      </c>
      <c r="CF9">
        <v>36.163277000000001</v>
      </c>
      <c r="CG9">
        <v>37.712541000000002</v>
      </c>
      <c r="CH9">
        <v>41.871659999999999</v>
      </c>
      <c r="CI9">
        <v>55.669801999999997</v>
      </c>
      <c r="CJ9">
        <v>21.195077000000001</v>
      </c>
      <c r="CK9">
        <v>43.551178</v>
      </c>
      <c r="CL9" t="s">
        <v>273</v>
      </c>
      <c r="CM9">
        <v>239.610455</v>
      </c>
      <c r="CN9">
        <v>229.76704599999999</v>
      </c>
      <c r="CO9">
        <v>206.94424799999999</v>
      </c>
      <c r="CP9">
        <v>155.65169900000001</v>
      </c>
      <c r="CQ9">
        <v>408.82602400000002</v>
      </c>
      <c r="CR9">
        <v>198.96360100000001</v>
      </c>
      <c r="CS9" t="s">
        <v>273</v>
      </c>
      <c r="CT9">
        <v>284.93416200000001</v>
      </c>
      <c r="CU9">
        <v>293.83239800000001</v>
      </c>
      <c r="CV9">
        <v>246.063638</v>
      </c>
      <c r="CW9">
        <v>527.17682300000001</v>
      </c>
      <c r="CX9">
        <v>241.180949</v>
      </c>
      <c r="CY9">
        <v>409.604198</v>
      </c>
      <c r="CZ9" t="s">
        <v>273</v>
      </c>
      <c r="DA9">
        <v>3.6047889999999998</v>
      </c>
      <c r="DB9">
        <v>510.01</v>
      </c>
      <c r="DC9">
        <v>3.8766189999999998</v>
      </c>
      <c r="DD9">
        <v>864</v>
      </c>
      <c r="DE9">
        <v>3.604419</v>
      </c>
      <c r="DF9">
        <v>505</v>
      </c>
      <c r="DG9">
        <v>10.266999999999999</v>
      </c>
      <c r="DH9">
        <v>765</v>
      </c>
      <c r="DI9">
        <v>1.788322</v>
      </c>
      <c r="DJ9">
        <v>235</v>
      </c>
      <c r="DK9">
        <v>6.2406800000000002</v>
      </c>
      <c r="DL9">
        <v>365</v>
      </c>
      <c r="DM9" t="s">
        <v>273</v>
      </c>
      <c r="DN9">
        <v>4.697533</v>
      </c>
      <c r="DO9">
        <v>12.453727000000001</v>
      </c>
      <c r="DP9">
        <v>5.741765</v>
      </c>
      <c r="DQ9" t="s">
        <v>282</v>
      </c>
      <c r="DR9">
        <v>9.0589890000000004</v>
      </c>
      <c r="DS9">
        <v>19.419401000000001</v>
      </c>
      <c r="DT9">
        <v>46.673881000000002</v>
      </c>
      <c r="DU9">
        <v>76.08623</v>
      </c>
      <c r="DV9">
        <v>129.10847100000001</v>
      </c>
      <c r="DW9" t="s">
        <v>283</v>
      </c>
      <c r="DX9" t="s">
        <v>273</v>
      </c>
      <c r="DY9">
        <v>25.424009999999999</v>
      </c>
      <c r="DZ9">
        <v>6.2740000000000004E-2</v>
      </c>
      <c r="EA9">
        <v>0.84086700000000003</v>
      </c>
      <c r="EB9">
        <v>0.70834900000000001</v>
      </c>
      <c r="EC9">
        <v>84.240345000000005</v>
      </c>
      <c r="ED9">
        <v>21.086238999999999</v>
      </c>
      <c r="EE9">
        <v>432.77417700000001</v>
      </c>
      <c r="EF9">
        <v>4.9227910000000001</v>
      </c>
      <c r="EG9">
        <v>32</v>
      </c>
      <c r="EH9">
        <v>32</v>
      </c>
      <c r="EI9">
        <v>24</v>
      </c>
      <c r="EJ9">
        <v>29</v>
      </c>
      <c r="EK9" t="s">
        <v>273</v>
      </c>
      <c r="EL9" t="s">
        <v>273</v>
      </c>
      <c r="EM9">
        <v>25.657518</v>
      </c>
      <c r="EN9">
        <v>3.6732000000000001E-2</v>
      </c>
      <c r="EO9">
        <v>0.87509099999999995</v>
      </c>
      <c r="EP9">
        <v>0.70612600000000003</v>
      </c>
      <c r="EQ9">
        <v>80.691727999999998</v>
      </c>
      <c r="ER9">
        <v>20.280702000000002</v>
      </c>
      <c r="ES9">
        <v>399.14161899999999</v>
      </c>
      <c r="ET9">
        <v>2.8821409999999998</v>
      </c>
      <c r="EU9">
        <v>40</v>
      </c>
      <c r="EV9">
        <v>40</v>
      </c>
      <c r="EW9">
        <v>38</v>
      </c>
      <c r="EX9">
        <v>39</v>
      </c>
      <c r="EY9" t="s">
        <v>273</v>
      </c>
      <c r="EZ9" t="s">
        <v>273</v>
      </c>
      <c r="FA9">
        <v>29.403841</v>
      </c>
      <c r="FB9">
        <v>6.336E-2</v>
      </c>
      <c r="FC9">
        <v>0.83982800000000002</v>
      </c>
      <c r="FD9">
        <v>0.70832200000000001</v>
      </c>
      <c r="FE9">
        <v>84.341389000000007</v>
      </c>
      <c r="FF9">
        <v>24.416134</v>
      </c>
      <c r="FG9">
        <v>432.80118900000002</v>
      </c>
      <c r="FH9">
        <v>4.9714280000000004</v>
      </c>
      <c r="FI9">
        <v>32</v>
      </c>
      <c r="FJ9">
        <v>32</v>
      </c>
      <c r="FK9">
        <v>23</v>
      </c>
      <c r="FL9">
        <v>28</v>
      </c>
      <c r="FM9" t="s">
        <v>273</v>
      </c>
      <c r="FN9" t="s">
        <v>273</v>
      </c>
      <c r="FO9">
        <v>30.455469000000001</v>
      </c>
      <c r="FP9">
        <v>9.7519999999999996E-2</v>
      </c>
      <c r="FQ9">
        <v>1.8636330000000001</v>
      </c>
      <c r="FR9">
        <v>1.636223</v>
      </c>
      <c r="FS9">
        <v>87.797500999999997</v>
      </c>
      <c r="FT9">
        <v>26.572122</v>
      </c>
      <c r="FU9">
        <v>354.26756399999999</v>
      </c>
      <c r="FV9">
        <v>7.6517790000000003</v>
      </c>
      <c r="FW9">
        <v>20</v>
      </c>
      <c r="FX9">
        <v>20</v>
      </c>
      <c r="FY9">
        <v>20</v>
      </c>
      <c r="FZ9">
        <v>20</v>
      </c>
      <c r="GA9" t="s">
        <v>273</v>
      </c>
      <c r="GB9" t="s">
        <v>273</v>
      </c>
      <c r="GC9">
        <v>29.756219000000002</v>
      </c>
      <c r="GD9">
        <v>0.13153300000000001</v>
      </c>
      <c r="GE9">
        <v>0.83302799999999999</v>
      </c>
      <c r="GF9">
        <v>0.69234899999999999</v>
      </c>
      <c r="GG9">
        <v>83.112311000000005</v>
      </c>
      <c r="GH9">
        <v>24.064768999999998</v>
      </c>
      <c r="GI9">
        <v>842.70552399999997</v>
      </c>
      <c r="GJ9">
        <v>10.320541</v>
      </c>
      <c r="GK9">
        <v>31</v>
      </c>
      <c r="GL9">
        <v>31</v>
      </c>
      <c r="GM9">
        <v>15</v>
      </c>
      <c r="GN9">
        <v>29</v>
      </c>
      <c r="GO9" t="s">
        <v>273</v>
      </c>
      <c r="GP9" t="s">
        <v>273</v>
      </c>
      <c r="GQ9">
        <v>31.266396</v>
      </c>
      <c r="GR9">
        <v>0.16192699999999999</v>
      </c>
      <c r="GS9">
        <v>1.4865550000000001</v>
      </c>
      <c r="GT9">
        <v>1.301134</v>
      </c>
      <c r="GU9">
        <v>87.526803999999998</v>
      </c>
      <c r="GV9">
        <v>27.094044</v>
      </c>
      <c r="GW9">
        <v>461.74154900000002</v>
      </c>
      <c r="GX9">
        <v>12.705356999999999</v>
      </c>
      <c r="GY9">
        <v>26</v>
      </c>
      <c r="GZ9">
        <v>26</v>
      </c>
      <c r="HA9">
        <v>19</v>
      </c>
      <c r="HB9">
        <v>18</v>
      </c>
      <c r="HC9" t="s">
        <v>273</v>
      </c>
      <c r="HD9" t="s">
        <v>273</v>
      </c>
      <c r="HE9">
        <v>31</v>
      </c>
      <c r="HF9">
        <v>7.5000000000000002E-4</v>
      </c>
      <c r="HG9">
        <v>4.0000000000000001E-3</v>
      </c>
      <c r="HH9">
        <v>3.2258000000000002E-2</v>
      </c>
      <c r="HI9">
        <v>3250</v>
      </c>
    </row>
    <row r="10" spans="1:217" x14ac:dyDescent="0.3">
      <c r="A10">
        <v>126</v>
      </c>
      <c r="B10" t="s">
        <v>269</v>
      </c>
      <c r="F10" t="s">
        <v>270</v>
      </c>
      <c r="G10" t="s">
        <v>271</v>
      </c>
      <c r="H10" t="s">
        <v>272</v>
      </c>
      <c r="I10">
        <v>4250</v>
      </c>
      <c r="J10">
        <v>1</v>
      </c>
      <c r="K10">
        <v>50.655078000000003</v>
      </c>
      <c r="L10">
        <v>0.22</v>
      </c>
      <c r="M10">
        <v>1.1776E-2</v>
      </c>
      <c r="N10">
        <v>0</v>
      </c>
      <c r="O10">
        <v>0</v>
      </c>
      <c r="P10">
        <v>0</v>
      </c>
      <c r="Q10">
        <v>12.15</v>
      </c>
      <c r="R10">
        <v>1</v>
      </c>
      <c r="S10">
        <v>1</v>
      </c>
      <c r="T10">
        <v>1</v>
      </c>
      <c r="U10">
        <v>1</v>
      </c>
      <c r="V10">
        <v>100</v>
      </c>
      <c r="W10" t="s">
        <v>273</v>
      </c>
      <c r="X10" t="s">
        <v>274</v>
      </c>
      <c r="Y10" t="s">
        <v>274</v>
      </c>
      <c r="Z10" t="s">
        <v>273</v>
      </c>
      <c r="AA10" t="s">
        <v>275</v>
      </c>
      <c r="AB10" t="s">
        <v>276</v>
      </c>
      <c r="AC10">
        <v>211</v>
      </c>
      <c r="AD10">
        <v>5</v>
      </c>
      <c r="AE10" t="s">
        <v>277</v>
      </c>
      <c r="AF10">
        <v>3.425233</v>
      </c>
      <c r="AG10">
        <v>100</v>
      </c>
      <c r="AH10">
        <v>30.8</v>
      </c>
      <c r="AI10">
        <v>1850</v>
      </c>
      <c r="AJ10">
        <v>800</v>
      </c>
      <c r="AK10">
        <v>1200</v>
      </c>
      <c r="AL10">
        <v>223.6</v>
      </c>
      <c r="AM10">
        <v>2.2000000000000002</v>
      </c>
      <c r="AN10" t="s">
        <v>273</v>
      </c>
      <c r="AO10" t="s">
        <v>278</v>
      </c>
      <c r="AP10" t="s">
        <v>284</v>
      </c>
      <c r="AQ10">
        <v>1.8</v>
      </c>
      <c r="AR10">
        <v>3</v>
      </c>
      <c r="AS10">
        <v>101</v>
      </c>
      <c r="AT10">
        <v>183.7</v>
      </c>
      <c r="AU10">
        <v>0.104652</v>
      </c>
      <c r="AV10">
        <v>36.6</v>
      </c>
      <c r="AW10">
        <v>235.2</v>
      </c>
      <c r="AX10" t="s">
        <v>280</v>
      </c>
      <c r="AY10">
        <v>0</v>
      </c>
      <c r="AZ10" t="s">
        <v>281</v>
      </c>
      <c r="BA10">
        <v>0.2</v>
      </c>
      <c r="BB10">
        <v>0.5</v>
      </c>
      <c r="BC10" t="s">
        <v>273</v>
      </c>
      <c r="BD10" t="s">
        <v>273</v>
      </c>
      <c r="BE10">
        <v>29.786794</v>
      </c>
      <c r="BF10">
        <v>30.129771999999999</v>
      </c>
      <c r="BG10">
        <v>287.59259200000002</v>
      </c>
      <c r="BH10" t="s">
        <v>273</v>
      </c>
      <c r="BI10">
        <v>43.453071000000001</v>
      </c>
      <c r="BJ10">
        <v>43.953409000000001</v>
      </c>
      <c r="BK10">
        <v>197.14282700000001</v>
      </c>
      <c r="BL10" t="s">
        <v>273</v>
      </c>
      <c r="BM10">
        <v>43.455663000000001</v>
      </c>
      <c r="BN10">
        <v>43.956031000000003</v>
      </c>
      <c r="BO10">
        <v>197.131067</v>
      </c>
      <c r="BP10" t="s">
        <v>273</v>
      </c>
      <c r="BQ10">
        <v>26.926791000000001</v>
      </c>
      <c r="BR10">
        <v>27.236837999999999</v>
      </c>
      <c r="BS10">
        <v>318.138958</v>
      </c>
      <c r="BT10" t="s">
        <v>273</v>
      </c>
      <c r="BU10">
        <v>11.614050000000001</v>
      </c>
      <c r="BV10">
        <v>11.747779</v>
      </c>
      <c r="BW10">
        <v>737.59465299999999</v>
      </c>
      <c r="BX10" t="s">
        <v>273</v>
      </c>
      <c r="BY10">
        <v>28.095569000000001</v>
      </c>
      <c r="BZ10">
        <v>29.202918</v>
      </c>
      <c r="CA10">
        <v>32.487546000000002</v>
      </c>
      <c r="CB10">
        <v>43.455663000000001</v>
      </c>
      <c r="CC10">
        <v>16.167190000000002</v>
      </c>
      <c r="CD10">
        <v>33.269058000000001</v>
      </c>
      <c r="CE10" t="s">
        <v>273</v>
      </c>
      <c r="CF10">
        <v>28.419073999999998</v>
      </c>
      <c r="CG10">
        <v>29.539173000000002</v>
      </c>
      <c r="CH10">
        <v>32.861621</v>
      </c>
      <c r="CI10">
        <v>43.956031000000003</v>
      </c>
      <c r="CJ10">
        <v>16.353345999999998</v>
      </c>
      <c r="CK10">
        <v>33.652132000000002</v>
      </c>
      <c r="CL10" t="s">
        <v>273</v>
      </c>
      <c r="CM10">
        <v>304.90435300000001</v>
      </c>
      <c r="CN10">
        <v>293.34265199999999</v>
      </c>
      <c r="CO10">
        <v>263.68446999999998</v>
      </c>
      <c r="CP10">
        <v>197.131067</v>
      </c>
      <c r="CQ10">
        <v>529.86704699999996</v>
      </c>
      <c r="CR10">
        <v>257.49034799999998</v>
      </c>
      <c r="CS10" t="s">
        <v>273</v>
      </c>
      <c r="CT10">
        <v>362.66869100000002</v>
      </c>
      <c r="CU10">
        <v>375.14093800000001</v>
      </c>
      <c r="CV10">
        <v>313.59163000000001</v>
      </c>
      <c r="CW10">
        <v>667.64921400000003</v>
      </c>
      <c r="CX10">
        <v>312.38180899999998</v>
      </c>
      <c r="CY10">
        <v>529.95306100000005</v>
      </c>
      <c r="CZ10" t="s">
        <v>273</v>
      </c>
      <c r="DA10">
        <v>3.605683</v>
      </c>
      <c r="DB10">
        <v>510.01</v>
      </c>
      <c r="DC10">
        <v>3.876684</v>
      </c>
      <c r="DD10">
        <v>864</v>
      </c>
      <c r="DE10">
        <v>3.6051310000000001</v>
      </c>
      <c r="DF10">
        <v>505</v>
      </c>
      <c r="DG10">
        <v>10.266783999999999</v>
      </c>
      <c r="DH10">
        <v>765</v>
      </c>
      <c r="DI10">
        <v>1.7871459999999999</v>
      </c>
      <c r="DJ10">
        <v>235</v>
      </c>
      <c r="DK10">
        <v>6.2390369999999997</v>
      </c>
      <c r="DL10">
        <v>365</v>
      </c>
      <c r="DM10" t="s">
        <v>273</v>
      </c>
      <c r="DN10">
        <v>5.0038479999999996</v>
      </c>
      <c r="DO10">
        <v>12.994937999999999</v>
      </c>
      <c r="DP10">
        <v>6.3945869999999996</v>
      </c>
      <c r="DQ10" t="s">
        <v>282</v>
      </c>
      <c r="DR10">
        <v>10.520213</v>
      </c>
      <c r="DS10">
        <v>19.734926000000002</v>
      </c>
      <c r="DT10">
        <v>49.644663999999999</v>
      </c>
      <c r="DU10">
        <v>74.929556000000005</v>
      </c>
      <c r="DV10">
        <v>131.13521900000001</v>
      </c>
      <c r="DW10" t="s">
        <v>283</v>
      </c>
      <c r="DX10" t="s">
        <v>273</v>
      </c>
      <c r="DY10">
        <v>26.495971000000001</v>
      </c>
      <c r="DZ10">
        <v>6.3737000000000002E-2</v>
      </c>
      <c r="EA10">
        <v>1.1153949999999999</v>
      </c>
      <c r="EB10">
        <v>0.925759</v>
      </c>
      <c r="EC10">
        <v>82.998338000000004</v>
      </c>
      <c r="ED10">
        <v>21.661937000000002</v>
      </c>
      <c r="EE10">
        <v>565.74069999999995</v>
      </c>
      <c r="EF10">
        <v>6.436877</v>
      </c>
      <c r="EG10">
        <v>39</v>
      </c>
      <c r="EH10">
        <v>39</v>
      </c>
      <c r="EI10">
        <v>22</v>
      </c>
      <c r="EJ10">
        <v>27</v>
      </c>
      <c r="EK10" t="s">
        <v>273</v>
      </c>
      <c r="EL10" t="s">
        <v>273</v>
      </c>
      <c r="EM10">
        <v>26.816275999999998</v>
      </c>
      <c r="EN10">
        <v>3.7317999999999997E-2</v>
      </c>
      <c r="EO10">
        <v>1.1677010000000001</v>
      </c>
      <c r="EP10">
        <v>0.92342000000000002</v>
      </c>
      <c r="EQ10">
        <v>79.080155000000005</v>
      </c>
      <c r="ER10">
        <v>20.771571000000002</v>
      </c>
      <c r="ES10">
        <v>521.91640099999995</v>
      </c>
      <c r="ET10">
        <v>3.7687430000000002</v>
      </c>
      <c r="EU10">
        <v>36</v>
      </c>
      <c r="EV10">
        <v>36</v>
      </c>
      <c r="EW10">
        <v>34</v>
      </c>
      <c r="EX10">
        <v>34</v>
      </c>
      <c r="EY10" t="s">
        <v>273</v>
      </c>
      <c r="EZ10" t="s">
        <v>273</v>
      </c>
      <c r="FA10">
        <v>30.635031999999999</v>
      </c>
      <c r="FB10">
        <v>6.4364000000000005E-2</v>
      </c>
      <c r="FC10">
        <v>1.1151199999999999</v>
      </c>
      <c r="FD10">
        <v>0.92568300000000003</v>
      </c>
      <c r="FE10">
        <v>83.011956999999995</v>
      </c>
      <c r="FF10">
        <v>25.049702</v>
      </c>
      <c r="FG10">
        <v>565.77687900000001</v>
      </c>
      <c r="FH10">
        <v>6.5001559999999996</v>
      </c>
      <c r="FI10">
        <v>39</v>
      </c>
      <c r="FJ10">
        <v>39</v>
      </c>
      <c r="FK10">
        <v>22</v>
      </c>
      <c r="FL10">
        <v>27</v>
      </c>
      <c r="FM10" t="s">
        <v>273</v>
      </c>
      <c r="FN10" t="s">
        <v>273</v>
      </c>
      <c r="FO10">
        <v>31.531976</v>
      </c>
      <c r="FP10">
        <v>9.8903000000000005E-2</v>
      </c>
      <c r="FQ10">
        <v>2.4436460000000002</v>
      </c>
      <c r="FR10">
        <v>2.1354790000000001</v>
      </c>
      <c r="FS10">
        <v>87.389080000000007</v>
      </c>
      <c r="FT10">
        <v>27.388131999999999</v>
      </c>
      <c r="FU10">
        <v>462.45427799999999</v>
      </c>
      <c r="FV10">
        <v>9.9882790000000004</v>
      </c>
      <c r="FW10">
        <v>30</v>
      </c>
      <c r="FX10">
        <v>30</v>
      </c>
      <c r="FY10">
        <v>29</v>
      </c>
      <c r="FZ10">
        <v>26</v>
      </c>
      <c r="GA10" t="s">
        <v>273</v>
      </c>
      <c r="GB10" t="s">
        <v>273</v>
      </c>
      <c r="GC10">
        <v>30.494897999999999</v>
      </c>
      <c r="GD10">
        <v>0.13378300000000001</v>
      </c>
      <c r="GE10">
        <v>1.1057360000000001</v>
      </c>
      <c r="GF10">
        <v>0.90610599999999997</v>
      </c>
      <c r="GG10">
        <v>81.945959999999999</v>
      </c>
      <c r="GH10">
        <v>24.323281000000001</v>
      </c>
      <c r="GI10">
        <v>1103.9379799999999</v>
      </c>
      <c r="GJ10">
        <v>13.510942999999999</v>
      </c>
      <c r="GK10">
        <v>29</v>
      </c>
      <c r="GL10">
        <v>29</v>
      </c>
      <c r="GM10">
        <v>16</v>
      </c>
      <c r="GN10">
        <v>29</v>
      </c>
      <c r="GO10" t="s">
        <v>273</v>
      </c>
      <c r="GP10" t="s">
        <v>273</v>
      </c>
      <c r="GQ10">
        <v>31.866069</v>
      </c>
      <c r="GR10">
        <v>0.16486999999999999</v>
      </c>
      <c r="GS10">
        <v>1.9602189999999999</v>
      </c>
      <c r="GT10">
        <v>1.704485</v>
      </c>
      <c r="GU10">
        <v>86.953804000000005</v>
      </c>
      <c r="GV10">
        <v>27.443428999999998</v>
      </c>
      <c r="GW10">
        <v>605.27227000000005</v>
      </c>
      <c r="GX10">
        <v>16.650389000000001</v>
      </c>
      <c r="GY10">
        <v>44</v>
      </c>
      <c r="GZ10">
        <v>44</v>
      </c>
      <c r="HA10">
        <v>33</v>
      </c>
      <c r="HB10">
        <v>34</v>
      </c>
      <c r="HC10" t="s">
        <v>273</v>
      </c>
      <c r="HD10" t="s">
        <v>273</v>
      </c>
      <c r="HE10">
        <v>31</v>
      </c>
      <c r="HF10">
        <v>7.5000000000000002E-4</v>
      </c>
      <c r="HG10">
        <v>4.0000000000000001E-3</v>
      </c>
      <c r="HH10">
        <v>3.2258000000000002E-2</v>
      </c>
      <c r="HI10">
        <v>4250</v>
      </c>
    </row>
    <row r="11" spans="1:217" x14ac:dyDescent="0.3">
      <c r="A11">
        <v>143</v>
      </c>
      <c r="B11" t="s">
        <v>269</v>
      </c>
      <c r="F11" t="s">
        <v>270</v>
      </c>
      <c r="G11" t="s">
        <v>271</v>
      </c>
      <c r="H11" t="s">
        <v>272</v>
      </c>
      <c r="I11">
        <v>3250</v>
      </c>
      <c r="J11">
        <v>1</v>
      </c>
      <c r="K11">
        <v>32.881641000000002</v>
      </c>
      <c r="L11">
        <v>0.22</v>
      </c>
      <c r="M11">
        <v>2.1054E-2</v>
      </c>
      <c r="N11">
        <v>0</v>
      </c>
      <c r="O11">
        <v>0</v>
      </c>
      <c r="P11">
        <v>0</v>
      </c>
      <c r="Q11">
        <v>12.87</v>
      </c>
      <c r="R11">
        <v>1</v>
      </c>
      <c r="S11">
        <v>1</v>
      </c>
      <c r="T11">
        <v>1</v>
      </c>
      <c r="U11">
        <v>1</v>
      </c>
      <c r="V11">
        <v>100</v>
      </c>
      <c r="W11" t="s">
        <v>273</v>
      </c>
      <c r="X11" t="s">
        <v>274</v>
      </c>
      <c r="Y11" t="s">
        <v>274</v>
      </c>
      <c r="Z11" t="s">
        <v>273</v>
      </c>
      <c r="AA11" t="s">
        <v>275</v>
      </c>
      <c r="AB11" t="s">
        <v>276</v>
      </c>
      <c r="AC11">
        <v>164</v>
      </c>
      <c r="AD11">
        <v>5</v>
      </c>
      <c r="AE11" t="s">
        <v>277</v>
      </c>
      <c r="AF11">
        <v>3.7955290000000002</v>
      </c>
      <c r="AG11">
        <v>100</v>
      </c>
      <c r="AH11">
        <v>34.200000000000003</v>
      </c>
      <c r="AI11">
        <v>2050</v>
      </c>
      <c r="AJ11">
        <v>800</v>
      </c>
      <c r="AK11">
        <v>1200</v>
      </c>
      <c r="AL11">
        <v>253.6</v>
      </c>
      <c r="AM11">
        <v>2.2000000000000002</v>
      </c>
      <c r="AN11" t="s">
        <v>273</v>
      </c>
      <c r="AO11" t="s">
        <v>278</v>
      </c>
      <c r="AP11" t="s">
        <v>279</v>
      </c>
      <c r="AQ11">
        <v>1.4</v>
      </c>
      <c r="AR11">
        <v>3</v>
      </c>
      <c r="AS11">
        <v>78.5</v>
      </c>
      <c r="AT11">
        <v>142.80000000000001</v>
      </c>
      <c r="AU11">
        <v>8.1395999999999996E-2</v>
      </c>
      <c r="AV11">
        <v>36.200000000000003</v>
      </c>
      <c r="AW11">
        <v>237.7</v>
      </c>
      <c r="AX11" t="s">
        <v>280</v>
      </c>
      <c r="AY11">
        <v>0</v>
      </c>
      <c r="AZ11" t="s">
        <v>281</v>
      </c>
      <c r="BA11">
        <v>0.2</v>
      </c>
      <c r="BB11">
        <v>0.5</v>
      </c>
      <c r="BC11" t="s">
        <v>273</v>
      </c>
      <c r="BD11" t="s">
        <v>273</v>
      </c>
      <c r="BE11">
        <v>35.829681000000001</v>
      </c>
      <c r="BF11">
        <v>36.242240000000002</v>
      </c>
      <c r="BG11">
        <v>239.088402</v>
      </c>
      <c r="BH11" t="s">
        <v>273</v>
      </c>
      <c r="BI11">
        <v>43.397678999999997</v>
      </c>
      <c r="BJ11">
        <v>43.897379000000001</v>
      </c>
      <c r="BK11">
        <v>197.39445699999999</v>
      </c>
      <c r="BL11" t="s">
        <v>273</v>
      </c>
      <c r="BM11">
        <v>43.399805999999998</v>
      </c>
      <c r="BN11">
        <v>43.899529999999999</v>
      </c>
      <c r="BO11">
        <v>197.384783</v>
      </c>
      <c r="BP11" t="s">
        <v>273</v>
      </c>
      <c r="BQ11">
        <v>27.526336000000001</v>
      </c>
      <c r="BR11">
        <v>27.843285999999999</v>
      </c>
      <c r="BS11">
        <v>311.20965000000001</v>
      </c>
      <c r="BT11" t="s">
        <v>273</v>
      </c>
      <c r="BU11">
        <v>13.494903000000001</v>
      </c>
      <c r="BV11">
        <v>13.650289000000001</v>
      </c>
      <c r="BW11">
        <v>634.79234199999996</v>
      </c>
      <c r="BX11" t="s">
        <v>273</v>
      </c>
      <c r="BY11">
        <v>32.203347000000001</v>
      </c>
      <c r="BZ11">
        <v>36.73516</v>
      </c>
      <c r="CA11">
        <v>37.261785000000003</v>
      </c>
      <c r="CB11">
        <v>43.399805999999998</v>
      </c>
      <c r="CC11">
        <v>19.679314000000002</v>
      </c>
      <c r="CD11">
        <v>31.078596000000001</v>
      </c>
      <c r="CE11" t="s">
        <v>273</v>
      </c>
      <c r="CF11">
        <v>32.574151000000001</v>
      </c>
      <c r="CG11">
        <v>37.158144999999998</v>
      </c>
      <c r="CH11">
        <v>37.690834000000002</v>
      </c>
      <c r="CI11">
        <v>43.899529999999999</v>
      </c>
      <c r="CJ11">
        <v>19.905911</v>
      </c>
      <c r="CK11">
        <v>31.436449</v>
      </c>
      <c r="CL11" t="s">
        <v>273</v>
      </c>
      <c r="CM11">
        <v>266.01151599999997</v>
      </c>
      <c r="CN11">
        <v>233.19515100000001</v>
      </c>
      <c r="CO11">
        <v>229.89937800000001</v>
      </c>
      <c r="CP11">
        <v>197.384783</v>
      </c>
      <c r="CQ11">
        <v>435.30282899999997</v>
      </c>
      <c r="CR11">
        <v>275.63861600000001</v>
      </c>
      <c r="CS11" t="s">
        <v>273</v>
      </c>
      <c r="CT11">
        <v>316.24494900000002</v>
      </c>
      <c r="CU11">
        <v>298.214471</v>
      </c>
      <c r="CV11">
        <v>273.28545800000001</v>
      </c>
      <c r="CW11">
        <v>668.44632999999999</v>
      </c>
      <c r="CX11">
        <v>256.638329</v>
      </c>
      <c r="CY11">
        <v>566.91965300000004</v>
      </c>
      <c r="CZ11" t="s">
        <v>273</v>
      </c>
      <c r="DA11">
        <v>3.6038299999999999</v>
      </c>
      <c r="DB11">
        <v>510.01</v>
      </c>
      <c r="DC11">
        <v>3.8765939999999999</v>
      </c>
      <c r="DD11">
        <v>864</v>
      </c>
      <c r="DE11">
        <v>3.6034609999999998</v>
      </c>
      <c r="DF11">
        <v>505</v>
      </c>
      <c r="DG11">
        <v>10.265829</v>
      </c>
      <c r="DH11">
        <v>765</v>
      </c>
      <c r="DI11">
        <v>1.7871919999999999</v>
      </c>
      <c r="DJ11">
        <v>235</v>
      </c>
      <c r="DK11">
        <v>6.234801</v>
      </c>
      <c r="DL11">
        <v>365</v>
      </c>
      <c r="DM11" t="s">
        <v>273</v>
      </c>
      <c r="DN11">
        <v>4.6959629999999999</v>
      </c>
      <c r="DO11">
        <v>12.839971</v>
      </c>
      <c r="DP11">
        <v>5.8774300000000004</v>
      </c>
      <c r="DQ11" t="s">
        <v>282</v>
      </c>
      <c r="DR11">
        <v>10.175579000000001</v>
      </c>
      <c r="DS11">
        <v>19.629819999999999</v>
      </c>
      <c r="DT11">
        <v>48.522801000000001</v>
      </c>
      <c r="DU11">
        <v>73.572705999999997</v>
      </c>
      <c r="DV11">
        <v>106.301637</v>
      </c>
      <c r="DW11" t="s">
        <v>283</v>
      </c>
      <c r="DX11" t="s">
        <v>273</v>
      </c>
      <c r="DY11">
        <v>26.081264999999998</v>
      </c>
      <c r="DZ11">
        <v>7.1846999999999994E-2</v>
      </c>
      <c r="EA11">
        <v>0.957395</v>
      </c>
      <c r="EB11">
        <v>0.80960799999999999</v>
      </c>
      <c r="EC11">
        <v>84.563648000000001</v>
      </c>
      <c r="ED11">
        <v>21.756444999999999</v>
      </c>
      <c r="EE11">
        <v>495.72966200000002</v>
      </c>
      <c r="EF11">
        <v>5.6374069999999996</v>
      </c>
      <c r="EG11">
        <v>34</v>
      </c>
      <c r="EH11">
        <v>34</v>
      </c>
      <c r="EI11">
        <v>25</v>
      </c>
      <c r="EJ11">
        <v>30</v>
      </c>
      <c r="EK11" t="s">
        <v>273</v>
      </c>
      <c r="EL11" t="s">
        <v>273</v>
      </c>
      <c r="EM11">
        <v>25.748652</v>
      </c>
      <c r="EN11">
        <v>3.7484999999999997E-2</v>
      </c>
      <c r="EO11">
        <v>0.89129599999999998</v>
      </c>
      <c r="EP11">
        <v>0.72017200000000003</v>
      </c>
      <c r="EQ11">
        <v>80.800496999999993</v>
      </c>
      <c r="ER11">
        <v>20.392113999999999</v>
      </c>
      <c r="ES11">
        <v>407.32186999999999</v>
      </c>
      <c r="ET11">
        <v>2.9411909999999999</v>
      </c>
      <c r="EU11">
        <v>40</v>
      </c>
      <c r="EV11">
        <v>40</v>
      </c>
      <c r="EW11">
        <v>38</v>
      </c>
      <c r="EX11">
        <v>39</v>
      </c>
      <c r="EY11" t="s">
        <v>273</v>
      </c>
      <c r="EZ11" t="s">
        <v>273</v>
      </c>
      <c r="FA11">
        <v>30.148136000000001</v>
      </c>
      <c r="FB11">
        <v>7.2558999999999998E-2</v>
      </c>
      <c r="FC11">
        <v>0.95634699999999995</v>
      </c>
      <c r="FD11">
        <v>0.80959300000000001</v>
      </c>
      <c r="FE11">
        <v>84.654677000000007</v>
      </c>
      <c r="FF11">
        <v>25.175818</v>
      </c>
      <c r="FG11">
        <v>495.76942000000003</v>
      </c>
      <c r="FH11">
        <v>5.6932090000000004</v>
      </c>
      <c r="FI11">
        <v>34</v>
      </c>
      <c r="FJ11">
        <v>34</v>
      </c>
      <c r="FK11">
        <v>24</v>
      </c>
      <c r="FL11">
        <v>29</v>
      </c>
      <c r="FM11" t="s">
        <v>273</v>
      </c>
      <c r="FN11" t="s">
        <v>273</v>
      </c>
      <c r="FO11">
        <v>31.906148999999999</v>
      </c>
      <c r="FP11">
        <v>0.129774</v>
      </c>
      <c r="FQ11">
        <v>2.4755950000000002</v>
      </c>
      <c r="FR11">
        <v>2.1742560000000002</v>
      </c>
      <c r="FS11">
        <v>87.827589000000003</v>
      </c>
      <c r="FT11">
        <v>27.887485999999999</v>
      </c>
      <c r="FU11">
        <v>471.49206700000002</v>
      </c>
      <c r="FV11">
        <v>10.182534</v>
      </c>
      <c r="FW11">
        <v>34</v>
      </c>
      <c r="FX11">
        <v>34</v>
      </c>
      <c r="FY11">
        <v>33</v>
      </c>
      <c r="FZ11">
        <v>31</v>
      </c>
      <c r="GA11" t="s">
        <v>273</v>
      </c>
      <c r="GB11" t="s">
        <v>273</v>
      </c>
      <c r="GC11">
        <v>29.903175999999998</v>
      </c>
      <c r="GD11">
        <v>0.14108100000000001</v>
      </c>
      <c r="GE11">
        <v>0.890795</v>
      </c>
      <c r="GF11">
        <v>0.74082000000000003</v>
      </c>
      <c r="GG11">
        <v>83.163977000000003</v>
      </c>
      <c r="GH11">
        <v>24.256992</v>
      </c>
      <c r="GI11">
        <v>904.44935099999998</v>
      </c>
      <c r="GJ11">
        <v>11.069715</v>
      </c>
      <c r="GK11">
        <v>31</v>
      </c>
      <c r="GL11">
        <v>31</v>
      </c>
      <c r="GM11">
        <v>15</v>
      </c>
      <c r="GN11">
        <v>29</v>
      </c>
      <c r="GO11" t="s">
        <v>273</v>
      </c>
      <c r="GP11" t="s">
        <v>273</v>
      </c>
      <c r="GQ11">
        <v>32.273083999999997</v>
      </c>
      <c r="GR11">
        <v>0.232875</v>
      </c>
      <c r="GS11">
        <v>2.1237370000000002</v>
      </c>
      <c r="GT11">
        <v>1.865275</v>
      </c>
      <c r="GU11">
        <v>87.829866999999993</v>
      </c>
      <c r="GV11">
        <v>28.152771999999999</v>
      </c>
      <c r="GW11">
        <v>664.68029100000001</v>
      </c>
      <c r="GX11">
        <v>18.272224000000001</v>
      </c>
      <c r="GY11">
        <v>42</v>
      </c>
      <c r="GZ11">
        <v>42</v>
      </c>
      <c r="HA11">
        <v>39</v>
      </c>
      <c r="HB11">
        <v>38</v>
      </c>
      <c r="HC11" t="s">
        <v>273</v>
      </c>
      <c r="HD11" t="s">
        <v>273</v>
      </c>
      <c r="HE11">
        <v>31</v>
      </c>
      <c r="HF11">
        <v>7.5000000000000002E-4</v>
      </c>
      <c r="HG11">
        <v>6.0000000000000001E-3</v>
      </c>
      <c r="HH11">
        <v>3.2258000000000002E-2</v>
      </c>
      <c r="HI11">
        <v>3250</v>
      </c>
    </row>
    <row r="12" spans="1:217" x14ac:dyDescent="0.3">
      <c r="A12">
        <v>144</v>
      </c>
      <c r="B12" t="s">
        <v>269</v>
      </c>
      <c r="F12" t="s">
        <v>270</v>
      </c>
      <c r="G12" t="s">
        <v>271</v>
      </c>
      <c r="H12" t="s">
        <v>272</v>
      </c>
      <c r="I12">
        <v>4250</v>
      </c>
      <c r="J12">
        <v>1</v>
      </c>
      <c r="K12">
        <v>44.014453000000003</v>
      </c>
      <c r="L12">
        <v>0.22</v>
      </c>
      <c r="M12">
        <v>2.8378E-2</v>
      </c>
      <c r="N12">
        <v>0</v>
      </c>
      <c r="O12">
        <v>0</v>
      </c>
      <c r="P12">
        <v>0</v>
      </c>
      <c r="Q12">
        <v>16.79</v>
      </c>
      <c r="R12">
        <v>1</v>
      </c>
      <c r="S12">
        <v>1</v>
      </c>
      <c r="T12">
        <v>1</v>
      </c>
      <c r="U12">
        <v>1</v>
      </c>
      <c r="V12">
        <v>100</v>
      </c>
      <c r="W12" t="s">
        <v>273</v>
      </c>
      <c r="X12" t="s">
        <v>274</v>
      </c>
      <c r="Y12" t="s">
        <v>274</v>
      </c>
      <c r="Z12" t="s">
        <v>273</v>
      </c>
      <c r="AA12" t="s">
        <v>275</v>
      </c>
      <c r="AB12" t="s">
        <v>276</v>
      </c>
      <c r="AC12">
        <v>211</v>
      </c>
      <c r="AD12">
        <v>5</v>
      </c>
      <c r="AE12" t="s">
        <v>277</v>
      </c>
      <c r="AF12">
        <v>3.425233</v>
      </c>
      <c r="AG12">
        <v>100</v>
      </c>
      <c r="AH12">
        <v>30.8</v>
      </c>
      <c r="AI12">
        <v>1850</v>
      </c>
      <c r="AJ12">
        <v>800</v>
      </c>
      <c r="AK12">
        <v>1200</v>
      </c>
      <c r="AL12">
        <v>223.6</v>
      </c>
      <c r="AM12">
        <v>2.2000000000000002</v>
      </c>
      <c r="AN12" t="s">
        <v>273</v>
      </c>
      <c r="AO12" t="s">
        <v>278</v>
      </c>
      <c r="AP12" t="s">
        <v>284</v>
      </c>
      <c r="AQ12">
        <v>1.8</v>
      </c>
      <c r="AR12">
        <v>3</v>
      </c>
      <c r="AS12">
        <v>101</v>
      </c>
      <c r="AT12">
        <v>183.7</v>
      </c>
      <c r="AU12">
        <v>0.104652</v>
      </c>
      <c r="AV12">
        <v>36.6</v>
      </c>
      <c r="AW12">
        <v>235.2</v>
      </c>
      <c r="AX12" t="s">
        <v>280</v>
      </c>
      <c r="AY12">
        <v>0</v>
      </c>
      <c r="AZ12" t="s">
        <v>281</v>
      </c>
      <c r="BA12">
        <v>0.2</v>
      </c>
      <c r="BB12">
        <v>0.5</v>
      </c>
      <c r="BC12" t="s">
        <v>273</v>
      </c>
      <c r="BD12" t="s">
        <v>273</v>
      </c>
      <c r="BE12">
        <v>27.968066</v>
      </c>
      <c r="BF12">
        <v>28.290102999999998</v>
      </c>
      <c r="BG12">
        <v>306.29437100000001</v>
      </c>
      <c r="BH12" t="s">
        <v>273</v>
      </c>
      <c r="BI12">
        <v>33.783397000000001</v>
      </c>
      <c r="BJ12">
        <v>34.172393999999997</v>
      </c>
      <c r="BK12">
        <v>253.570155</v>
      </c>
      <c r="BL12" t="s">
        <v>273</v>
      </c>
      <c r="BM12">
        <v>33.784739999999999</v>
      </c>
      <c r="BN12">
        <v>34.173752</v>
      </c>
      <c r="BO12">
        <v>253.560078</v>
      </c>
      <c r="BP12" t="s">
        <v>273</v>
      </c>
      <c r="BQ12">
        <v>21.073782999999999</v>
      </c>
      <c r="BR12">
        <v>21.316435999999999</v>
      </c>
      <c r="BS12">
        <v>406.49850099999998</v>
      </c>
      <c r="BT12" t="s">
        <v>273</v>
      </c>
      <c r="BU12">
        <v>10.638920000000001</v>
      </c>
      <c r="BV12">
        <v>10.761421</v>
      </c>
      <c r="BW12">
        <v>805.20026399999995</v>
      </c>
      <c r="BX12" t="s">
        <v>273</v>
      </c>
      <c r="BY12">
        <v>25.085213</v>
      </c>
      <c r="BZ12">
        <v>28.752708999999999</v>
      </c>
      <c r="CA12">
        <v>28.988572000000001</v>
      </c>
      <c r="CB12">
        <v>33.784739999999999</v>
      </c>
      <c r="CC12">
        <v>15.114663</v>
      </c>
      <c r="CD12">
        <v>23.753026999999999</v>
      </c>
      <c r="CE12" t="s">
        <v>273</v>
      </c>
      <c r="CF12">
        <v>25.374054999999998</v>
      </c>
      <c r="CG12">
        <v>29.083780000000001</v>
      </c>
      <c r="CH12">
        <v>29.322358999999999</v>
      </c>
      <c r="CI12">
        <v>34.173752</v>
      </c>
      <c r="CJ12">
        <v>15.2887</v>
      </c>
      <c r="CK12">
        <v>24.026529</v>
      </c>
      <c r="CL12" t="s">
        <v>273</v>
      </c>
      <c r="CM12">
        <v>341.494462</v>
      </c>
      <c r="CN12">
        <v>297.93579899999997</v>
      </c>
      <c r="CO12">
        <v>295.51166799999999</v>
      </c>
      <c r="CP12">
        <v>253.560078</v>
      </c>
      <c r="CQ12">
        <v>566.76496299999997</v>
      </c>
      <c r="CR12">
        <v>360.64714600000002</v>
      </c>
      <c r="CS12" t="s">
        <v>273</v>
      </c>
      <c r="CT12">
        <v>406.03851500000002</v>
      </c>
      <c r="CU12">
        <v>381.00815299999999</v>
      </c>
      <c r="CV12">
        <v>351.31115399999999</v>
      </c>
      <c r="CW12">
        <v>858.702403</v>
      </c>
      <c r="CX12">
        <v>333.60042700000002</v>
      </c>
      <c r="CY12">
        <v>741.98749099999998</v>
      </c>
      <c r="CZ12" t="s">
        <v>273</v>
      </c>
      <c r="DA12">
        <v>3.6043310000000002</v>
      </c>
      <c r="DB12">
        <v>510.01</v>
      </c>
      <c r="DC12">
        <v>3.8766150000000001</v>
      </c>
      <c r="DD12">
        <v>864</v>
      </c>
      <c r="DE12">
        <v>3.6037810000000001</v>
      </c>
      <c r="DF12">
        <v>505</v>
      </c>
      <c r="DG12">
        <v>10.26604</v>
      </c>
      <c r="DH12">
        <v>765</v>
      </c>
      <c r="DI12">
        <v>1.784287</v>
      </c>
      <c r="DJ12">
        <v>235</v>
      </c>
      <c r="DK12">
        <v>6.2367049999999997</v>
      </c>
      <c r="DL12">
        <v>365</v>
      </c>
      <c r="DM12" t="s">
        <v>273</v>
      </c>
      <c r="DN12">
        <v>5.0016299999999996</v>
      </c>
      <c r="DO12">
        <v>13.360208</v>
      </c>
      <c r="DP12">
        <v>6.5643330000000004</v>
      </c>
      <c r="DQ12" t="s">
        <v>282</v>
      </c>
      <c r="DR12">
        <v>12.075407</v>
      </c>
      <c r="DS12">
        <v>19.939053999999999</v>
      </c>
      <c r="DT12">
        <v>51.939000999999998</v>
      </c>
      <c r="DU12">
        <v>72.487930000000006</v>
      </c>
      <c r="DV12">
        <v>100.09554300000001</v>
      </c>
      <c r="DW12" t="s">
        <v>283</v>
      </c>
      <c r="DX12" t="s">
        <v>273</v>
      </c>
      <c r="DY12">
        <v>26.929818999999998</v>
      </c>
      <c r="DZ12">
        <v>7.2973999999999997E-2</v>
      </c>
      <c r="EA12">
        <v>1.2692270000000001</v>
      </c>
      <c r="EB12">
        <v>1.0578460000000001</v>
      </c>
      <c r="EC12">
        <v>83.345714000000001</v>
      </c>
      <c r="ED12">
        <v>22.152062000000001</v>
      </c>
      <c r="EE12">
        <v>647.96968700000002</v>
      </c>
      <c r="EF12">
        <v>7.3696960000000002</v>
      </c>
      <c r="EG12">
        <v>34</v>
      </c>
      <c r="EH12">
        <v>34</v>
      </c>
      <c r="EI12">
        <v>28</v>
      </c>
      <c r="EJ12">
        <v>33</v>
      </c>
      <c r="EK12" t="s">
        <v>273</v>
      </c>
      <c r="EL12" t="s">
        <v>273</v>
      </c>
      <c r="EM12">
        <v>26.912466999999999</v>
      </c>
      <c r="EN12">
        <v>3.8080999999999997E-2</v>
      </c>
      <c r="EO12">
        <v>1.190218</v>
      </c>
      <c r="EP12">
        <v>0.94175600000000004</v>
      </c>
      <c r="EQ12">
        <v>79.124641999999994</v>
      </c>
      <c r="ER12">
        <v>20.869945000000001</v>
      </c>
      <c r="ES12">
        <v>532.59837300000004</v>
      </c>
      <c r="ET12">
        <v>3.845809</v>
      </c>
      <c r="EU12">
        <v>37</v>
      </c>
      <c r="EV12">
        <v>37</v>
      </c>
      <c r="EW12">
        <v>35</v>
      </c>
      <c r="EX12">
        <v>35</v>
      </c>
      <c r="EY12" t="s">
        <v>273</v>
      </c>
      <c r="EZ12" t="s">
        <v>273</v>
      </c>
      <c r="FA12">
        <v>31.119562999999999</v>
      </c>
      <c r="FB12">
        <v>7.3692999999999995E-2</v>
      </c>
      <c r="FC12">
        <v>1.269007</v>
      </c>
      <c r="FD12">
        <v>1.0577799999999999</v>
      </c>
      <c r="FE12">
        <v>83.354939000000002</v>
      </c>
      <c r="FF12">
        <v>25.601206000000001</v>
      </c>
      <c r="FG12">
        <v>648.02772400000003</v>
      </c>
      <c r="FH12">
        <v>7.4423409999999999</v>
      </c>
      <c r="FI12">
        <v>34</v>
      </c>
      <c r="FJ12">
        <v>34</v>
      </c>
      <c r="FK12">
        <v>28</v>
      </c>
      <c r="FL12">
        <v>33</v>
      </c>
      <c r="FM12" t="s">
        <v>273</v>
      </c>
      <c r="FN12" t="s">
        <v>273</v>
      </c>
      <c r="FO12">
        <v>32.583807</v>
      </c>
      <c r="FP12">
        <v>0.13167999999999999</v>
      </c>
      <c r="FQ12">
        <v>3.247754</v>
      </c>
      <c r="FR12">
        <v>2.839213</v>
      </c>
      <c r="FS12">
        <v>87.420807999999994</v>
      </c>
      <c r="FT12">
        <v>28.351815999999999</v>
      </c>
      <c r="FU12">
        <v>615.76233999999999</v>
      </c>
      <c r="FV12">
        <v>13.298526000000001</v>
      </c>
      <c r="FW12">
        <v>35</v>
      </c>
      <c r="FX12">
        <v>35</v>
      </c>
      <c r="FY12">
        <v>34</v>
      </c>
      <c r="FZ12">
        <v>31</v>
      </c>
      <c r="GA12" t="s">
        <v>273</v>
      </c>
      <c r="GB12" t="s">
        <v>273</v>
      </c>
      <c r="GC12">
        <v>30.506799000000001</v>
      </c>
      <c r="GD12">
        <v>0.143204</v>
      </c>
      <c r="GE12">
        <v>1.181305</v>
      </c>
      <c r="GF12">
        <v>0.96784599999999998</v>
      </c>
      <c r="GG12">
        <v>81.930239</v>
      </c>
      <c r="GH12">
        <v>24.379957000000001</v>
      </c>
      <c r="GI12">
        <v>1183.5636239999999</v>
      </c>
      <c r="GJ12">
        <v>14.462300000000001</v>
      </c>
      <c r="GK12">
        <v>30</v>
      </c>
      <c r="GL12">
        <v>30</v>
      </c>
      <c r="GM12">
        <v>16</v>
      </c>
      <c r="GN12">
        <v>28</v>
      </c>
      <c r="GO12" t="s">
        <v>273</v>
      </c>
      <c r="GP12" t="s">
        <v>273</v>
      </c>
      <c r="GQ12">
        <v>32.693088000000003</v>
      </c>
      <c r="GR12">
        <v>0.237229</v>
      </c>
      <c r="GS12">
        <v>2.815731</v>
      </c>
      <c r="GT12">
        <v>2.4449800000000002</v>
      </c>
      <c r="GU12">
        <v>86.832860999999994</v>
      </c>
      <c r="GV12">
        <v>28.203679999999999</v>
      </c>
      <c r="GW12">
        <v>871.24416299999996</v>
      </c>
      <c r="GX12">
        <v>23.958030999999998</v>
      </c>
      <c r="GY12">
        <v>49</v>
      </c>
      <c r="GZ12">
        <v>49</v>
      </c>
      <c r="HA12">
        <v>44</v>
      </c>
      <c r="HB12">
        <v>44</v>
      </c>
      <c r="HC12" t="s">
        <v>273</v>
      </c>
      <c r="HD12" t="s">
        <v>273</v>
      </c>
      <c r="HE12">
        <v>31</v>
      </c>
      <c r="HF12">
        <v>7.5000000000000002E-4</v>
      </c>
      <c r="HG12">
        <v>6.0000000000000001E-3</v>
      </c>
      <c r="HH12">
        <v>3.2258000000000002E-2</v>
      </c>
      <c r="HI12">
        <v>4250</v>
      </c>
    </row>
    <row r="13" spans="1:217" x14ac:dyDescent="0.3">
      <c r="A13">
        <v>162</v>
      </c>
      <c r="B13" t="s">
        <v>269</v>
      </c>
      <c r="F13" t="s">
        <v>270</v>
      </c>
      <c r="G13" t="s">
        <v>271</v>
      </c>
      <c r="H13" t="s">
        <v>272</v>
      </c>
      <c r="I13">
        <v>4250</v>
      </c>
      <c r="J13">
        <v>1</v>
      </c>
      <c r="K13">
        <v>37.373828000000003</v>
      </c>
      <c r="L13">
        <v>0.22</v>
      </c>
      <c r="M13">
        <v>4.4978999999999998E-2</v>
      </c>
      <c r="N13">
        <v>0</v>
      </c>
      <c r="O13">
        <v>0</v>
      </c>
      <c r="P13">
        <v>0</v>
      </c>
      <c r="Q13">
        <v>21.44</v>
      </c>
      <c r="R13">
        <v>1</v>
      </c>
      <c r="S13">
        <v>1</v>
      </c>
      <c r="T13">
        <v>1</v>
      </c>
      <c r="U13">
        <v>1</v>
      </c>
      <c r="V13">
        <v>100</v>
      </c>
      <c r="W13" t="s">
        <v>273</v>
      </c>
      <c r="X13" t="s">
        <v>274</v>
      </c>
      <c r="Y13" t="s">
        <v>274</v>
      </c>
      <c r="Z13" t="s">
        <v>273</v>
      </c>
      <c r="AA13" t="s">
        <v>275</v>
      </c>
      <c r="AB13" t="s">
        <v>276</v>
      </c>
      <c r="AC13">
        <v>211</v>
      </c>
      <c r="AD13">
        <v>5</v>
      </c>
      <c r="AE13" t="s">
        <v>277</v>
      </c>
      <c r="AF13">
        <v>3.425233</v>
      </c>
      <c r="AG13">
        <v>100</v>
      </c>
      <c r="AH13">
        <v>30.8</v>
      </c>
      <c r="AI13">
        <v>1850</v>
      </c>
      <c r="AJ13">
        <v>800</v>
      </c>
      <c r="AK13">
        <v>1200</v>
      </c>
      <c r="AL13">
        <v>223.6</v>
      </c>
      <c r="AM13">
        <v>2.2000000000000002</v>
      </c>
      <c r="AN13" t="s">
        <v>273</v>
      </c>
      <c r="AO13" t="s">
        <v>278</v>
      </c>
      <c r="AP13" t="s">
        <v>284</v>
      </c>
      <c r="AQ13">
        <v>1.8</v>
      </c>
      <c r="AR13">
        <v>3</v>
      </c>
      <c r="AS13">
        <v>101</v>
      </c>
      <c r="AT13">
        <v>183.7</v>
      </c>
      <c r="AU13">
        <v>0.104652</v>
      </c>
      <c r="AV13">
        <v>36.6</v>
      </c>
      <c r="AW13">
        <v>235.2</v>
      </c>
      <c r="AX13" t="s">
        <v>280</v>
      </c>
      <c r="AY13">
        <v>0</v>
      </c>
      <c r="AZ13" t="s">
        <v>281</v>
      </c>
      <c r="BA13">
        <v>0.2</v>
      </c>
      <c r="BB13">
        <v>0.5</v>
      </c>
      <c r="BC13" t="s">
        <v>273</v>
      </c>
      <c r="BD13" t="s">
        <v>273</v>
      </c>
      <c r="BE13">
        <v>26.245387999999998</v>
      </c>
      <c r="BF13">
        <v>26.547588999999999</v>
      </c>
      <c r="BG13">
        <v>326.398731</v>
      </c>
      <c r="BH13" t="s">
        <v>273</v>
      </c>
      <c r="BI13">
        <v>27.499904000000001</v>
      </c>
      <c r="BJ13">
        <v>27.816549999999999</v>
      </c>
      <c r="BK13">
        <v>311.50877300000002</v>
      </c>
      <c r="BL13" t="s">
        <v>273</v>
      </c>
      <c r="BM13">
        <v>27.501175</v>
      </c>
      <c r="BN13">
        <v>27.817836</v>
      </c>
      <c r="BO13">
        <v>311.494371</v>
      </c>
      <c r="BP13" t="s">
        <v>273</v>
      </c>
      <c r="BQ13">
        <v>16.705801999999998</v>
      </c>
      <c r="BR13">
        <v>16.898159</v>
      </c>
      <c r="BS13">
        <v>512.78361299999995</v>
      </c>
      <c r="BT13" t="s">
        <v>273</v>
      </c>
      <c r="BU13">
        <v>8.7457429999999992</v>
      </c>
      <c r="BV13">
        <v>8.8464449999999992</v>
      </c>
      <c r="BW13">
        <v>979.50067899999999</v>
      </c>
      <c r="BX13" t="s">
        <v>273</v>
      </c>
      <c r="BY13">
        <v>22.460339999999999</v>
      </c>
      <c r="BZ13">
        <v>28.329530999999999</v>
      </c>
      <c r="CA13">
        <v>25.941443</v>
      </c>
      <c r="CB13">
        <v>27.501175</v>
      </c>
      <c r="CC13">
        <v>14.188907</v>
      </c>
      <c r="CD13">
        <v>17.597031000000001</v>
      </c>
      <c r="CE13" t="s">
        <v>273</v>
      </c>
      <c r="CF13">
        <v>22.718958000000001</v>
      </c>
      <c r="CG13">
        <v>28.655729000000001</v>
      </c>
      <c r="CH13">
        <v>26.240144000000001</v>
      </c>
      <c r="CI13">
        <v>27.817836</v>
      </c>
      <c r="CJ13">
        <v>14.352283999999999</v>
      </c>
      <c r="CK13">
        <v>17.799651000000001</v>
      </c>
      <c r="CL13" t="s">
        <v>273</v>
      </c>
      <c r="CM13">
        <v>381.40389499999998</v>
      </c>
      <c r="CN13">
        <v>302.38627400000001</v>
      </c>
      <c r="CO13">
        <v>330.223007</v>
      </c>
      <c r="CP13">
        <v>311.494371</v>
      </c>
      <c r="CQ13">
        <v>603.74356699999998</v>
      </c>
      <c r="CR13">
        <v>486.81286299999999</v>
      </c>
      <c r="CS13" t="s">
        <v>273</v>
      </c>
      <c r="CT13">
        <v>453.411179</v>
      </c>
      <c r="CU13">
        <v>386.69664699999998</v>
      </c>
      <c r="CV13">
        <v>392.507451</v>
      </c>
      <c r="CW13">
        <v>1054.7940289999999</v>
      </c>
      <c r="CX13">
        <v>354.37213000000003</v>
      </c>
      <c r="CY13">
        <v>1000.771267</v>
      </c>
      <c r="CZ13" t="s">
        <v>273</v>
      </c>
      <c r="DA13">
        <v>3.6036969999999999</v>
      </c>
      <c r="DB13">
        <v>510.01</v>
      </c>
      <c r="DC13">
        <v>3.8765860000000001</v>
      </c>
      <c r="DD13">
        <v>864</v>
      </c>
      <c r="DE13">
        <v>3.603145</v>
      </c>
      <c r="DF13">
        <v>505</v>
      </c>
      <c r="DG13">
        <v>10.264991999999999</v>
      </c>
      <c r="DH13">
        <v>765</v>
      </c>
      <c r="DI13">
        <v>1.779296</v>
      </c>
      <c r="DJ13">
        <v>235</v>
      </c>
      <c r="DK13">
        <v>6.2318059999999997</v>
      </c>
      <c r="DL13">
        <v>365</v>
      </c>
      <c r="DM13" t="s">
        <v>273</v>
      </c>
      <c r="DN13">
        <v>4.9994810000000003</v>
      </c>
      <c r="DO13">
        <v>13.771212999999999</v>
      </c>
      <c r="DP13">
        <v>6.7452249999999996</v>
      </c>
      <c r="DQ13" t="s">
        <v>282</v>
      </c>
      <c r="DR13">
        <v>14.054173</v>
      </c>
      <c r="DS13">
        <v>20.139413000000001</v>
      </c>
      <c r="DT13">
        <v>54.710023999999997</v>
      </c>
      <c r="DU13">
        <v>70.238401999999994</v>
      </c>
      <c r="DV13">
        <v>93.462879999999998</v>
      </c>
      <c r="DW13" t="s">
        <v>283</v>
      </c>
      <c r="DX13" t="s">
        <v>273</v>
      </c>
      <c r="DY13">
        <v>27.182124000000002</v>
      </c>
      <c r="DZ13">
        <v>8.2511000000000001E-2</v>
      </c>
      <c r="EA13">
        <v>1.4305870000000001</v>
      </c>
      <c r="EB13">
        <v>1.1943820000000001</v>
      </c>
      <c r="EC13">
        <v>83.488937000000007</v>
      </c>
      <c r="ED13">
        <v>22.430192999999999</v>
      </c>
      <c r="EE13">
        <v>732.78223600000001</v>
      </c>
      <c r="EF13">
        <v>8.332846</v>
      </c>
      <c r="EG13">
        <v>35</v>
      </c>
      <c r="EH13">
        <v>35</v>
      </c>
      <c r="EI13">
        <v>30</v>
      </c>
      <c r="EJ13">
        <v>33</v>
      </c>
      <c r="EK13" t="s">
        <v>273</v>
      </c>
      <c r="EL13" t="s">
        <v>273</v>
      </c>
      <c r="EM13">
        <v>27.016587000000001</v>
      </c>
      <c r="EN13">
        <v>3.8866999999999999E-2</v>
      </c>
      <c r="EO13">
        <v>1.212661</v>
      </c>
      <c r="EP13">
        <v>0.960507</v>
      </c>
      <c r="EQ13">
        <v>79.206520999999995</v>
      </c>
      <c r="ER13">
        <v>20.987591999999999</v>
      </c>
      <c r="ES13">
        <v>543.60198700000001</v>
      </c>
      <c r="ET13">
        <v>3.9252349999999998</v>
      </c>
      <c r="EU13">
        <v>44</v>
      </c>
      <c r="EV13">
        <v>44</v>
      </c>
      <c r="EW13">
        <v>35</v>
      </c>
      <c r="EX13">
        <v>35</v>
      </c>
      <c r="EY13" t="s">
        <v>273</v>
      </c>
      <c r="EZ13" t="s">
        <v>273</v>
      </c>
      <c r="FA13">
        <v>31.394853999999999</v>
      </c>
      <c r="FB13">
        <v>8.3324999999999996E-2</v>
      </c>
      <c r="FC13">
        <v>1.4303589999999999</v>
      </c>
      <c r="FD13">
        <v>1.194318</v>
      </c>
      <c r="FE13">
        <v>83.497743999999997</v>
      </c>
      <c r="FF13">
        <v>25.909113999999999</v>
      </c>
      <c r="FG13">
        <v>732.85591599999998</v>
      </c>
      <c r="FH13">
        <v>8.4150720000000003</v>
      </c>
      <c r="FI13">
        <v>35</v>
      </c>
      <c r="FJ13">
        <v>35</v>
      </c>
      <c r="FK13">
        <v>30</v>
      </c>
      <c r="FL13">
        <v>33</v>
      </c>
      <c r="FM13" t="s">
        <v>273</v>
      </c>
      <c r="FN13" t="s">
        <v>273</v>
      </c>
      <c r="FO13">
        <v>33.407989000000001</v>
      </c>
      <c r="FP13">
        <v>0.16497500000000001</v>
      </c>
      <c r="FQ13">
        <v>4.0903140000000002</v>
      </c>
      <c r="FR13">
        <v>3.5546180000000001</v>
      </c>
      <c r="FS13">
        <v>86.903293000000005</v>
      </c>
      <c r="FT13">
        <v>28.917065999999998</v>
      </c>
      <c r="FU13">
        <v>771.53504899999996</v>
      </c>
      <c r="FV13">
        <v>16.661024999999999</v>
      </c>
      <c r="FW13">
        <v>42</v>
      </c>
      <c r="FX13">
        <v>42</v>
      </c>
      <c r="FY13">
        <v>40</v>
      </c>
      <c r="FZ13">
        <v>38</v>
      </c>
      <c r="GA13" t="s">
        <v>273</v>
      </c>
      <c r="GB13" t="s">
        <v>273</v>
      </c>
      <c r="GC13">
        <v>30.493760000000002</v>
      </c>
      <c r="GD13">
        <v>0.15276699999999999</v>
      </c>
      <c r="GE13">
        <v>1.2543230000000001</v>
      </c>
      <c r="GF13">
        <v>1.030964</v>
      </c>
      <c r="GG13">
        <v>82.192882999999995</v>
      </c>
      <c r="GH13">
        <v>24.483643000000001</v>
      </c>
      <c r="GI13">
        <v>1266.148375</v>
      </c>
      <c r="GJ13">
        <v>15.428148</v>
      </c>
      <c r="GK13">
        <v>29</v>
      </c>
      <c r="GL13">
        <v>29</v>
      </c>
      <c r="GM13">
        <v>16</v>
      </c>
      <c r="GN13">
        <v>29</v>
      </c>
      <c r="GO13" t="s">
        <v>273</v>
      </c>
      <c r="GP13" t="s">
        <v>273</v>
      </c>
      <c r="GQ13">
        <v>32.275438000000001</v>
      </c>
      <c r="GR13">
        <v>0.31139099999999997</v>
      </c>
      <c r="GS13">
        <v>3.7492610000000002</v>
      </c>
      <c r="GT13">
        <v>3.205927</v>
      </c>
      <c r="GU13">
        <v>85.508249000000006</v>
      </c>
      <c r="GV13">
        <v>27.447742999999999</v>
      </c>
      <c r="GW13">
        <v>1144.511229</v>
      </c>
      <c r="GX13">
        <v>31.447780999999999</v>
      </c>
      <c r="GY13">
        <v>57</v>
      </c>
      <c r="GZ13">
        <v>57</v>
      </c>
      <c r="HA13">
        <v>45</v>
      </c>
      <c r="HB13">
        <v>42</v>
      </c>
      <c r="HC13" t="s">
        <v>273</v>
      </c>
      <c r="HD13" t="s">
        <v>273</v>
      </c>
      <c r="HE13">
        <v>31</v>
      </c>
      <c r="HF13">
        <v>7.5000000000000002E-4</v>
      </c>
      <c r="HG13">
        <v>8.0000000000000002E-3</v>
      </c>
      <c r="HH13">
        <v>3.2258000000000002E-2</v>
      </c>
      <c r="HI13">
        <v>4250</v>
      </c>
    </row>
    <row r="14" spans="1:217" x14ac:dyDescent="0.3">
      <c r="A14">
        <v>179</v>
      </c>
      <c r="B14" t="s">
        <v>269</v>
      </c>
      <c r="F14" t="s">
        <v>270</v>
      </c>
      <c r="G14" t="s">
        <v>271</v>
      </c>
      <c r="H14" t="s">
        <v>272</v>
      </c>
      <c r="I14">
        <v>3250</v>
      </c>
      <c r="J14">
        <v>1</v>
      </c>
      <c r="K14">
        <v>52.559375000000003</v>
      </c>
      <c r="L14">
        <v>0.22</v>
      </c>
      <c r="M14">
        <v>9.9450000000000007E-3</v>
      </c>
      <c r="N14">
        <v>0</v>
      </c>
      <c r="O14">
        <v>0</v>
      </c>
      <c r="P14">
        <v>0</v>
      </c>
      <c r="Q14">
        <v>11.79</v>
      </c>
      <c r="R14">
        <v>1</v>
      </c>
      <c r="S14">
        <v>1</v>
      </c>
      <c r="T14">
        <v>1</v>
      </c>
      <c r="U14">
        <v>1</v>
      </c>
      <c r="V14">
        <v>100</v>
      </c>
      <c r="W14" t="s">
        <v>273</v>
      </c>
      <c r="X14" t="s">
        <v>274</v>
      </c>
      <c r="Y14" t="s">
        <v>274</v>
      </c>
      <c r="Z14" t="s">
        <v>273</v>
      </c>
      <c r="AA14" t="s">
        <v>275</v>
      </c>
      <c r="AB14" t="s">
        <v>276</v>
      </c>
      <c r="AC14">
        <v>164</v>
      </c>
      <c r="AD14">
        <v>5</v>
      </c>
      <c r="AE14" t="s">
        <v>277</v>
      </c>
      <c r="AF14">
        <v>3.7955290000000002</v>
      </c>
      <c r="AG14">
        <v>100</v>
      </c>
      <c r="AH14">
        <v>34.200000000000003</v>
      </c>
      <c r="AI14">
        <v>2050</v>
      </c>
      <c r="AJ14">
        <v>800</v>
      </c>
      <c r="AK14">
        <v>1200</v>
      </c>
      <c r="AL14">
        <v>253.6</v>
      </c>
      <c r="AM14">
        <v>2.2000000000000002</v>
      </c>
      <c r="AN14" t="s">
        <v>273</v>
      </c>
      <c r="AO14" t="s">
        <v>278</v>
      </c>
      <c r="AP14" t="s">
        <v>279</v>
      </c>
      <c r="AQ14">
        <v>1.4</v>
      </c>
      <c r="AR14">
        <v>3</v>
      </c>
      <c r="AS14">
        <v>78.5</v>
      </c>
      <c r="AT14">
        <v>142.80000000000001</v>
      </c>
      <c r="AU14">
        <v>8.1395999999999996E-2</v>
      </c>
      <c r="AV14">
        <v>36.200000000000003</v>
      </c>
      <c r="AW14">
        <v>237.7</v>
      </c>
      <c r="AX14" t="s">
        <v>280</v>
      </c>
      <c r="AY14">
        <v>0</v>
      </c>
      <c r="AZ14" t="s">
        <v>281</v>
      </c>
      <c r="BA14">
        <v>0.2</v>
      </c>
      <c r="BB14">
        <v>0.5</v>
      </c>
      <c r="BC14" t="s">
        <v>273</v>
      </c>
      <c r="BD14" t="s">
        <v>273</v>
      </c>
      <c r="BE14">
        <v>34.356988999999999</v>
      </c>
      <c r="BF14">
        <v>34.752589999999998</v>
      </c>
      <c r="BG14">
        <v>249.33678900000001</v>
      </c>
      <c r="BH14" t="s">
        <v>273</v>
      </c>
      <c r="BI14">
        <v>46.660173999999998</v>
      </c>
      <c r="BJ14">
        <v>47.197439000000003</v>
      </c>
      <c r="BK14">
        <v>183.59257099999999</v>
      </c>
      <c r="BL14" t="s">
        <v>273</v>
      </c>
      <c r="BM14">
        <v>46.663091999999999</v>
      </c>
      <c r="BN14">
        <v>47.200391000000003</v>
      </c>
      <c r="BO14">
        <v>183.58108899999999</v>
      </c>
      <c r="BP14" t="s">
        <v>273</v>
      </c>
      <c r="BQ14">
        <v>31.041972000000001</v>
      </c>
      <c r="BR14">
        <v>31.399401999999998</v>
      </c>
      <c r="BS14">
        <v>275.96382599999998</v>
      </c>
      <c r="BT14" t="s">
        <v>273</v>
      </c>
      <c r="BU14">
        <v>14.185143</v>
      </c>
      <c r="BV14">
        <v>14.348477000000001</v>
      </c>
      <c r="BW14">
        <v>603.90377999999998</v>
      </c>
      <c r="BX14" t="s">
        <v>273</v>
      </c>
      <c r="BY14">
        <v>32.150433</v>
      </c>
      <c r="BZ14">
        <v>33.926915999999999</v>
      </c>
      <c r="CA14">
        <v>37.170391000000002</v>
      </c>
      <c r="CB14">
        <v>46.663091999999999</v>
      </c>
      <c r="CC14">
        <v>19.949971000000001</v>
      </c>
      <c r="CD14">
        <v>36.92118</v>
      </c>
      <c r="CE14" t="s">
        <v>273</v>
      </c>
      <c r="CF14">
        <v>32.520626999999998</v>
      </c>
      <c r="CG14">
        <v>34.317565999999999</v>
      </c>
      <c r="CH14">
        <v>37.598387000000002</v>
      </c>
      <c r="CI14">
        <v>47.200391000000003</v>
      </c>
      <c r="CJ14">
        <v>20.179684000000002</v>
      </c>
      <c r="CK14">
        <v>37.346305999999998</v>
      </c>
      <c r="CL14" t="s">
        <v>273</v>
      </c>
      <c r="CM14">
        <v>266.44933099999997</v>
      </c>
      <c r="CN14">
        <v>252.49749</v>
      </c>
      <c r="CO14">
        <v>230.464652</v>
      </c>
      <c r="CP14">
        <v>183.58108899999999</v>
      </c>
      <c r="CQ14">
        <v>429.39717899999999</v>
      </c>
      <c r="CR14">
        <v>232.02024700000001</v>
      </c>
      <c r="CS14" t="s">
        <v>273</v>
      </c>
      <c r="CT14">
        <v>316.71055799999999</v>
      </c>
      <c r="CU14">
        <v>322.63029</v>
      </c>
      <c r="CV14">
        <v>273.89432499999998</v>
      </c>
      <c r="CW14">
        <v>621.71011999999996</v>
      </c>
      <c r="CX14">
        <v>253.05841100000001</v>
      </c>
      <c r="CY14">
        <v>477.432323</v>
      </c>
      <c r="CZ14" t="s">
        <v>273</v>
      </c>
      <c r="DA14">
        <v>3.6032060000000001</v>
      </c>
      <c r="DB14">
        <v>510.01</v>
      </c>
      <c r="DC14">
        <v>3.8733719999999998</v>
      </c>
      <c r="DD14">
        <v>864</v>
      </c>
      <c r="DE14">
        <v>3.6026319999999998</v>
      </c>
      <c r="DF14">
        <v>505</v>
      </c>
      <c r="DG14">
        <v>10.265997</v>
      </c>
      <c r="DH14">
        <v>765</v>
      </c>
      <c r="DI14">
        <v>1.7864990000000001</v>
      </c>
      <c r="DJ14">
        <v>235</v>
      </c>
      <c r="DK14">
        <v>6.2377370000000001</v>
      </c>
      <c r="DL14">
        <v>365</v>
      </c>
      <c r="DM14" t="s">
        <v>273</v>
      </c>
      <c r="DN14">
        <v>4.747903</v>
      </c>
      <c r="DO14">
        <v>12.775805999999999</v>
      </c>
      <c r="DP14">
        <v>5.8975119999999999</v>
      </c>
      <c r="DQ14" t="s">
        <v>282</v>
      </c>
      <c r="DR14">
        <v>9.5838710000000003</v>
      </c>
      <c r="DS14">
        <v>19.596903999999999</v>
      </c>
      <c r="DT14">
        <v>47.854092999999999</v>
      </c>
      <c r="DU14">
        <v>74.883064000000005</v>
      </c>
      <c r="DV14">
        <v>125.407707</v>
      </c>
      <c r="DW14" t="s">
        <v>283</v>
      </c>
      <c r="DX14" t="s">
        <v>273</v>
      </c>
      <c r="DY14">
        <v>26.014358999999999</v>
      </c>
      <c r="DZ14">
        <v>7.1627999999999997E-2</v>
      </c>
      <c r="EA14">
        <v>0.95634399999999997</v>
      </c>
      <c r="EB14">
        <v>0.80712700000000004</v>
      </c>
      <c r="EC14">
        <v>84.397071999999994</v>
      </c>
      <c r="ED14">
        <v>21.658177999999999</v>
      </c>
      <c r="EE14">
        <v>494.302121</v>
      </c>
      <c r="EF14">
        <v>5.6201990000000004</v>
      </c>
      <c r="EG14">
        <v>31</v>
      </c>
      <c r="EH14">
        <v>31</v>
      </c>
      <c r="EI14">
        <v>23</v>
      </c>
      <c r="EJ14">
        <v>28</v>
      </c>
      <c r="EK14" t="s">
        <v>273</v>
      </c>
      <c r="EL14" t="s">
        <v>273</v>
      </c>
      <c r="EM14">
        <v>26.314699000000001</v>
      </c>
      <c r="EN14">
        <v>4.1510999999999999E-2</v>
      </c>
      <c r="EO14">
        <v>0.98546699999999998</v>
      </c>
      <c r="EP14">
        <v>0.79558799999999996</v>
      </c>
      <c r="EQ14">
        <v>80.732083000000003</v>
      </c>
      <c r="ER14">
        <v>20.873694</v>
      </c>
      <c r="ES14">
        <v>451.45279699999998</v>
      </c>
      <c r="ET14">
        <v>3.257142</v>
      </c>
      <c r="EU14">
        <v>41</v>
      </c>
      <c r="EV14">
        <v>41</v>
      </c>
      <c r="EW14">
        <v>40</v>
      </c>
      <c r="EX14">
        <v>40</v>
      </c>
      <c r="EY14" t="s">
        <v>273</v>
      </c>
      <c r="EZ14" t="s">
        <v>273</v>
      </c>
      <c r="FA14">
        <v>30.070936</v>
      </c>
      <c r="FB14">
        <v>7.2331000000000006E-2</v>
      </c>
      <c r="FC14">
        <v>0.95602399999999998</v>
      </c>
      <c r="FD14">
        <v>0.80704299999999995</v>
      </c>
      <c r="FE14">
        <v>84.416640000000001</v>
      </c>
      <c r="FF14">
        <v>25.041179</v>
      </c>
      <c r="FG14">
        <v>494.329453</v>
      </c>
      <c r="FH14">
        <v>5.6753660000000004</v>
      </c>
      <c r="FI14">
        <v>31</v>
      </c>
      <c r="FJ14">
        <v>31</v>
      </c>
      <c r="FK14">
        <v>23</v>
      </c>
      <c r="FL14">
        <v>28</v>
      </c>
      <c r="FM14" t="s">
        <v>273</v>
      </c>
      <c r="FN14" t="s">
        <v>273</v>
      </c>
      <c r="FO14">
        <v>31.421008</v>
      </c>
      <c r="FP14">
        <v>0.118705</v>
      </c>
      <c r="FQ14">
        <v>2.2674970000000001</v>
      </c>
      <c r="FR14">
        <v>1.9893000000000001</v>
      </c>
      <c r="FS14">
        <v>87.731104999999999</v>
      </c>
      <c r="FT14">
        <v>27.426569000000001</v>
      </c>
      <c r="FU14">
        <v>431.27152899999999</v>
      </c>
      <c r="FV14">
        <v>9.3140669999999997</v>
      </c>
      <c r="FW14">
        <v>33</v>
      </c>
      <c r="FX14">
        <v>33</v>
      </c>
      <c r="FY14">
        <v>29</v>
      </c>
      <c r="FZ14">
        <v>27</v>
      </c>
      <c r="GA14" t="s">
        <v>273</v>
      </c>
      <c r="GB14" t="s">
        <v>273</v>
      </c>
      <c r="GC14">
        <v>29.827302</v>
      </c>
      <c r="GD14">
        <v>0.138567</v>
      </c>
      <c r="GE14">
        <v>0.87614000000000003</v>
      </c>
      <c r="GF14">
        <v>0.72813399999999995</v>
      </c>
      <c r="GG14">
        <v>83.107078000000001</v>
      </c>
      <c r="GH14">
        <v>24.161873</v>
      </c>
      <c r="GI14">
        <v>888.68005500000004</v>
      </c>
      <c r="GJ14">
        <v>10.872494</v>
      </c>
      <c r="GK14">
        <v>39</v>
      </c>
      <c r="GL14">
        <v>39</v>
      </c>
      <c r="GM14">
        <v>15</v>
      </c>
      <c r="GN14">
        <v>29</v>
      </c>
      <c r="GO14" t="s">
        <v>273</v>
      </c>
      <c r="GP14" t="s">
        <v>273</v>
      </c>
      <c r="GQ14">
        <v>31.718423000000001</v>
      </c>
      <c r="GR14">
        <v>0.19179599999999999</v>
      </c>
      <c r="GS14">
        <v>1.7577700000000001</v>
      </c>
      <c r="GT14">
        <v>1.5382450000000001</v>
      </c>
      <c r="GU14">
        <v>87.511167999999998</v>
      </c>
      <c r="GV14">
        <v>27.532658000000001</v>
      </c>
      <c r="GW14">
        <v>547.17397100000005</v>
      </c>
      <c r="GX14">
        <v>15.049030999999999</v>
      </c>
      <c r="GY14">
        <v>36</v>
      </c>
      <c r="GZ14">
        <v>36</v>
      </c>
      <c r="HA14">
        <v>29</v>
      </c>
      <c r="HB14">
        <v>29</v>
      </c>
      <c r="HC14" t="s">
        <v>273</v>
      </c>
      <c r="HD14" t="s">
        <v>273</v>
      </c>
      <c r="HE14">
        <v>31</v>
      </c>
      <c r="HF14">
        <v>1E-3</v>
      </c>
      <c r="HG14">
        <v>5.0000000000000001E-3</v>
      </c>
      <c r="HH14">
        <v>3.2258000000000002E-2</v>
      </c>
      <c r="HI14">
        <v>3250</v>
      </c>
    </row>
    <row r="15" spans="1:217" x14ac:dyDescent="0.3">
      <c r="A15">
        <v>180</v>
      </c>
      <c r="B15" t="s">
        <v>269</v>
      </c>
      <c r="F15" t="s">
        <v>270</v>
      </c>
      <c r="G15" t="s">
        <v>271</v>
      </c>
      <c r="H15" t="s">
        <v>272</v>
      </c>
      <c r="I15">
        <v>4250</v>
      </c>
      <c r="J15">
        <v>1</v>
      </c>
      <c r="K15">
        <v>69.746875000000003</v>
      </c>
      <c r="L15">
        <v>0.22</v>
      </c>
      <c r="M15">
        <v>1.3852E-2</v>
      </c>
      <c r="N15">
        <v>0</v>
      </c>
      <c r="O15">
        <v>0</v>
      </c>
      <c r="P15">
        <v>0</v>
      </c>
      <c r="Q15">
        <v>15.38</v>
      </c>
      <c r="R15">
        <v>1</v>
      </c>
      <c r="S15">
        <v>1</v>
      </c>
      <c r="T15">
        <v>1</v>
      </c>
      <c r="U15">
        <v>1</v>
      </c>
      <c r="V15">
        <v>100</v>
      </c>
      <c r="W15" t="s">
        <v>273</v>
      </c>
      <c r="X15" t="s">
        <v>274</v>
      </c>
      <c r="Y15" t="s">
        <v>274</v>
      </c>
      <c r="Z15" t="s">
        <v>273</v>
      </c>
      <c r="AA15" t="s">
        <v>275</v>
      </c>
      <c r="AB15" t="s">
        <v>276</v>
      </c>
      <c r="AC15">
        <v>211</v>
      </c>
      <c r="AD15">
        <v>5</v>
      </c>
      <c r="AE15" t="s">
        <v>277</v>
      </c>
      <c r="AF15">
        <v>3.425233</v>
      </c>
      <c r="AG15">
        <v>100</v>
      </c>
      <c r="AH15">
        <v>30.8</v>
      </c>
      <c r="AI15">
        <v>1850</v>
      </c>
      <c r="AJ15">
        <v>800</v>
      </c>
      <c r="AK15">
        <v>1200</v>
      </c>
      <c r="AL15">
        <v>223.6</v>
      </c>
      <c r="AM15">
        <v>2.2000000000000002</v>
      </c>
      <c r="AN15" t="s">
        <v>273</v>
      </c>
      <c r="AO15" t="s">
        <v>278</v>
      </c>
      <c r="AP15" t="s">
        <v>284</v>
      </c>
      <c r="AQ15">
        <v>1.8</v>
      </c>
      <c r="AR15">
        <v>3</v>
      </c>
      <c r="AS15">
        <v>101</v>
      </c>
      <c r="AT15">
        <v>183.7</v>
      </c>
      <c r="AU15">
        <v>0.104652</v>
      </c>
      <c r="AV15">
        <v>36.6</v>
      </c>
      <c r="AW15">
        <v>235.2</v>
      </c>
      <c r="AX15" t="s">
        <v>280</v>
      </c>
      <c r="AY15">
        <v>0</v>
      </c>
      <c r="AZ15" t="s">
        <v>281</v>
      </c>
      <c r="BA15">
        <v>0.2</v>
      </c>
      <c r="BB15">
        <v>0.5</v>
      </c>
      <c r="BC15" t="s">
        <v>273</v>
      </c>
      <c r="BD15" t="s">
        <v>273</v>
      </c>
      <c r="BE15">
        <v>26.854467</v>
      </c>
      <c r="BF15">
        <v>27.163681</v>
      </c>
      <c r="BG15">
        <v>318.99576100000002</v>
      </c>
      <c r="BH15" t="s">
        <v>273</v>
      </c>
      <c r="BI15">
        <v>36.739193</v>
      </c>
      <c r="BJ15">
        <v>37.162224000000002</v>
      </c>
      <c r="BK15">
        <v>233.16955400000001</v>
      </c>
      <c r="BL15" t="s">
        <v>273</v>
      </c>
      <c r="BM15">
        <v>36.740696999999997</v>
      </c>
      <c r="BN15">
        <v>37.163744999999999</v>
      </c>
      <c r="BO15">
        <v>233.16001199999999</v>
      </c>
      <c r="BP15" t="s">
        <v>273</v>
      </c>
      <c r="BQ15">
        <v>23.943556999999998</v>
      </c>
      <c r="BR15">
        <v>24.219252999999998</v>
      </c>
      <c r="BS15">
        <v>357.77730600000001</v>
      </c>
      <c r="BT15" t="s">
        <v>273</v>
      </c>
      <c r="BU15">
        <v>11.304095999999999</v>
      </c>
      <c r="BV15">
        <v>11.434257000000001</v>
      </c>
      <c r="BW15">
        <v>757.81920500000001</v>
      </c>
      <c r="BX15" t="s">
        <v>273</v>
      </c>
      <c r="BY15">
        <v>25.080552999999998</v>
      </c>
      <c r="BZ15">
        <v>26.571563999999999</v>
      </c>
      <c r="CA15">
        <v>28.983032999999999</v>
      </c>
      <c r="CB15">
        <v>36.740696999999997</v>
      </c>
      <c r="CC15">
        <v>15.359579999999999</v>
      </c>
      <c r="CD15">
        <v>28.500858000000001</v>
      </c>
      <c r="CE15" t="s">
        <v>273</v>
      </c>
      <c r="CF15">
        <v>25.369340999999999</v>
      </c>
      <c r="CG15">
        <v>26.877520000000001</v>
      </c>
      <c r="CH15">
        <v>29.316756000000002</v>
      </c>
      <c r="CI15">
        <v>37.163744999999999</v>
      </c>
      <c r="CJ15">
        <v>15.536436999999999</v>
      </c>
      <c r="CK15">
        <v>28.829028999999998</v>
      </c>
      <c r="CL15" t="s">
        <v>273</v>
      </c>
      <c r="CM15">
        <v>341.55790999999999</v>
      </c>
      <c r="CN15">
        <v>322.39206300000001</v>
      </c>
      <c r="CO15">
        <v>295.56814400000002</v>
      </c>
      <c r="CP15">
        <v>233.16001199999999</v>
      </c>
      <c r="CQ15">
        <v>557.72758499999998</v>
      </c>
      <c r="CR15">
        <v>300.56853799999999</v>
      </c>
      <c r="CS15" t="s">
        <v>273</v>
      </c>
      <c r="CT15">
        <v>406.00689199999999</v>
      </c>
      <c r="CU15">
        <v>411.94282399999997</v>
      </c>
      <c r="CV15">
        <v>351.285977</v>
      </c>
      <c r="CW15">
        <v>789.63818200000003</v>
      </c>
      <c r="CX15">
        <v>328.32789400000001</v>
      </c>
      <c r="CY15">
        <v>618.42721400000005</v>
      </c>
      <c r="CZ15" t="s">
        <v>273</v>
      </c>
      <c r="DA15">
        <v>3.6033810000000002</v>
      </c>
      <c r="DB15">
        <v>510.01</v>
      </c>
      <c r="DC15">
        <v>3.8734120000000001</v>
      </c>
      <c r="DD15">
        <v>864</v>
      </c>
      <c r="DE15">
        <v>3.6028349999999998</v>
      </c>
      <c r="DF15">
        <v>505</v>
      </c>
      <c r="DG15">
        <v>10.26633</v>
      </c>
      <c r="DH15">
        <v>765</v>
      </c>
      <c r="DI15">
        <v>1.7845420000000001</v>
      </c>
      <c r="DJ15">
        <v>235</v>
      </c>
      <c r="DK15">
        <v>6.2371499999999997</v>
      </c>
      <c r="DL15">
        <v>365</v>
      </c>
      <c r="DM15" t="s">
        <v>273</v>
      </c>
      <c r="DN15">
        <v>5.0637449999999999</v>
      </c>
      <c r="DO15">
        <v>13.334224000000001</v>
      </c>
      <c r="DP15">
        <v>6.5924529999999999</v>
      </c>
      <c r="DQ15" t="s">
        <v>282</v>
      </c>
      <c r="DR15">
        <v>11.241192</v>
      </c>
      <c r="DS15">
        <v>19.922823999999999</v>
      </c>
      <c r="DT15">
        <v>51.090693999999999</v>
      </c>
      <c r="DU15">
        <v>73.742756999999997</v>
      </c>
      <c r="DV15">
        <v>122.83255800000001</v>
      </c>
      <c r="DW15" t="s">
        <v>283</v>
      </c>
      <c r="DX15" t="s">
        <v>273</v>
      </c>
      <c r="DY15">
        <v>26.882866</v>
      </c>
      <c r="DZ15">
        <v>7.2741E-2</v>
      </c>
      <c r="EA15">
        <v>1.2669159999999999</v>
      </c>
      <c r="EB15">
        <v>1.054581</v>
      </c>
      <c r="EC15">
        <v>83.240039999999993</v>
      </c>
      <c r="ED15">
        <v>22.083345999999999</v>
      </c>
      <c r="EE15">
        <v>646.07816200000002</v>
      </c>
      <c r="EF15">
        <v>7.3462459999999998</v>
      </c>
      <c r="EG15">
        <v>33</v>
      </c>
      <c r="EH15">
        <v>33</v>
      </c>
      <c r="EI15">
        <v>28</v>
      </c>
      <c r="EJ15">
        <v>33</v>
      </c>
      <c r="EK15" t="s">
        <v>273</v>
      </c>
      <c r="EL15" t="s">
        <v>273</v>
      </c>
      <c r="EM15">
        <v>27.503709000000001</v>
      </c>
      <c r="EN15">
        <v>4.2162999999999999E-2</v>
      </c>
      <c r="EO15">
        <v>1.3151250000000001</v>
      </c>
      <c r="EP15">
        <v>1.040111</v>
      </c>
      <c r="EQ15">
        <v>79.088376999999994</v>
      </c>
      <c r="ER15">
        <v>21.371980000000001</v>
      </c>
      <c r="ES15">
        <v>590.18072900000004</v>
      </c>
      <c r="ET15">
        <v>4.2580809999999998</v>
      </c>
      <c r="EU15">
        <v>36</v>
      </c>
      <c r="EV15">
        <v>36</v>
      </c>
      <c r="EW15">
        <v>35</v>
      </c>
      <c r="EX15">
        <v>35</v>
      </c>
      <c r="EY15" t="s">
        <v>273</v>
      </c>
      <c r="EZ15" t="s">
        <v>273</v>
      </c>
      <c r="FA15">
        <v>31.062947000000001</v>
      </c>
      <c r="FB15">
        <v>7.3456999999999995E-2</v>
      </c>
      <c r="FC15">
        <v>1.266608</v>
      </c>
      <c r="FD15">
        <v>1.054492</v>
      </c>
      <c r="FE15">
        <v>83.253203999999997</v>
      </c>
      <c r="FF15">
        <v>25.521052000000001</v>
      </c>
      <c r="FG15">
        <v>646.12063499999999</v>
      </c>
      <c r="FH15">
        <v>7.4184890000000001</v>
      </c>
      <c r="FI15">
        <v>33</v>
      </c>
      <c r="FJ15">
        <v>33</v>
      </c>
      <c r="FK15">
        <v>28</v>
      </c>
      <c r="FL15">
        <v>33</v>
      </c>
      <c r="FM15" t="s">
        <v>273</v>
      </c>
      <c r="FN15" t="s">
        <v>273</v>
      </c>
      <c r="FO15">
        <v>32.435616000000003</v>
      </c>
      <c r="FP15">
        <v>0.120432</v>
      </c>
      <c r="FQ15">
        <v>2.9729589999999999</v>
      </c>
      <c r="FR15">
        <v>2.5975239999999999</v>
      </c>
      <c r="FS15">
        <v>87.371669999999995</v>
      </c>
      <c r="FT15">
        <v>28.19792</v>
      </c>
      <c r="FU15">
        <v>563.147921</v>
      </c>
      <c r="FV15">
        <v>12.162564</v>
      </c>
      <c r="FW15">
        <v>34</v>
      </c>
      <c r="FX15">
        <v>34</v>
      </c>
      <c r="FY15">
        <v>31</v>
      </c>
      <c r="FZ15">
        <v>28</v>
      </c>
      <c r="GA15" t="s">
        <v>273</v>
      </c>
      <c r="GB15" t="s">
        <v>273</v>
      </c>
      <c r="GC15">
        <v>30.503451999999999</v>
      </c>
      <c r="GD15">
        <v>0.14086499999999999</v>
      </c>
      <c r="GE15">
        <v>1.162507</v>
      </c>
      <c r="GF15">
        <v>0.95254099999999997</v>
      </c>
      <c r="GG15">
        <v>81.938500000000005</v>
      </c>
      <c r="GH15">
        <v>24.366896000000001</v>
      </c>
      <c r="GI15">
        <v>1164.0689440000001</v>
      </c>
      <c r="GJ15">
        <v>14.226122</v>
      </c>
      <c r="GK15">
        <v>28</v>
      </c>
      <c r="GL15">
        <v>28</v>
      </c>
      <c r="GM15">
        <v>15</v>
      </c>
      <c r="GN15">
        <v>28</v>
      </c>
      <c r="GO15" t="s">
        <v>273</v>
      </c>
      <c r="GP15" t="s">
        <v>273</v>
      </c>
      <c r="GQ15">
        <v>32.313383000000002</v>
      </c>
      <c r="GR15">
        <v>0.19530400000000001</v>
      </c>
      <c r="GS15">
        <v>2.319582</v>
      </c>
      <c r="GT15">
        <v>2.0153129999999999</v>
      </c>
      <c r="GU15">
        <v>86.882576999999998</v>
      </c>
      <c r="GV15">
        <v>27.858488999999999</v>
      </c>
      <c r="GW15">
        <v>717.22014899999999</v>
      </c>
      <c r="GX15">
        <v>19.723987000000001</v>
      </c>
      <c r="GY15">
        <v>52</v>
      </c>
      <c r="GZ15">
        <v>52</v>
      </c>
      <c r="HA15">
        <v>37</v>
      </c>
      <c r="HB15">
        <v>37</v>
      </c>
      <c r="HC15" t="s">
        <v>273</v>
      </c>
      <c r="HD15" t="s">
        <v>273</v>
      </c>
      <c r="HE15">
        <v>31</v>
      </c>
      <c r="HF15">
        <v>1E-3</v>
      </c>
      <c r="HG15">
        <v>5.0000000000000001E-3</v>
      </c>
      <c r="HH15">
        <v>3.2258000000000002E-2</v>
      </c>
      <c r="HI15">
        <v>4250</v>
      </c>
    </row>
    <row r="16" spans="1:217" x14ac:dyDescent="0.3">
      <c r="A16">
        <v>197</v>
      </c>
      <c r="B16" t="s">
        <v>269</v>
      </c>
      <c r="F16" t="s">
        <v>270</v>
      </c>
      <c r="G16" t="s">
        <v>271</v>
      </c>
      <c r="H16" t="s">
        <v>272</v>
      </c>
      <c r="I16">
        <v>3250</v>
      </c>
      <c r="J16">
        <v>1</v>
      </c>
      <c r="K16">
        <v>48.750781000000003</v>
      </c>
      <c r="L16">
        <v>0.22</v>
      </c>
      <c r="M16">
        <v>1.9467000000000002E-2</v>
      </c>
      <c r="N16">
        <v>0</v>
      </c>
      <c r="O16">
        <v>0</v>
      </c>
      <c r="P16">
        <v>0</v>
      </c>
      <c r="Q16">
        <v>14.46</v>
      </c>
      <c r="R16">
        <v>1</v>
      </c>
      <c r="S16">
        <v>1</v>
      </c>
      <c r="T16">
        <v>1</v>
      </c>
      <c r="U16">
        <v>1</v>
      </c>
      <c r="V16">
        <v>100</v>
      </c>
      <c r="W16" t="s">
        <v>273</v>
      </c>
      <c r="X16" t="s">
        <v>274</v>
      </c>
      <c r="Y16" t="s">
        <v>274</v>
      </c>
      <c r="Z16" t="s">
        <v>273</v>
      </c>
      <c r="AA16" t="s">
        <v>275</v>
      </c>
      <c r="AB16" t="s">
        <v>276</v>
      </c>
      <c r="AC16">
        <v>164</v>
      </c>
      <c r="AD16">
        <v>5</v>
      </c>
      <c r="AE16" t="s">
        <v>277</v>
      </c>
      <c r="AF16">
        <v>3.7955290000000002</v>
      </c>
      <c r="AG16">
        <v>100</v>
      </c>
      <c r="AH16">
        <v>34.200000000000003</v>
      </c>
      <c r="AI16">
        <v>2050</v>
      </c>
      <c r="AJ16">
        <v>800</v>
      </c>
      <c r="AK16">
        <v>1200</v>
      </c>
      <c r="AL16">
        <v>253.6</v>
      </c>
      <c r="AM16">
        <v>2.2000000000000002</v>
      </c>
      <c r="AN16" t="s">
        <v>273</v>
      </c>
      <c r="AO16" t="s">
        <v>278</v>
      </c>
      <c r="AP16" t="s">
        <v>279</v>
      </c>
      <c r="AQ16">
        <v>1.4</v>
      </c>
      <c r="AR16">
        <v>3</v>
      </c>
      <c r="AS16">
        <v>78.5</v>
      </c>
      <c r="AT16">
        <v>142.80000000000001</v>
      </c>
      <c r="AU16">
        <v>8.1395999999999996E-2</v>
      </c>
      <c r="AV16">
        <v>36.200000000000003</v>
      </c>
      <c r="AW16">
        <v>237.7</v>
      </c>
      <c r="AX16" t="s">
        <v>280</v>
      </c>
      <c r="AY16">
        <v>0</v>
      </c>
      <c r="AZ16" t="s">
        <v>281</v>
      </c>
      <c r="BA16">
        <v>0.2</v>
      </c>
      <c r="BB16">
        <v>0.5</v>
      </c>
      <c r="BC16" t="s">
        <v>273</v>
      </c>
      <c r="BD16" t="s">
        <v>273</v>
      </c>
      <c r="BE16">
        <v>32.946061</v>
      </c>
      <c r="BF16">
        <v>33.325415999999997</v>
      </c>
      <c r="BG16">
        <v>260.01473399999998</v>
      </c>
      <c r="BH16" t="s">
        <v>273</v>
      </c>
      <c r="BI16">
        <v>39.873565999999997</v>
      </c>
      <c r="BJ16">
        <v>40.332687</v>
      </c>
      <c r="BK16">
        <v>214.84061299999999</v>
      </c>
      <c r="BL16" t="s">
        <v>273</v>
      </c>
      <c r="BM16">
        <v>39.875591</v>
      </c>
      <c r="BN16">
        <v>40.334735999999999</v>
      </c>
      <c r="BO16">
        <v>214.829702</v>
      </c>
      <c r="BP16" t="s">
        <v>273</v>
      </c>
      <c r="BQ16">
        <v>26.325102999999999</v>
      </c>
      <c r="BR16">
        <v>26.628222000000001</v>
      </c>
      <c r="BS16">
        <v>325.41035599999998</v>
      </c>
      <c r="BT16" t="s">
        <v>273</v>
      </c>
      <c r="BU16">
        <v>13.39978</v>
      </c>
      <c r="BV16">
        <v>13.554071</v>
      </c>
      <c r="BW16">
        <v>639.29865900000004</v>
      </c>
      <c r="BX16" t="s">
        <v>273</v>
      </c>
      <c r="BY16">
        <v>29.809792000000002</v>
      </c>
      <c r="BZ16">
        <v>33.581800000000001</v>
      </c>
      <c r="CA16">
        <v>34.450147999999999</v>
      </c>
      <c r="CB16">
        <v>39.875591</v>
      </c>
      <c r="CC16">
        <v>19.001051</v>
      </c>
      <c r="CD16">
        <v>29.592697000000001</v>
      </c>
      <c r="CE16" t="s">
        <v>273</v>
      </c>
      <c r="CF16">
        <v>30.153034999999999</v>
      </c>
      <c r="CG16">
        <v>33.968474999999998</v>
      </c>
      <c r="CH16">
        <v>34.846822000000003</v>
      </c>
      <c r="CI16">
        <v>40.334735999999999</v>
      </c>
      <c r="CJ16">
        <v>19.219836999999998</v>
      </c>
      <c r="CK16">
        <v>29.933440000000001</v>
      </c>
      <c r="CL16" t="s">
        <v>273</v>
      </c>
      <c r="CM16">
        <v>287.37071200000003</v>
      </c>
      <c r="CN16">
        <v>255.09238199999999</v>
      </c>
      <c r="CO16">
        <v>248.66253699999999</v>
      </c>
      <c r="CP16">
        <v>214.829702</v>
      </c>
      <c r="CQ16">
        <v>450.84144600000002</v>
      </c>
      <c r="CR16">
        <v>289.47889900000001</v>
      </c>
      <c r="CS16" t="s">
        <v>273</v>
      </c>
      <c r="CT16">
        <v>341.49410899999998</v>
      </c>
      <c r="CU16">
        <v>325.93886199999997</v>
      </c>
      <c r="CV16">
        <v>295.449093</v>
      </c>
      <c r="CW16">
        <v>727.51462700000002</v>
      </c>
      <c r="CX16">
        <v>265.56546900000001</v>
      </c>
      <c r="CY16">
        <v>595.24403600000005</v>
      </c>
      <c r="CZ16" t="s">
        <v>273</v>
      </c>
      <c r="DA16">
        <v>3.6023160000000001</v>
      </c>
      <c r="DB16">
        <v>510.01</v>
      </c>
      <c r="DC16">
        <v>3.8732880000000001</v>
      </c>
      <c r="DD16">
        <v>864</v>
      </c>
      <c r="DE16">
        <v>3.6017489999999999</v>
      </c>
      <c r="DF16">
        <v>505</v>
      </c>
      <c r="DG16">
        <v>10.265699</v>
      </c>
      <c r="DH16">
        <v>765</v>
      </c>
      <c r="DI16">
        <v>1.7856190000000001</v>
      </c>
      <c r="DJ16">
        <v>235</v>
      </c>
      <c r="DK16">
        <v>6.2333179999999997</v>
      </c>
      <c r="DL16">
        <v>365</v>
      </c>
      <c r="DM16" t="s">
        <v>273</v>
      </c>
      <c r="DN16">
        <v>4.7435729999999996</v>
      </c>
      <c r="DO16">
        <v>13.095704</v>
      </c>
      <c r="DP16">
        <v>6.0044649999999997</v>
      </c>
      <c r="DQ16" t="s">
        <v>282</v>
      </c>
      <c r="DR16">
        <v>10.49103</v>
      </c>
      <c r="DS16">
        <v>19.760663000000001</v>
      </c>
      <c r="DT16">
        <v>49.351861999999997</v>
      </c>
      <c r="DU16">
        <v>73.013502000000003</v>
      </c>
      <c r="DV16">
        <v>106.385783</v>
      </c>
      <c r="DW16" t="s">
        <v>283</v>
      </c>
      <c r="DX16" t="s">
        <v>273</v>
      </c>
      <c r="DY16">
        <v>26.401956999999999</v>
      </c>
      <c r="DZ16">
        <v>7.8612000000000001E-2</v>
      </c>
      <c r="EA16">
        <v>1.0465450000000001</v>
      </c>
      <c r="EB16">
        <v>0.884737</v>
      </c>
      <c r="EC16">
        <v>84.538837999999998</v>
      </c>
      <c r="ED16">
        <v>22.044695000000001</v>
      </c>
      <c r="EE16">
        <v>542.62865099999999</v>
      </c>
      <c r="EF16">
        <v>6.1681480000000004</v>
      </c>
      <c r="EG16">
        <v>36</v>
      </c>
      <c r="EH16">
        <v>36</v>
      </c>
      <c r="EI16">
        <v>28</v>
      </c>
      <c r="EJ16">
        <v>33</v>
      </c>
      <c r="EK16" t="s">
        <v>273</v>
      </c>
      <c r="EL16" t="s">
        <v>273</v>
      </c>
      <c r="EM16">
        <v>26.405889999999999</v>
      </c>
      <c r="EN16">
        <v>4.2118999999999997E-2</v>
      </c>
      <c r="EO16">
        <v>0.99902299999999999</v>
      </c>
      <c r="EP16">
        <v>0.80680200000000002</v>
      </c>
      <c r="EQ16">
        <v>80.759026000000006</v>
      </c>
      <c r="ER16">
        <v>20.964193000000002</v>
      </c>
      <c r="ES16">
        <v>458.070176</v>
      </c>
      <c r="ET16">
        <v>3.3048129999999998</v>
      </c>
      <c r="EU16">
        <v>48</v>
      </c>
      <c r="EV16">
        <v>48</v>
      </c>
      <c r="EW16">
        <v>40</v>
      </c>
      <c r="EX16">
        <v>40</v>
      </c>
      <c r="EY16" t="s">
        <v>273</v>
      </c>
      <c r="EZ16" t="s">
        <v>273</v>
      </c>
      <c r="FA16">
        <v>30.507615000000001</v>
      </c>
      <c r="FB16">
        <v>7.9383999999999996E-2</v>
      </c>
      <c r="FC16">
        <v>1.0462359999999999</v>
      </c>
      <c r="FD16">
        <v>0.884656</v>
      </c>
      <c r="FE16">
        <v>84.556044999999997</v>
      </c>
      <c r="FF16">
        <v>25.477945999999999</v>
      </c>
      <c r="FG16">
        <v>542.66566599999999</v>
      </c>
      <c r="FH16">
        <v>6.2287840000000001</v>
      </c>
      <c r="FI16">
        <v>36</v>
      </c>
      <c r="FJ16">
        <v>36</v>
      </c>
      <c r="FK16">
        <v>28</v>
      </c>
      <c r="FL16">
        <v>33</v>
      </c>
      <c r="FM16" t="s">
        <v>273</v>
      </c>
      <c r="FN16" t="s">
        <v>273</v>
      </c>
      <c r="FO16">
        <v>32.361536000000001</v>
      </c>
      <c r="FP16">
        <v>0.14322699999999999</v>
      </c>
      <c r="FQ16">
        <v>2.7328109999999999</v>
      </c>
      <c r="FR16">
        <v>2.399127</v>
      </c>
      <c r="FS16">
        <v>87.789738</v>
      </c>
      <c r="FT16">
        <v>28.279606000000001</v>
      </c>
      <c r="FU16">
        <v>520.37808399999994</v>
      </c>
      <c r="FV16">
        <v>11.238154</v>
      </c>
      <c r="FW16">
        <v>29</v>
      </c>
      <c r="FX16">
        <v>29</v>
      </c>
      <c r="FY16">
        <v>29</v>
      </c>
      <c r="FZ16">
        <v>26</v>
      </c>
      <c r="GA16" t="s">
        <v>273</v>
      </c>
      <c r="GB16" t="s">
        <v>273</v>
      </c>
      <c r="GC16">
        <v>29.90672</v>
      </c>
      <c r="GD16">
        <v>0.14605099999999999</v>
      </c>
      <c r="GE16">
        <v>0.92188999999999999</v>
      </c>
      <c r="GF16">
        <v>0.76628099999999999</v>
      </c>
      <c r="GG16">
        <v>83.120709000000005</v>
      </c>
      <c r="GH16">
        <v>24.267488</v>
      </c>
      <c r="GI16">
        <v>937.14020100000005</v>
      </c>
      <c r="GJ16">
        <v>11.459733</v>
      </c>
      <c r="GK16">
        <v>31</v>
      </c>
      <c r="GL16">
        <v>31</v>
      </c>
      <c r="GM16">
        <v>15</v>
      </c>
      <c r="GN16">
        <v>29</v>
      </c>
      <c r="GO16" t="s">
        <v>273</v>
      </c>
      <c r="GP16" t="s">
        <v>273</v>
      </c>
      <c r="GQ16">
        <v>32.407611000000003</v>
      </c>
      <c r="GR16">
        <v>0.24565100000000001</v>
      </c>
      <c r="GS16">
        <v>2.2391369999999999</v>
      </c>
      <c r="GT16">
        <v>1.967249</v>
      </c>
      <c r="GU16">
        <v>87.857423999999995</v>
      </c>
      <c r="GV16">
        <v>28.284165000000002</v>
      </c>
      <c r="GW16">
        <v>701.31284200000005</v>
      </c>
      <c r="GX16">
        <v>19.274675999999999</v>
      </c>
      <c r="GY16">
        <v>44</v>
      </c>
      <c r="GZ16">
        <v>44</v>
      </c>
      <c r="HA16">
        <v>39</v>
      </c>
      <c r="HB16">
        <v>39</v>
      </c>
      <c r="HC16" t="s">
        <v>273</v>
      </c>
      <c r="HD16" t="s">
        <v>273</v>
      </c>
      <c r="HE16">
        <v>31</v>
      </c>
      <c r="HF16">
        <v>1E-3</v>
      </c>
      <c r="HG16">
        <v>6.4999999999999997E-3</v>
      </c>
      <c r="HH16">
        <v>3.2258000000000002E-2</v>
      </c>
      <c r="HI16">
        <v>3250</v>
      </c>
    </row>
    <row r="17" spans="1:217" x14ac:dyDescent="0.3">
      <c r="A17">
        <v>198</v>
      </c>
      <c r="B17" t="s">
        <v>269</v>
      </c>
      <c r="F17" t="s">
        <v>270</v>
      </c>
      <c r="G17" t="s">
        <v>271</v>
      </c>
      <c r="H17" t="s">
        <v>272</v>
      </c>
      <c r="I17">
        <v>4250</v>
      </c>
      <c r="J17">
        <v>1</v>
      </c>
      <c r="K17">
        <v>64.766406000000003</v>
      </c>
      <c r="L17">
        <v>0.22</v>
      </c>
      <c r="M17">
        <v>2.6303E-2</v>
      </c>
      <c r="N17">
        <v>0</v>
      </c>
      <c r="O17">
        <v>0</v>
      </c>
      <c r="P17">
        <v>0</v>
      </c>
      <c r="Q17">
        <v>18.87</v>
      </c>
      <c r="R17">
        <v>1</v>
      </c>
      <c r="S17">
        <v>1</v>
      </c>
      <c r="T17">
        <v>1</v>
      </c>
      <c r="U17">
        <v>1</v>
      </c>
      <c r="V17">
        <v>100</v>
      </c>
      <c r="W17" t="s">
        <v>273</v>
      </c>
      <c r="X17" t="s">
        <v>274</v>
      </c>
      <c r="Y17" t="s">
        <v>274</v>
      </c>
      <c r="Z17" t="s">
        <v>273</v>
      </c>
      <c r="AA17" t="s">
        <v>275</v>
      </c>
      <c r="AB17" t="s">
        <v>276</v>
      </c>
      <c r="AC17">
        <v>211</v>
      </c>
      <c r="AD17">
        <v>5</v>
      </c>
      <c r="AE17" t="s">
        <v>277</v>
      </c>
      <c r="AF17">
        <v>3.425233</v>
      </c>
      <c r="AG17">
        <v>100</v>
      </c>
      <c r="AH17">
        <v>30.8</v>
      </c>
      <c r="AI17">
        <v>1850</v>
      </c>
      <c r="AJ17">
        <v>800</v>
      </c>
      <c r="AK17">
        <v>1200</v>
      </c>
      <c r="AL17">
        <v>223.6</v>
      </c>
      <c r="AM17">
        <v>2.2000000000000002</v>
      </c>
      <c r="AN17" t="s">
        <v>273</v>
      </c>
      <c r="AO17" t="s">
        <v>278</v>
      </c>
      <c r="AP17" t="s">
        <v>284</v>
      </c>
      <c r="AQ17">
        <v>1.8</v>
      </c>
      <c r="AR17">
        <v>3</v>
      </c>
      <c r="AS17">
        <v>101</v>
      </c>
      <c r="AT17">
        <v>183.7</v>
      </c>
      <c r="AU17">
        <v>0.104652</v>
      </c>
      <c r="AV17">
        <v>36.6</v>
      </c>
      <c r="AW17">
        <v>235.2</v>
      </c>
      <c r="AX17" t="s">
        <v>280</v>
      </c>
      <c r="AY17">
        <v>0</v>
      </c>
      <c r="AZ17" t="s">
        <v>281</v>
      </c>
      <c r="BA17">
        <v>0.2</v>
      </c>
      <c r="BB17">
        <v>0.5</v>
      </c>
      <c r="BC17" t="s">
        <v>273</v>
      </c>
      <c r="BD17" t="s">
        <v>273</v>
      </c>
      <c r="BE17">
        <v>25.711113999999998</v>
      </c>
      <c r="BF17">
        <v>26.007162999999998</v>
      </c>
      <c r="BG17">
        <v>333.18126000000001</v>
      </c>
      <c r="BH17" t="s">
        <v>273</v>
      </c>
      <c r="BI17">
        <v>30.791568999999999</v>
      </c>
      <c r="BJ17">
        <v>31.146115999999999</v>
      </c>
      <c r="BK17">
        <v>278.20801799999998</v>
      </c>
      <c r="BL17" t="s">
        <v>273</v>
      </c>
      <c r="BM17">
        <v>30.793106000000002</v>
      </c>
      <c r="BN17">
        <v>31.147670999999999</v>
      </c>
      <c r="BO17">
        <v>278.19412899999998</v>
      </c>
      <c r="BP17" t="s">
        <v>273</v>
      </c>
      <c r="BQ17">
        <v>20.093499999999999</v>
      </c>
      <c r="BR17">
        <v>20.324864999999999</v>
      </c>
      <c r="BS17">
        <v>426.32996900000001</v>
      </c>
      <c r="BT17" t="s">
        <v>273</v>
      </c>
      <c r="BU17">
        <v>10.540316000000001</v>
      </c>
      <c r="BV17">
        <v>10.661682000000001</v>
      </c>
      <c r="BW17">
        <v>812.732843</v>
      </c>
      <c r="BX17" t="s">
        <v>273</v>
      </c>
      <c r="BY17">
        <v>23.192858999999999</v>
      </c>
      <c r="BZ17">
        <v>26.290690000000001</v>
      </c>
      <c r="CA17">
        <v>26.791765000000002</v>
      </c>
      <c r="CB17">
        <v>30.793106000000002</v>
      </c>
      <c r="CC17">
        <v>14.615365000000001</v>
      </c>
      <c r="CD17">
        <v>22.503412999999998</v>
      </c>
      <c r="CE17" t="s">
        <v>273</v>
      </c>
      <c r="CF17">
        <v>23.459911000000002</v>
      </c>
      <c r="CG17">
        <v>26.593412000000001</v>
      </c>
      <c r="CH17">
        <v>27.100256999999999</v>
      </c>
      <c r="CI17">
        <v>31.147670999999999</v>
      </c>
      <c r="CJ17">
        <v>14.783652</v>
      </c>
      <c r="CK17">
        <v>22.762528</v>
      </c>
      <c r="CL17" t="s">
        <v>273</v>
      </c>
      <c r="CM17">
        <v>369.35771699999998</v>
      </c>
      <c r="CN17">
        <v>325.83630399999998</v>
      </c>
      <c r="CO17">
        <v>319.74232599999999</v>
      </c>
      <c r="CP17">
        <v>278.19412899999998</v>
      </c>
      <c r="CQ17">
        <v>586.12710300000003</v>
      </c>
      <c r="CR17">
        <v>380.67385999999999</v>
      </c>
      <c r="CS17" t="s">
        <v>273</v>
      </c>
      <c r="CT17">
        <v>439.01550099999997</v>
      </c>
      <c r="CU17">
        <v>416.33953300000002</v>
      </c>
      <c r="CV17">
        <v>379.985659</v>
      </c>
      <c r="CW17">
        <v>942.08971299999996</v>
      </c>
      <c r="CX17">
        <v>344.46106099999997</v>
      </c>
      <c r="CY17">
        <v>783.01750400000003</v>
      </c>
      <c r="CZ17" t="s">
        <v>273</v>
      </c>
      <c r="DA17">
        <v>3.6030790000000001</v>
      </c>
      <c r="DB17">
        <v>510.01</v>
      </c>
      <c r="DC17">
        <v>3.873373</v>
      </c>
      <c r="DD17">
        <v>864</v>
      </c>
      <c r="DE17">
        <v>3.602535</v>
      </c>
      <c r="DF17">
        <v>505</v>
      </c>
      <c r="DG17">
        <v>10.265625999999999</v>
      </c>
      <c r="DH17">
        <v>765</v>
      </c>
      <c r="DI17">
        <v>1.781515</v>
      </c>
      <c r="DJ17">
        <v>235</v>
      </c>
      <c r="DK17">
        <v>6.2353319999999997</v>
      </c>
      <c r="DL17">
        <v>365</v>
      </c>
      <c r="DM17" t="s">
        <v>273</v>
      </c>
      <c r="DN17">
        <v>5.0620839999999996</v>
      </c>
      <c r="DO17">
        <v>13.625389</v>
      </c>
      <c r="DP17">
        <v>6.7270669999999999</v>
      </c>
      <c r="DQ17" t="s">
        <v>282</v>
      </c>
      <c r="DR17">
        <v>12.548622</v>
      </c>
      <c r="DS17">
        <v>20.075958</v>
      </c>
      <c r="DT17">
        <v>52.977037000000003</v>
      </c>
      <c r="DU17">
        <v>71.949850999999995</v>
      </c>
      <c r="DV17">
        <v>99.976367999999994</v>
      </c>
      <c r="DW17" t="s">
        <v>283</v>
      </c>
      <c r="DX17" t="s">
        <v>273</v>
      </c>
      <c r="DY17">
        <v>27.146462</v>
      </c>
      <c r="DZ17">
        <v>7.9852999999999993E-2</v>
      </c>
      <c r="EA17">
        <v>1.3833489999999999</v>
      </c>
      <c r="EB17">
        <v>1.156453</v>
      </c>
      <c r="EC17">
        <v>83.598094000000003</v>
      </c>
      <c r="ED17">
        <v>22.419573</v>
      </c>
      <c r="EE17">
        <v>709.30098899999996</v>
      </c>
      <c r="EF17">
        <v>8.0644469999999995</v>
      </c>
      <c r="EG17">
        <v>32</v>
      </c>
      <c r="EH17">
        <v>32</v>
      </c>
      <c r="EI17">
        <v>27</v>
      </c>
      <c r="EJ17">
        <v>31</v>
      </c>
      <c r="EK17" t="s">
        <v>273</v>
      </c>
      <c r="EL17" t="s">
        <v>273</v>
      </c>
      <c r="EM17">
        <v>27.581364000000001</v>
      </c>
      <c r="EN17">
        <v>4.2784999999999997E-2</v>
      </c>
      <c r="EO17">
        <v>1.3329139999999999</v>
      </c>
      <c r="EP17">
        <v>1.0549839999999999</v>
      </c>
      <c r="EQ17">
        <v>79.148713999999998</v>
      </c>
      <c r="ER17">
        <v>21.458303999999998</v>
      </c>
      <c r="ES17">
        <v>598.89506800000004</v>
      </c>
      <c r="ET17">
        <v>4.3209099999999996</v>
      </c>
      <c r="EU17">
        <v>36</v>
      </c>
      <c r="EV17">
        <v>36</v>
      </c>
      <c r="EW17">
        <v>35</v>
      </c>
      <c r="EX17">
        <v>35</v>
      </c>
      <c r="EY17" t="s">
        <v>273</v>
      </c>
      <c r="EZ17" t="s">
        <v>273</v>
      </c>
      <c r="FA17">
        <v>31.356445999999998</v>
      </c>
      <c r="FB17">
        <v>8.0639000000000002E-2</v>
      </c>
      <c r="FC17">
        <v>1.3830340000000001</v>
      </c>
      <c r="FD17">
        <v>1.156369</v>
      </c>
      <c r="FE17">
        <v>83.611067000000006</v>
      </c>
      <c r="FF17">
        <v>25.900397000000002</v>
      </c>
      <c r="FG17">
        <v>709.35606199999995</v>
      </c>
      <c r="FH17">
        <v>8.1438550000000003</v>
      </c>
      <c r="FI17">
        <v>32</v>
      </c>
      <c r="FJ17">
        <v>32</v>
      </c>
      <c r="FK17">
        <v>27</v>
      </c>
      <c r="FL17">
        <v>31</v>
      </c>
      <c r="FM17" t="s">
        <v>273</v>
      </c>
      <c r="FN17" t="s">
        <v>273</v>
      </c>
      <c r="FO17">
        <v>32.891967999999999</v>
      </c>
      <c r="FP17">
        <v>0.14532500000000001</v>
      </c>
      <c r="FQ17">
        <v>3.5968369999999998</v>
      </c>
      <c r="FR17">
        <v>3.1321690000000002</v>
      </c>
      <c r="FS17">
        <v>87.081182999999996</v>
      </c>
      <c r="FT17">
        <v>28.520189999999999</v>
      </c>
      <c r="FU17">
        <v>679.59743600000002</v>
      </c>
      <c r="FV17">
        <v>14.676572</v>
      </c>
      <c r="FW17">
        <v>39</v>
      </c>
      <c r="FX17">
        <v>39</v>
      </c>
      <c r="FY17">
        <v>37</v>
      </c>
      <c r="FZ17">
        <v>36</v>
      </c>
      <c r="GA17" t="s">
        <v>273</v>
      </c>
      <c r="GB17" t="s">
        <v>273</v>
      </c>
      <c r="GC17">
        <v>30.519808000000001</v>
      </c>
      <c r="GD17">
        <v>0.14808399999999999</v>
      </c>
      <c r="GE17">
        <v>1.220283</v>
      </c>
      <c r="GF17">
        <v>0.99994400000000006</v>
      </c>
      <c r="GG17">
        <v>81.943603999999993</v>
      </c>
      <c r="GH17">
        <v>24.415994999999999</v>
      </c>
      <c r="GI17">
        <v>1225.8070009999999</v>
      </c>
      <c r="GJ17">
        <v>14.955213000000001</v>
      </c>
      <c r="GK17">
        <v>30</v>
      </c>
      <c r="GL17">
        <v>30</v>
      </c>
      <c r="GM17">
        <v>17</v>
      </c>
      <c r="GN17">
        <v>29</v>
      </c>
      <c r="GO17" t="s">
        <v>273</v>
      </c>
      <c r="GP17" t="s">
        <v>273</v>
      </c>
      <c r="GQ17">
        <v>32.761740000000003</v>
      </c>
      <c r="GR17">
        <v>0.25021399999999999</v>
      </c>
      <c r="GS17">
        <v>2.9776739999999999</v>
      </c>
      <c r="GT17">
        <v>2.5780460000000001</v>
      </c>
      <c r="GU17">
        <v>86.579182000000003</v>
      </c>
      <c r="GV17">
        <v>28.188659999999999</v>
      </c>
      <c r="GW17">
        <v>919.134185</v>
      </c>
      <c r="GX17">
        <v>25.269375</v>
      </c>
      <c r="GY17">
        <v>52</v>
      </c>
      <c r="GZ17">
        <v>52</v>
      </c>
      <c r="HA17">
        <v>46</v>
      </c>
      <c r="HB17">
        <v>43</v>
      </c>
      <c r="HC17" t="s">
        <v>273</v>
      </c>
      <c r="HD17" t="s">
        <v>273</v>
      </c>
      <c r="HE17">
        <v>31</v>
      </c>
      <c r="HF17">
        <v>1E-3</v>
      </c>
      <c r="HG17">
        <v>6.4999999999999997E-3</v>
      </c>
      <c r="HH17">
        <v>3.2258000000000002E-2</v>
      </c>
      <c r="HI17">
        <v>4250</v>
      </c>
    </row>
    <row r="18" spans="1:217" x14ac:dyDescent="0.3">
      <c r="A18">
        <v>216</v>
      </c>
      <c r="B18" t="s">
        <v>269</v>
      </c>
      <c r="F18" t="s">
        <v>270</v>
      </c>
      <c r="G18" t="s">
        <v>271</v>
      </c>
      <c r="H18" t="s">
        <v>272</v>
      </c>
      <c r="I18">
        <v>4250</v>
      </c>
      <c r="J18">
        <v>1</v>
      </c>
      <c r="K18">
        <v>59.785936999999997</v>
      </c>
      <c r="L18">
        <v>0.22</v>
      </c>
      <c r="M18">
        <v>3.8753999999999997E-2</v>
      </c>
      <c r="N18">
        <v>0</v>
      </c>
      <c r="O18">
        <v>0</v>
      </c>
      <c r="P18">
        <v>0</v>
      </c>
      <c r="Q18">
        <v>22.36</v>
      </c>
      <c r="R18">
        <v>1</v>
      </c>
      <c r="S18">
        <v>1</v>
      </c>
      <c r="T18">
        <v>1</v>
      </c>
      <c r="U18">
        <v>1</v>
      </c>
      <c r="V18">
        <v>100</v>
      </c>
      <c r="W18" t="s">
        <v>273</v>
      </c>
      <c r="X18" t="s">
        <v>274</v>
      </c>
      <c r="Y18" t="s">
        <v>274</v>
      </c>
      <c r="Z18" t="s">
        <v>273</v>
      </c>
      <c r="AA18" t="s">
        <v>275</v>
      </c>
      <c r="AB18" t="s">
        <v>276</v>
      </c>
      <c r="AC18">
        <v>211</v>
      </c>
      <c r="AD18">
        <v>5</v>
      </c>
      <c r="AE18" t="s">
        <v>277</v>
      </c>
      <c r="AF18">
        <v>3.425233</v>
      </c>
      <c r="AG18">
        <v>100</v>
      </c>
      <c r="AH18">
        <v>30.8</v>
      </c>
      <c r="AI18">
        <v>1850</v>
      </c>
      <c r="AJ18">
        <v>800</v>
      </c>
      <c r="AK18">
        <v>1200</v>
      </c>
      <c r="AL18">
        <v>223.6</v>
      </c>
      <c r="AM18">
        <v>2.2000000000000002</v>
      </c>
      <c r="AN18" t="s">
        <v>273</v>
      </c>
      <c r="AO18" t="s">
        <v>278</v>
      </c>
      <c r="AP18" t="s">
        <v>284</v>
      </c>
      <c r="AQ18">
        <v>1.8</v>
      </c>
      <c r="AR18">
        <v>3</v>
      </c>
      <c r="AS18">
        <v>101</v>
      </c>
      <c r="AT18">
        <v>183.7</v>
      </c>
      <c r="AU18">
        <v>0.104652</v>
      </c>
      <c r="AV18">
        <v>36.6</v>
      </c>
      <c r="AW18">
        <v>235.2</v>
      </c>
      <c r="AX18" t="s">
        <v>280</v>
      </c>
      <c r="AY18">
        <v>0</v>
      </c>
      <c r="AZ18" t="s">
        <v>281</v>
      </c>
      <c r="BA18">
        <v>0.2</v>
      </c>
      <c r="BB18">
        <v>0.5</v>
      </c>
      <c r="BC18" t="s">
        <v>273</v>
      </c>
      <c r="BD18" t="s">
        <v>273</v>
      </c>
      <c r="BE18">
        <v>24.544187999999998</v>
      </c>
      <c r="BF18">
        <v>24.826799999999999</v>
      </c>
      <c r="BG18">
        <v>349.02199400000001</v>
      </c>
      <c r="BH18" t="s">
        <v>273</v>
      </c>
      <c r="BI18">
        <v>26.658242999999999</v>
      </c>
      <c r="BJ18">
        <v>26.965198000000001</v>
      </c>
      <c r="BK18">
        <v>321.34380499999997</v>
      </c>
      <c r="BL18" t="s">
        <v>273</v>
      </c>
      <c r="BM18">
        <v>26.659237000000001</v>
      </c>
      <c r="BN18">
        <v>26.966203</v>
      </c>
      <c r="BO18">
        <v>321.33183000000002</v>
      </c>
      <c r="BP18" t="s">
        <v>273</v>
      </c>
      <c r="BQ18">
        <v>16.885442999999999</v>
      </c>
      <c r="BR18">
        <v>17.079868999999999</v>
      </c>
      <c r="BS18">
        <v>507.32820299999997</v>
      </c>
      <c r="BT18" t="s">
        <v>273</v>
      </c>
      <c r="BU18">
        <v>8.8689009999999993</v>
      </c>
      <c r="BV18">
        <v>8.9710219999999996</v>
      </c>
      <c r="BW18">
        <v>965.89880400000004</v>
      </c>
      <c r="BX18" t="s">
        <v>273</v>
      </c>
      <c r="BY18">
        <v>21.418989</v>
      </c>
      <c r="BZ18">
        <v>25.953493999999999</v>
      </c>
      <c r="CA18">
        <v>24.733073999999998</v>
      </c>
      <c r="CB18">
        <v>26.659237000000001</v>
      </c>
      <c r="CC18">
        <v>13.952935999999999</v>
      </c>
      <c r="CD18">
        <v>17.962385000000001</v>
      </c>
      <c r="CE18" t="s">
        <v>273</v>
      </c>
      <c r="CF18">
        <v>21.665617000000001</v>
      </c>
      <c r="CG18">
        <v>26.252334000000001</v>
      </c>
      <c r="CH18">
        <v>25.017862000000001</v>
      </c>
      <c r="CI18">
        <v>26.966203</v>
      </c>
      <c r="CJ18">
        <v>14.113595999999999</v>
      </c>
      <c r="CK18">
        <v>18.169212000000002</v>
      </c>
      <c r="CL18" t="s">
        <v>273</v>
      </c>
      <c r="CM18">
        <v>399.94703700000002</v>
      </c>
      <c r="CN18">
        <v>330.06966799999998</v>
      </c>
      <c r="CO18">
        <v>346.35650600000002</v>
      </c>
      <c r="CP18">
        <v>321.33183000000002</v>
      </c>
      <c r="CQ18">
        <v>613.95404900000005</v>
      </c>
      <c r="CR18">
        <v>476.91112199999998</v>
      </c>
      <c r="CS18" t="s">
        <v>273</v>
      </c>
      <c r="CT18">
        <v>475.27208899999999</v>
      </c>
      <c r="CU18">
        <v>421.73368599999998</v>
      </c>
      <c r="CV18">
        <v>411.52584999999999</v>
      </c>
      <c r="CW18">
        <v>1088.100383</v>
      </c>
      <c r="CX18">
        <v>360.07190000000003</v>
      </c>
      <c r="CY18">
        <v>980.47328800000003</v>
      </c>
      <c r="CZ18" t="s">
        <v>273</v>
      </c>
      <c r="DA18">
        <v>3.602309</v>
      </c>
      <c r="DB18">
        <v>510.01</v>
      </c>
      <c r="DC18">
        <v>3.8732350000000002</v>
      </c>
      <c r="DD18">
        <v>864</v>
      </c>
      <c r="DE18">
        <v>3.6017610000000002</v>
      </c>
      <c r="DF18">
        <v>505</v>
      </c>
      <c r="DG18">
        <v>10.264939</v>
      </c>
      <c r="DH18">
        <v>765</v>
      </c>
      <c r="DI18">
        <v>1.777847</v>
      </c>
      <c r="DJ18">
        <v>235</v>
      </c>
      <c r="DK18">
        <v>6.2321720000000003</v>
      </c>
      <c r="DL18">
        <v>365</v>
      </c>
      <c r="DM18" t="s">
        <v>273</v>
      </c>
      <c r="DN18">
        <v>5.0604610000000001</v>
      </c>
      <c r="DO18">
        <v>13.944115999999999</v>
      </c>
      <c r="DP18">
        <v>6.8682499999999997</v>
      </c>
      <c r="DQ18" t="s">
        <v>282</v>
      </c>
      <c r="DR18">
        <v>14.042322</v>
      </c>
      <c r="DS18">
        <v>20.227184999999999</v>
      </c>
      <c r="DT18">
        <v>55.081873000000002</v>
      </c>
      <c r="DU18">
        <v>70.263159999999999</v>
      </c>
      <c r="DV18">
        <v>95.049558000000005</v>
      </c>
      <c r="DW18" t="s">
        <v>283</v>
      </c>
      <c r="DX18" t="s">
        <v>273</v>
      </c>
      <c r="DY18">
        <v>27.387644999999999</v>
      </c>
      <c r="DZ18">
        <v>8.7050000000000002E-2</v>
      </c>
      <c r="EA18">
        <v>1.5108999999999999</v>
      </c>
      <c r="EB18">
        <v>1.2593099999999999</v>
      </c>
      <c r="EC18">
        <v>83.348325000000003</v>
      </c>
      <c r="ED18">
        <v>22.575821000000001</v>
      </c>
      <c r="EE18">
        <v>773.39687600000002</v>
      </c>
      <c r="EF18">
        <v>8.7913099999999993</v>
      </c>
      <c r="EG18">
        <v>35</v>
      </c>
      <c r="EH18">
        <v>35</v>
      </c>
      <c r="EI18">
        <v>29</v>
      </c>
      <c r="EJ18">
        <v>32</v>
      </c>
      <c r="EK18" t="s">
        <v>273</v>
      </c>
      <c r="EL18" t="s">
        <v>273</v>
      </c>
      <c r="EM18">
        <v>27.643512999999999</v>
      </c>
      <c r="EN18">
        <v>4.3414000000000001E-2</v>
      </c>
      <c r="EO18">
        <v>1.353226</v>
      </c>
      <c r="EP18">
        <v>1.0701099999999999</v>
      </c>
      <c r="EQ18">
        <v>79.078494000000006</v>
      </c>
      <c r="ER18">
        <v>21.495339000000001</v>
      </c>
      <c r="ES18">
        <v>607.72286999999994</v>
      </c>
      <c r="ET18">
        <v>4.3844440000000002</v>
      </c>
      <c r="EU18">
        <v>36</v>
      </c>
      <c r="EV18">
        <v>36</v>
      </c>
      <c r="EW18">
        <v>35</v>
      </c>
      <c r="EX18">
        <v>35</v>
      </c>
      <c r="EY18" t="s">
        <v>273</v>
      </c>
      <c r="EZ18" t="s">
        <v>273</v>
      </c>
      <c r="FA18">
        <v>31.624524000000001</v>
      </c>
      <c r="FB18">
        <v>8.7906999999999999E-2</v>
      </c>
      <c r="FC18">
        <v>1.5106360000000001</v>
      </c>
      <c r="FD18">
        <v>1.259225</v>
      </c>
      <c r="FE18">
        <v>83.357248999999996</v>
      </c>
      <c r="FF18">
        <v>26.070841999999999</v>
      </c>
      <c r="FG18">
        <v>773.45752700000003</v>
      </c>
      <c r="FH18">
        <v>8.877872</v>
      </c>
      <c r="FI18">
        <v>35</v>
      </c>
      <c r="FJ18">
        <v>35</v>
      </c>
      <c r="FK18">
        <v>29</v>
      </c>
      <c r="FL18">
        <v>32</v>
      </c>
      <c r="FM18" t="s">
        <v>273</v>
      </c>
      <c r="FN18" t="s">
        <v>273</v>
      </c>
      <c r="FO18">
        <v>33.503349999999998</v>
      </c>
      <c r="FP18">
        <v>0.170374</v>
      </c>
      <c r="FQ18">
        <v>4.2315149999999999</v>
      </c>
      <c r="FR18">
        <v>3.6704780000000001</v>
      </c>
      <c r="FS18">
        <v>86.741461999999999</v>
      </c>
      <c r="FT18">
        <v>28.949321000000001</v>
      </c>
      <c r="FU18">
        <v>796.78912300000002</v>
      </c>
      <c r="FV18">
        <v>17.206289000000002</v>
      </c>
      <c r="FW18">
        <v>42</v>
      </c>
      <c r="FX18">
        <v>42</v>
      </c>
      <c r="FY18">
        <v>40</v>
      </c>
      <c r="FZ18">
        <v>38</v>
      </c>
      <c r="GA18" t="s">
        <v>273</v>
      </c>
      <c r="GB18" t="s">
        <v>273</v>
      </c>
      <c r="GC18">
        <v>30.516943000000001</v>
      </c>
      <c r="GD18">
        <v>0.15531800000000001</v>
      </c>
      <c r="GE18">
        <v>1.275466</v>
      </c>
      <c r="GF18">
        <v>1.0477339999999999</v>
      </c>
      <c r="GG18">
        <v>82.145150000000001</v>
      </c>
      <c r="GH18">
        <v>24.498432999999999</v>
      </c>
      <c r="GI18">
        <v>1288.3394330000001</v>
      </c>
      <c r="GJ18">
        <v>15.685769000000001</v>
      </c>
      <c r="GK18">
        <v>29</v>
      </c>
      <c r="GL18">
        <v>29</v>
      </c>
      <c r="GM18">
        <v>16</v>
      </c>
      <c r="GN18">
        <v>29</v>
      </c>
      <c r="GO18" t="s">
        <v>273</v>
      </c>
      <c r="GP18" t="s">
        <v>273</v>
      </c>
      <c r="GQ18">
        <v>32.335281000000002</v>
      </c>
      <c r="GR18">
        <v>0.306008</v>
      </c>
      <c r="GS18">
        <v>3.6800280000000001</v>
      </c>
      <c r="GT18">
        <v>3.1506470000000002</v>
      </c>
      <c r="GU18">
        <v>85.614760000000004</v>
      </c>
      <c r="GV18">
        <v>27.531597999999999</v>
      </c>
      <c r="GW18">
        <v>1124.6576439999999</v>
      </c>
      <c r="GX18">
        <v>30.90408</v>
      </c>
      <c r="GY18">
        <v>60</v>
      </c>
      <c r="GZ18">
        <v>60</v>
      </c>
      <c r="HA18">
        <v>45</v>
      </c>
      <c r="HB18">
        <v>42</v>
      </c>
      <c r="HC18" t="s">
        <v>273</v>
      </c>
      <c r="HD18" t="s">
        <v>273</v>
      </c>
      <c r="HE18">
        <v>31</v>
      </c>
      <c r="HF18">
        <v>1E-3</v>
      </c>
      <c r="HG18">
        <v>8.0000000000000002E-3</v>
      </c>
      <c r="HH18">
        <v>3.2258000000000002E-2</v>
      </c>
      <c r="HI18">
        <v>4250</v>
      </c>
    </row>
    <row r="19" spans="1:217" x14ac:dyDescent="0.3">
      <c r="A19">
        <v>233</v>
      </c>
      <c r="B19" t="s">
        <v>269</v>
      </c>
      <c r="F19" t="s">
        <v>270</v>
      </c>
      <c r="G19" t="s">
        <v>271</v>
      </c>
      <c r="H19" t="s">
        <v>272</v>
      </c>
      <c r="I19">
        <v>5250</v>
      </c>
      <c r="J19">
        <v>1</v>
      </c>
      <c r="K19">
        <v>21.719531</v>
      </c>
      <c r="L19">
        <v>0.22</v>
      </c>
      <c r="M19">
        <v>8.5290000000000001E-3</v>
      </c>
      <c r="N19">
        <v>0</v>
      </c>
      <c r="O19">
        <v>0</v>
      </c>
      <c r="P19">
        <v>0</v>
      </c>
      <c r="Q19">
        <v>7.21</v>
      </c>
      <c r="R19">
        <v>1</v>
      </c>
      <c r="S19">
        <v>1</v>
      </c>
      <c r="T19">
        <v>1</v>
      </c>
      <c r="U19">
        <v>1</v>
      </c>
      <c r="V19">
        <v>100</v>
      </c>
      <c r="W19" t="s">
        <v>273</v>
      </c>
      <c r="X19" t="s">
        <v>274</v>
      </c>
      <c r="Y19" t="s">
        <v>274</v>
      </c>
      <c r="Z19" t="s">
        <v>273</v>
      </c>
      <c r="AA19" t="s">
        <v>275</v>
      </c>
      <c r="AB19" t="s">
        <v>276</v>
      </c>
      <c r="AC19">
        <v>258</v>
      </c>
      <c r="AD19">
        <v>5</v>
      </c>
      <c r="AE19" t="s">
        <v>277</v>
      </c>
      <c r="AF19">
        <v>3.221571</v>
      </c>
      <c r="AG19">
        <v>100</v>
      </c>
      <c r="AH19">
        <v>29</v>
      </c>
      <c r="AI19">
        <v>1740</v>
      </c>
      <c r="AJ19">
        <v>800</v>
      </c>
      <c r="AK19">
        <v>1200</v>
      </c>
      <c r="AL19">
        <v>202.3</v>
      </c>
      <c r="AM19">
        <v>2.2000000000000002</v>
      </c>
      <c r="AN19" t="s">
        <v>273</v>
      </c>
      <c r="AO19" t="s">
        <v>278</v>
      </c>
      <c r="AP19" t="s">
        <v>285</v>
      </c>
      <c r="AQ19">
        <v>2.2000000000000002</v>
      </c>
      <c r="AR19">
        <v>4</v>
      </c>
      <c r="AS19">
        <v>123.4</v>
      </c>
      <c r="AT19">
        <v>224.5</v>
      </c>
      <c r="AU19">
        <v>0.12790799999999999</v>
      </c>
      <c r="AV19">
        <v>36.5</v>
      </c>
      <c r="AW19">
        <v>236.1</v>
      </c>
      <c r="AX19" t="s">
        <v>280</v>
      </c>
      <c r="AY19">
        <v>0</v>
      </c>
      <c r="AZ19" t="s">
        <v>281</v>
      </c>
      <c r="BA19">
        <v>0.2</v>
      </c>
      <c r="BB19">
        <v>0.5</v>
      </c>
      <c r="BC19" t="s">
        <v>273</v>
      </c>
      <c r="BD19" t="s">
        <v>273</v>
      </c>
      <c r="BE19">
        <v>29.583839000000001</v>
      </c>
      <c r="BF19">
        <v>29.924481</v>
      </c>
      <c r="BG19">
        <v>289.56556799999998</v>
      </c>
      <c r="BH19" t="s">
        <v>273</v>
      </c>
      <c r="BI19">
        <v>54.125968999999998</v>
      </c>
      <c r="BJ19">
        <v>54.749198999999997</v>
      </c>
      <c r="BK19">
        <v>158.268969</v>
      </c>
      <c r="BL19" t="s">
        <v>273</v>
      </c>
      <c r="BM19">
        <v>54.129323999999997</v>
      </c>
      <c r="BN19">
        <v>54.752592</v>
      </c>
      <c r="BO19">
        <v>158.25915900000001</v>
      </c>
      <c r="BP19" t="s">
        <v>273</v>
      </c>
      <c r="BQ19">
        <v>28.531856999999999</v>
      </c>
      <c r="BR19">
        <v>28.860385999999998</v>
      </c>
      <c r="BS19">
        <v>300.24197800000002</v>
      </c>
      <c r="BT19" t="s">
        <v>273</v>
      </c>
      <c r="BU19">
        <v>10.164584</v>
      </c>
      <c r="BV19">
        <v>10.281623</v>
      </c>
      <c r="BW19">
        <v>842.77540199999999</v>
      </c>
      <c r="BX19" t="s">
        <v>273</v>
      </c>
      <c r="BY19">
        <v>28.589151999999999</v>
      </c>
      <c r="BZ19">
        <v>28.381402999999999</v>
      </c>
      <c r="CA19">
        <v>33.099626000000001</v>
      </c>
      <c r="CB19">
        <v>54.129323999999997</v>
      </c>
      <c r="CC19">
        <v>14.485315999999999</v>
      </c>
      <c r="CD19">
        <v>39.519551</v>
      </c>
      <c r="CE19" t="s">
        <v>273</v>
      </c>
      <c r="CF19">
        <v>28.918340000000001</v>
      </c>
      <c r="CG19">
        <v>28.708197999999999</v>
      </c>
      <c r="CH19">
        <v>33.48075</v>
      </c>
      <c r="CI19">
        <v>54.752592</v>
      </c>
      <c r="CJ19">
        <v>14.652106</v>
      </c>
      <c r="CK19">
        <v>39.974595999999998</v>
      </c>
      <c r="CL19" t="s">
        <v>273</v>
      </c>
      <c r="CM19">
        <v>299.64027199999998</v>
      </c>
      <c r="CN19">
        <v>301.83361300000001</v>
      </c>
      <c r="CO19">
        <v>258.80839900000001</v>
      </c>
      <c r="CP19">
        <v>158.25915900000001</v>
      </c>
      <c r="CQ19">
        <v>591.38932499999999</v>
      </c>
      <c r="CR19">
        <v>216.76514700000001</v>
      </c>
      <c r="CS19" t="s">
        <v>273</v>
      </c>
      <c r="CT19">
        <v>356.79926699999999</v>
      </c>
      <c r="CU19">
        <v>386.64142199999998</v>
      </c>
      <c r="CV19">
        <v>308.13124199999999</v>
      </c>
      <c r="CW19">
        <v>536.10693000000003</v>
      </c>
      <c r="CX19">
        <v>349.106381</v>
      </c>
      <c r="CY19">
        <v>446.293586</v>
      </c>
      <c r="CZ19" t="s">
        <v>273</v>
      </c>
      <c r="DA19">
        <v>3.609648</v>
      </c>
      <c r="DB19">
        <v>510.01</v>
      </c>
      <c r="DC19">
        <v>3.88313</v>
      </c>
      <c r="DD19">
        <v>864</v>
      </c>
      <c r="DE19">
        <v>3.6090970000000002</v>
      </c>
      <c r="DF19">
        <v>505</v>
      </c>
      <c r="DG19">
        <v>10.268895000000001</v>
      </c>
      <c r="DH19">
        <v>765</v>
      </c>
      <c r="DI19">
        <v>1.789474</v>
      </c>
      <c r="DJ19">
        <v>235</v>
      </c>
      <c r="DK19">
        <v>6.2412609999999997</v>
      </c>
      <c r="DL19">
        <v>365</v>
      </c>
      <c r="DM19" t="s">
        <v>273</v>
      </c>
      <c r="DN19">
        <v>5.0677279999999998</v>
      </c>
      <c r="DO19">
        <v>12.848932</v>
      </c>
      <c r="DP19">
        <v>6.4841470000000001</v>
      </c>
      <c r="DQ19" t="s">
        <v>282</v>
      </c>
      <c r="DR19">
        <v>7.3095840000000001</v>
      </c>
      <c r="DS19">
        <v>19.594577999999998</v>
      </c>
      <c r="DT19">
        <v>46.23724</v>
      </c>
      <c r="DU19">
        <v>76.778227999999999</v>
      </c>
      <c r="DV19">
        <v>149.36043900000001</v>
      </c>
      <c r="DW19" t="s">
        <v>283</v>
      </c>
      <c r="DX19" t="s">
        <v>273</v>
      </c>
      <c r="DY19">
        <v>25.490244000000001</v>
      </c>
      <c r="DZ19">
        <v>4.8334000000000002E-2</v>
      </c>
      <c r="EA19">
        <v>1.0556909999999999</v>
      </c>
      <c r="EB19">
        <v>0.86340899999999998</v>
      </c>
      <c r="EC19">
        <v>81.786154999999994</v>
      </c>
      <c r="ED19">
        <v>20.400808000000001</v>
      </c>
      <c r="EE19">
        <v>523.60571700000003</v>
      </c>
      <c r="EF19">
        <v>5.9640250000000004</v>
      </c>
      <c r="EG19">
        <v>28</v>
      </c>
      <c r="EH19">
        <v>28</v>
      </c>
      <c r="EI19">
        <v>22</v>
      </c>
      <c r="EJ19">
        <v>25</v>
      </c>
      <c r="EK19" t="s">
        <v>273</v>
      </c>
      <c r="EL19" t="s">
        <v>273</v>
      </c>
      <c r="EM19">
        <v>25.717707999999998</v>
      </c>
      <c r="EN19">
        <v>2.9569000000000002E-2</v>
      </c>
      <c r="EO19">
        <v>1.1541950000000001</v>
      </c>
      <c r="EP19">
        <v>0.90007899999999996</v>
      </c>
      <c r="EQ19">
        <v>77.983211999999995</v>
      </c>
      <c r="ER19">
        <v>19.511043000000001</v>
      </c>
      <c r="ES19">
        <v>504.43434300000001</v>
      </c>
      <c r="ET19">
        <v>3.6485620000000001</v>
      </c>
      <c r="EU19">
        <v>28</v>
      </c>
      <c r="EV19">
        <v>28</v>
      </c>
      <c r="EW19">
        <v>27</v>
      </c>
      <c r="EX19">
        <v>28</v>
      </c>
      <c r="EY19" t="s">
        <v>273</v>
      </c>
      <c r="EZ19" t="s">
        <v>273</v>
      </c>
      <c r="FA19">
        <v>29.511824000000001</v>
      </c>
      <c r="FB19">
        <v>4.8809999999999999E-2</v>
      </c>
      <c r="FC19">
        <v>1.0555300000000001</v>
      </c>
      <c r="FD19">
        <v>0.86335499999999998</v>
      </c>
      <c r="FE19">
        <v>81.793559000000002</v>
      </c>
      <c r="FF19">
        <v>23.621227999999999</v>
      </c>
      <c r="FG19">
        <v>523.648731</v>
      </c>
      <c r="FH19">
        <v>6.022767</v>
      </c>
      <c r="FI19">
        <v>28</v>
      </c>
      <c r="FJ19">
        <v>28</v>
      </c>
      <c r="FK19">
        <v>22</v>
      </c>
      <c r="FL19">
        <v>25</v>
      </c>
      <c r="FM19" t="s">
        <v>273</v>
      </c>
      <c r="FN19" t="s">
        <v>273</v>
      </c>
      <c r="FO19">
        <v>29.082353000000001</v>
      </c>
      <c r="FP19">
        <v>5.9547000000000003E-2</v>
      </c>
      <c r="FQ19">
        <v>1.8097540000000001</v>
      </c>
      <c r="FR19">
        <v>1.578929</v>
      </c>
      <c r="FS19">
        <v>87.245465999999993</v>
      </c>
      <c r="FT19">
        <v>25.090758000000001</v>
      </c>
      <c r="FU19">
        <v>340.12140799999997</v>
      </c>
      <c r="FV19">
        <v>7.347594</v>
      </c>
      <c r="FW19">
        <v>21</v>
      </c>
      <c r="FX19">
        <v>21</v>
      </c>
      <c r="FY19">
        <v>21</v>
      </c>
      <c r="FZ19">
        <v>21</v>
      </c>
      <c r="GA19" t="s">
        <v>273</v>
      </c>
      <c r="GB19" t="s">
        <v>273</v>
      </c>
      <c r="GC19">
        <v>30.756353000000001</v>
      </c>
      <c r="GD19">
        <v>0.121613</v>
      </c>
      <c r="GE19">
        <v>1.2463249999999999</v>
      </c>
      <c r="GF19">
        <v>1.008443</v>
      </c>
      <c r="GG19">
        <v>80.913300000000007</v>
      </c>
      <c r="GH19">
        <v>24.172733000000001</v>
      </c>
      <c r="GI19">
        <v>1224.492117</v>
      </c>
      <c r="GJ19">
        <v>15.005914000000001</v>
      </c>
      <c r="GK19">
        <v>24</v>
      </c>
      <c r="GL19">
        <v>24</v>
      </c>
      <c r="GM19">
        <v>13</v>
      </c>
      <c r="GN19">
        <v>23</v>
      </c>
      <c r="GO19" t="s">
        <v>273</v>
      </c>
      <c r="GP19" t="s">
        <v>273</v>
      </c>
      <c r="GQ19">
        <v>30.862483999999998</v>
      </c>
      <c r="GR19">
        <v>0.10842300000000001</v>
      </c>
      <c r="GS19">
        <v>1.598786</v>
      </c>
      <c r="GT19">
        <v>1.3801410000000001</v>
      </c>
      <c r="GU19">
        <v>86.324344999999994</v>
      </c>
      <c r="GV19">
        <v>26.184018999999999</v>
      </c>
      <c r="GW19">
        <v>486.15769999999998</v>
      </c>
      <c r="GX19">
        <v>13.378441</v>
      </c>
      <c r="GY19">
        <v>44</v>
      </c>
      <c r="GZ19">
        <v>44</v>
      </c>
      <c r="HA19">
        <v>17</v>
      </c>
      <c r="HB19">
        <v>18</v>
      </c>
      <c r="HC19" t="s">
        <v>273</v>
      </c>
      <c r="HD19" t="s">
        <v>273</v>
      </c>
      <c r="HE19">
        <v>31</v>
      </c>
      <c r="HF19">
        <v>2.9999999999999997E-4</v>
      </c>
      <c r="HG19">
        <v>2E-3</v>
      </c>
      <c r="HH19">
        <v>3.2258000000000002E-2</v>
      </c>
      <c r="HI19">
        <v>5250</v>
      </c>
    </row>
    <row r="20" spans="1:217" x14ac:dyDescent="0.3">
      <c r="A20">
        <v>234</v>
      </c>
      <c r="B20" t="s">
        <v>269</v>
      </c>
      <c r="F20" t="s">
        <v>270</v>
      </c>
      <c r="G20" t="s">
        <v>271</v>
      </c>
      <c r="H20" t="s">
        <v>272</v>
      </c>
      <c r="I20">
        <v>6500</v>
      </c>
      <c r="J20">
        <v>1</v>
      </c>
      <c r="K20">
        <v>27.676562000000001</v>
      </c>
      <c r="L20">
        <v>0.22</v>
      </c>
      <c r="M20">
        <v>1.1214999999999999E-2</v>
      </c>
      <c r="N20">
        <v>0</v>
      </c>
      <c r="O20">
        <v>0</v>
      </c>
      <c r="P20">
        <v>0</v>
      </c>
      <c r="Q20">
        <v>8.9</v>
      </c>
      <c r="R20">
        <v>1</v>
      </c>
      <c r="S20">
        <v>1</v>
      </c>
      <c r="T20">
        <v>1</v>
      </c>
      <c r="U20">
        <v>1</v>
      </c>
      <c r="V20">
        <v>100</v>
      </c>
      <c r="W20" t="s">
        <v>273</v>
      </c>
      <c r="X20" t="s">
        <v>274</v>
      </c>
      <c r="Y20" t="s">
        <v>274</v>
      </c>
      <c r="Z20" t="s">
        <v>273</v>
      </c>
      <c r="AA20" t="s">
        <v>275</v>
      </c>
      <c r="AB20" t="s">
        <v>276</v>
      </c>
      <c r="AC20">
        <v>329</v>
      </c>
      <c r="AD20">
        <v>5</v>
      </c>
      <c r="AE20" t="s">
        <v>277</v>
      </c>
      <c r="AF20">
        <v>3.166026</v>
      </c>
      <c r="AG20">
        <v>100</v>
      </c>
      <c r="AH20">
        <v>28.5</v>
      </c>
      <c r="AI20">
        <v>1710</v>
      </c>
      <c r="AJ20">
        <v>800</v>
      </c>
      <c r="AK20">
        <v>1200</v>
      </c>
      <c r="AL20">
        <v>179.2</v>
      </c>
      <c r="AM20">
        <v>2.2000000000000002</v>
      </c>
      <c r="AN20" t="s">
        <v>273</v>
      </c>
      <c r="AO20" t="s">
        <v>278</v>
      </c>
      <c r="AP20" t="s">
        <v>286</v>
      </c>
      <c r="AQ20">
        <v>2.8</v>
      </c>
      <c r="AR20">
        <v>4</v>
      </c>
      <c r="AS20">
        <v>157.19999999999999</v>
      </c>
      <c r="AT20">
        <v>286</v>
      </c>
      <c r="AU20">
        <v>0.16279199999999999</v>
      </c>
      <c r="AV20">
        <v>36.9</v>
      </c>
      <c r="AW20">
        <v>233.8</v>
      </c>
      <c r="AX20" t="s">
        <v>280</v>
      </c>
      <c r="AY20">
        <v>0</v>
      </c>
      <c r="AZ20" t="s">
        <v>281</v>
      </c>
      <c r="BA20">
        <v>0.2</v>
      </c>
      <c r="BB20">
        <v>0.5</v>
      </c>
      <c r="BC20" t="s">
        <v>273</v>
      </c>
      <c r="BD20" t="s">
        <v>273</v>
      </c>
      <c r="BE20">
        <v>24.411085</v>
      </c>
      <c r="BF20">
        <v>24.692163999999998</v>
      </c>
      <c r="BG20">
        <v>350.92505699999998</v>
      </c>
      <c r="BH20" t="s">
        <v>273</v>
      </c>
      <c r="BI20">
        <v>44.603907999999997</v>
      </c>
      <c r="BJ20">
        <v>45.117496000000003</v>
      </c>
      <c r="BK20">
        <v>192.056296</v>
      </c>
      <c r="BL20" t="s">
        <v>273</v>
      </c>
      <c r="BM20">
        <v>44.606969999999997</v>
      </c>
      <c r="BN20">
        <v>45.120593999999997</v>
      </c>
      <c r="BO20">
        <v>192.04311200000001</v>
      </c>
      <c r="BP20" t="s">
        <v>273</v>
      </c>
      <c r="BQ20">
        <v>23.344846</v>
      </c>
      <c r="BR20">
        <v>23.613648000000001</v>
      </c>
      <c r="BS20">
        <v>366.95300700000001</v>
      </c>
      <c r="BT20" t="s">
        <v>273</v>
      </c>
      <c r="BU20">
        <v>8.0971399999999996</v>
      </c>
      <c r="BV20">
        <v>8.1903740000000003</v>
      </c>
      <c r="BW20">
        <v>1057.961339</v>
      </c>
      <c r="BX20" t="s">
        <v>273</v>
      </c>
      <c r="BY20">
        <v>23.553768000000002</v>
      </c>
      <c r="BZ20">
        <v>23.451124</v>
      </c>
      <c r="CA20">
        <v>27.266945</v>
      </c>
      <c r="CB20">
        <v>44.606969999999997</v>
      </c>
      <c r="CC20">
        <v>11.858999000000001</v>
      </c>
      <c r="CD20">
        <v>32.323619000000001</v>
      </c>
      <c r="CE20" t="s">
        <v>273</v>
      </c>
      <c r="CF20">
        <v>23.824975999999999</v>
      </c>
      <c r="CG20">
        <v>23.721150999999999</v>
      </c>
      <c r="CH20">
        <v>27.580908000000001</v>
      </c>
      <c r="CI20">
        <v>45.120593999999997</v>
      </c>
      <c r="CJ20">
        <v>11.995547999999999</v>
      </c>
      <c r="CK20">
        <v>32.695808</v>
      </c>
      <c r="CL20" t="s">
        <v>273</v>
      </c>
      <c r="CM20">
        <v>363.69812899999999</v>
      </c>
      <c r="CN20">
        <v>365.29000100000002</v>
      </c>
      <c r="CO20">
        <v>314.17019099999999</v>
      </c>
      <c r="CP20">
        <v>192.04311200000001</v>
      </c>
      <c r="CQ20">
        <v>722.35958600000004</v>
      </c>
      <c r="CR20">
        <v>265.02172200000001</v>
      </c>
      <c r="CS20" t="s">
        <v>273</v>
      </c>
      <c r="CT20">
        <v>433.097194</v>
      </c>
      <c r="CU20">
        <v>468.01836700000001</v>
      </c>
      <c r="CV20">
        <v>374.06178799999998</v>
      </c>
      <c r="CW20">
        <v>650.55534699999998</v>
      </c>
      <c r="CX20">
        <v>426.58692100000002</v>
      </c>
      <c r="CY20">
        <v>545.69946700000003</v>
      </c>
      <c r="CZ20" t="s">
        <v>273</v>
      </c>
      <c r="DA20">
        <v>3.6098189999999999</v>
      </c>
      <c r="DB20">
        <v>510.01</v>
      </c>
      <c r="DC20">
        <v>3.8838840000000001</v>
      </c>
      <c r="DD20">
        <v>864</v>
      </c>
      <c r="DE20">
        <v>3.6092710000000001</v>
      </c>
      <c r="DF20">
        <v>505</v>
      </c>
      <c r="DG20">
        <v>10.268965</v>
      </c>
      <c r="DH20">
        <v>765</v>
      </c>
      <c r="DI20">
        <v>1.7901739999999999</v>
      </c>
      <c r="DJ20">
        <v>235</v>
      </c>
      <c r="DK20">
        <v>6.2418480000000001</v>
      </c>
      <c r="DL20">
        <v>365</v>
      </c>
      <c r="DM20" t="s">
        <v>273</v>
      </c>
      <c r="DN20">
        <v>5.0188699999999997</v>
      </c>
      <c r="DO20">
        <v>12.608561999999999</v>
      </c>
      <c r="DP20">
        <v>6.2348129999999999</v>
      </c>
      <c r="DQ20" t="s">
        <v>282</v>
      </c>
      <c r="DR20">
        <v>7.0373299999999999</v>
      </c>
      <c r="DS20">
        <v>19.446235000000001</v>
      </c>
      <c r="DT20">
        <v>45.32694</v>
      </c>
      <c r="DU20">
        <v>77.534993</v>
      </c>
      <c r="DV20">
        <v>151.167126</v>
      </c>
      <c r="DW20" t="s">
        <v>283</v>
      </c>
      <c r="DX20" t="s">
        <v>273</v>
      </c>
      <c r="DY20">
        <v>26.101420999999998</v>
      </c>
      <c r="DZ20">
        <v>4.6944E-2</v>
      </c>
      <c r="EA20">
        <v>1.3121640000000001</v>
      </c>
      <c r="EB20">
        <v>1.0683450000000001</v>
      </c>
      <c r="EC20">
        <v>81.418533999999994</v>
      </c>
      <c r="ED20">
        <v>20.793541999999999</v>
      </c>
      <c r="EE20">
        <v>647.77839800000004</v>
      </c>
      <c r="EF20">
        <v>7.3787380000000002</v>
      </c>
      <c r="EG20">
        <v>30</v>
      </c>
      <c r="EH20">
        <v>30</v>
      </c>
      <c r="EI20">
        <v>24</v>
      </c>
      <c r="EJ20">
        <v>27</v>
      </c>
      <c r="EK20" t="s">
        <v>273</v>
      </c>
      <c r="EL20" t="s">
        <v>273</v>
      </c>
      <c r="EM20">
        <v>26.354735000000002</v>
      </c>
      <c r="EN20">
        <v>2.8729999999999999E-2</v>
      </c>
      <c r="EO20">
        <v>1.431727</v>
      </c>
      <c r="EP20">
        <v>1.114663</v>
      </c>
      <c r="EQ20">
        <v>77.854415000000003</v>
      </c>
      <c r="ER20">
        <v>19.95035</v>
      </c>
      <c r="ES20">
        <v>624.23059699999999</v>
      </c>
      <c r="ET20">
        <v>4.5159219999999998</v>
      </c>
      <c r="EU20">
        <v>28</v>
      </c>
      <c r="EV20">
        <v>28</v>
      </c>
      <c r="EW20">
        <v>28</v>
      </c>
      <c r="EX20">
        <v>28</v>
      </c>
      <c r="EY20" t="s">
        <v>273</v>
      </c>
      <c r="EZ20" t="s">
        <v>273</v>
      </c>
      <c r="FA20">
        <v>30.216923000000001</v>
      </c>
      <c r="FB20">
        <v>4.7406999999999998E-2</v>
      </c>
      <c r="FC20">
        <v>1.311995</v>
      </c>
      <c r="FD20">
        <v>1.06829</v>
      </c>
      <c r="FE20">
        <v>81.424845000000005</v>
      </c>
      <c r="FF20">
        <v>24.073649</v>
      </c>
      <c r="FG20">
        <v>647.837445</v>
      </c>
      <c r="FH20">
        <v>7.4514889999999996</v>
      </c>
      <c r="FI20">
        <v>30</v>
      </c>
      <c r="FJ20">
        <v>30</v>
      </c>
      <c r="FK20">
        <v>24</v>
      </c>
      <c r="FL20">
        <v>27</v>
      </c>
      <c r="FM20" t="s">
        <v>273</v>
      </c>
      <c r="FN20" t="s">
        <v>273</v>
      </c>
      <c r="FO20">
        <v>29.636862000000001</v>
      </c>
      <c r="FP20">
        <v>5.7800999999999998E-2</v>
      </c>
      <c r="FQ20">
        <v>2.237975</v>
      </c>
      <c r="FR20">
        <v>1.952564</v>
      </c>
      <c r="FS20">
        <v>87.246930000000006</v>
      </c>
      <c r="FT20">
        <v>25.566590000000001</v>
      </c>
      <c r="FU20">
        <v>420.55503399999998</v>
      </c>
      <c r="FV20">
        <v>9.0852509999999995</v>
      </c>
      <c r="FW20">
        <v>23</v>
      </c>
      <c r="FX20">
        <v>23</v>
      </c>
      <c r="FY20">
        <v>23</v>
      </c>
      <c r="FZ20">
        <v>23</v>
      </c>
      <c r="GA20" t="s">
        <v>273</v>
      </c>
      <c r="GB20" t="s">
        <v>273</v>
      </c>
      <c r="GC20">
        <v>31.249224999999999</v>
      </c>
      <c r="GD20">
        <v>0.118191</v>
      </c>
      <c r="GE20">
        <v>1.547339</v>
      </c>
      <c r="GF20">
        <v>1.2489300000000001</v>
      </c>
      <c r="GG20">
        <v>80.714704999999995</v>
      </c>
      <c r="GH20">
        <v>24.490711000000001</v>
      </c>
      <c r="GI20">
        <v>1515.344194</v>
      </c>
      <c r="GJ20">
        <v>18.577511999999999</v>
      </c>
      <c r="GK20">
        <v>24</v>
      </c>
      <c r="GL20">
        <v>24</v>
      </c>
      <c r="GM20">
        <v>13</v>
      </c>
      <c r="GN20">
        <v>22</v>
      </c>
      <c r="GO20" t="s">
        <v>273</v>
      </c>
      <c r="GP20" t="s">
        <v>273</v>
      </c>
      <c r="GQ20">
        <v>31.231919000000001</v>
      </c>
      <c r="GR20">
        <v>0.10555299999999999</v>
      </c>
      <c r="GS20">
        <v>1.978294</v>
      </c>
      <c r="GT20">
        <v>1.7126710000000001</v>
      </c>
      <c r="GU20">
        <v>86.573098999999999</v>
      </c>
      <c r="GV20">
        <v>26.556577999999998</v>
      </c>
      <c r="GW20">
        <v>602.84407199999998</v>
      </c>
      <c r="GX20">
        <v>16.591062999999998</v>
      </c>
      <c r="GY20">
        <v>42</v>
      </c>
      <c r="GZ20">
        <v>42</v>
      </c>
      <c r="HA20">
        <v>18</v>
      </c>
      <c r="HB20">
        <v>20</v>
      </c>
      <c r="HC20" t="s">
        <v>273</v>
      </c>
      <c r="HD20" t="s">
        <v>273</v>
      </c>
      <c r="HE20">
        <v>31</v>
      </c>
      <c r="HF20">
        <v>2.9999999999999997E-4</v>
      </c>
      <c r="HG20">
        <v>2E-3</v>
      </c>
      <c r="HH20">
        <v>3.2258000000000002E-2</v>
      </c>
      <c r="HI20">
        <v>6500</v>
      </c>
    </row>
    <row r="21" spans="1:217" x14ac:dyDescent="0.3">
      <c r="A21">
        <v>251</v>
      </c>
      <c r="B21" t="s">
        <v>269</v>
      </c>
      <c r="F21" t="s">
        <v>270</v>
      </c>
      <c r="G21" t="s">
        <v>271</v>
      </c>
      <c r="H21" t="s">
        <v>272</v>
      </c>
      <c r="I21">
        <v>5250</v>
      </c>
      <c r="J21">
        <v>1</v>
      </c>
      <c r="K21">
        <v>17.617968999999999</v>
      </c>
      <c r="L21">
        <v>0.22</v>
      </c>
      <c r="M21">
        <v>1.8783000000000001E-2</v>
      </c>
      <c r="N21">
        <v>0</v>
      </c>
      <c r="O21">
        <v>0</v>
      </c>
      <c r="P21">
        <v>0</v>
      </c>
      <c r="Q21">
        <v>10.08</v>
      </c>
      <c r="R21">
        <v>1</v>
      </c>
      <c r="S21">
        <v>1</v>
      </c>
      <c r="T21">
        <v>1</v>
      </c>
      <c r="U21">
        <v>1</v>
      </c>
      <c r="V21">
        <v>100</v>
      </c>
      <c r="W21" t="s">
        <v>273</v>
      </c>
      <c r="X21" t="s">
        <v>274</v>
      </c>
      <c r="Y21" t="s">
        <v>274</v>
      </c>
      <c r="Z21" t="s">
        <v>273</v>
      </c>
      <c r="AA21" t="s">
        <v>275</v>
      </c>
      <c r="AB21" t="s">
        <v>276</v>
      </c>
      <c r="AC21">
        <v>258</v>
      </c>
      <c r="AD21">
        <v>5</v>
      </c>
      <c r="AE21" t="s">
        <v>277</v>
      </c>
      <c r="AF21">
        <v>3.221571</v>
      </c>
      <c r="AG21">
        <v>100</v>
      </c>
      <c r="AH21">
        <v>29</v>
      </c>
      <c r="AI21">
        <v>1740</v>
      </c>
      <c r="AJ21">
        <v>800</v>
      </c>
      <c r="AK21">
        <v>1200</v>
      </c>
      <c r="AL21">
        <v>202.3</v>
      </c>
      <c r="AM21">
        <v>2.2000000000000002</v>
      </c>
      <c r="AN21" t="s">
        <v>273</v>
      </c>
      <c r="AO21" t="s">
        <v>278</v>
      </c>
      <c r="AP21" t="s">
        <v>285</v>
      </c>
      <c r="AQ21">
        <v>2.2000000000000002</v>
      </c>
      <c r="AR21">
        <v>4</v>
      </c>
      <c r="AS21">
        <v>123.4</v>
      </c>
      <c r="AT21">
        <v>224.5</v>
      </c>
      <c r="AU21">
        <v>0.12790799999999999</v>
      </c>
      <c r="AV21">
        <v>36.5</v>
      </c>
      <c r="AW21">
        <v>236.1</v>
      </c>
      <c r="AX21" t="s">
        <v>280</v>
      </c>
      <c r="AY21">
        <v>0</v>
      </c>
      <c r="AZ21" t="s">
        <v>281</v>
      </c>
      <c r="BA21">
        <v>0.2</v>
      </c>
      <c r="BB21">
        <v>0.5</v>
      </c>
      <c r="BC21" t="s">
        <v>273</v>
      </c>
      <c r="BD21" t="s">
        <v>273</v>
      </c>
      <c r="BE21">
        <v>28.620398000000002</v>
      </c>
      <c r="BF21">
        <v>28.949946000000001</v>
      </c>
      <c r="BG21">
        <v>299.31313999999998</v>
      </c>
      <c r="BH21" t="s">
        <v>273</v>
      </c>
      <c r="BI21">
        <v>45.110652999999999</v>
      </c>
      <c r="BJ21">
        <v>45.630076000000003</v>
      </c>
      <c r="BK21">
        <v>189.898855</v>
      </c>
      <c r="BL21" t="s">
        <v>273</v>
      </c>
      <c r="BM21">
        <v>45.113549999999996</v>
      </c>
      <c r="BN21">
        <v>45.633006999999999</v>
      </c>
      <c r="BO21">
        <v>189.88665700000001</v>
      </c>
      <c r="BP21" t="s">
        <v>273</v>
      </c>
      <c r="BQ21">
        <v>24.508794999999999</v>
      </c>
      <c r="BR21">
        <v>24.791</v>
      </c>
      <c r="BS21">
        <v>349.52600699999999</v>
      </c>
      <c r="BT21" t="s">
        <v>273</v>
      </c>
      <c r="BU21">
        <v>9.6456160000000004</v>
      </c>
      <c r="BV21">
        <v>9.7566799999999994</v>
      </c>
      <c r="BW21">
        <v>888.11965299999997</v>
      </c>
      <c r="BX21" t="s">
        <v>273</v>
      </c>
      <c r="BY21">
        <v>26.880486000000001</v>
      </c>
      <c r="BZ21">
        <v>28.155867000000001</v>
      </c>
      <c r="CA21">
        <v>31.108491999999998</v>
      </c>
      <c r="CB21">
        <v>45.113549999999996</v>
      </c>
      <c r="CC21">
        <v>13.984071999999999</v>
      </c>
      <c r="CD21">
        <v>31.250185999999999</v>
      </c>
      <c r="CE21" t="s">
        <v>273</v>
      </c>
      <c r="CF21">
        <v>27.189999</v>
      </c>
      <c r="CG21">
        <v>28.480066000000001</v>
      </c>
      <c r="CH21">
        <v>31.466688000000001</v>
      </c>
      <c r="CI21">
        <v>45.633006999999999</v>
      </c>
      <c r="CJ21">
        <v>14.14509</v>
      </c>
      <c r="CK21">
        <v>31.610015000000001</v>
      </c>
      <c r="CL21" t="s">
        <v>273</v>
      </c>
      <c r="CM21">
        <v>318.68699700000002</v>
      </c>
      <c r="CN21">
        <v>304.25137699999999</v>
      </c>
      <c r="CO21">
        <v>275.37372699999997</v>
      </c>
      <c r="CP21">
        <v>189.88665700000001</v>
      </c>
      <c r="CQ21">
        <v>612.58705399999997</v>
      </c>
      <c r="CR21">
        <v>274.12512500000003</v>
      </c>
      <c r="CS21" t="s">
        <v>273</v>
      </c>
      <c r="CT21">
        <v>379.40140400000001</v>
      </c>
      <c r="CU21">
        <v>389.73411900000002</v>
      </c>
      <c r="CV21">
        <v>327.78648199999998</v>
      </c>
      <c r="CW21">
        <v>643.20436600000005</v>
      </c>
      <c r="CX21">
        <v>361.44476900000001</v>
      </c>
      <c r="CY21">
        <v>564.29095600000005</v>
      </c>
      <c r="CZ21" t="s">
        <v>273</v>
      </c>
      <c r="DA21">
        <v>3.6089069999999999</v>
      </c>
      <c r="DB21">
        <v>510.01</v>
      </c>
      <c r="DC21">
        <v>3.883086</v>
      </c>
      <c r="DD21">
        <v>864</v>
      </c>
      <c r="DE21">
        <v>3.608358</v>
      </c>
      <c r="DF21">
        <v>505</v>
      </c>
      <c r="DG21">
        <v>10.268231999999999</v>
      </c>
      <c r="DH21">
        <v>765</v>
      </c>
      <c r="DI21">
        <v>1.788608</v>
      </c>
      <c r="DJ21">
        <v>235</v>
      </c>
      <c r="DK21">
        <v>6.2401549999999997</v>
      </c>
      <c r="DL21">
        <v>365</v>
      </c>
      <c r="DM21" t="s">
        <v>273</v>
      </c>
      <c r="DN21">
        <v>5.0666169999999999</v>
      </c>
      <c r="DO21">
        <v>13.018959000000001</v>
      </c>
      <c r="DP21">
        <v>6.5708950000000002</v>
      </c>
      <c r="DQ21" t="s">
        <v>282</v>
      </c>
      <c r="DR21">
        <v>7.6792629999999997</v>
      </c>
      <c r="DS21">
        <v>19.695398000000001</v>
      </c>
      <c r="DT21">
        <v>46.964516000000003</v>
      </c>
      <c r="DU21">
        <v>75.531606999999994</v>
      </c>
      <c r="DV21">
        <v>127.837121</v>
      </c>
      <c r="DW21" t="s">
        <v>283</v>
      </c>
      <c r="DX21" t="s">
        <v>273</v>
      </c>
      <c r="DY21">
        <v>25.867922</v>
      </c>
      <c r="DZ21">
        <v>5.237E-2</v>
      </c>
      <c r="EA21">
        <v>1.1391979999999999</v>
      </c>
      <c r="EB21">
        <v>0.93335100000000004</v>
      </c>
      <c r="EC21">
        <v>81.930563000000006</v>
      </c>
      <c r="ED21">
        <v>20.787519</v>
      </c>
      <c r="EE21">
        <v>567.44498199999998</v>
      </c>
      <c r="EF21">
        <v>6.4620410000000001</v>
      </c>
      <c r="EG21">
        <v>30</v>
      </c>
      <c r="EH21">
        <v>30</v>
      </c>
      <c r="EI21">
        <v>23</v>
      </c>
      <c r="EJ21">
        <v>27</v>
      </c>
      <c r="EK21" t="s">
        <v>273</v>
      </c>
      <c r="EL21" t="s">
        <v>273</v>
      </c>
      <c r="EM21">
        <v>25.758913</v>
      </c>
      <c r="EN21">
        <v>2.9878999999999999E-2</v>
      </c>
      <c r="EO21">
        <v>1.165292</v>
      </c>
      <c r="EP21">
        <v>0.90928399999999998</v>
      </c>
      <c r="EQ21">
        <v>78.030617000000007</v>
      </c>
      <c r="ER21">
        <v>19.559301999999999</v>
      </c>
      <c r="ES21">
        <v>509.73304999999999</v>
      </c>
      <c r="ET21">
        <v>3.6868460000000001</v>
      </c>
      <c r="EU21">
        <v>28</v>
      </c>
      <c r="EV21">
        <v>28</v>
      </c>
      <c r="EW21">
        <v>27</v>
      </c>
      <c r="EX21">
        <v>28</v>
      </c>
      <c r="EY21" t="s">
        <v>273</v>
      </c>
      <c r="EZ21" t="s">
        <v>273</v>
      </c>
      <c r="FA21">
        <v>29.937111999999999</v>
      </c>
      <c r="FB21">
        <v>5.2887000000000003E-2</v>
      </c>
      <c r="FC21">
        <v>1.1390420000000001</v>
      </c>
      <c r="FD21">
        <v>0.93330199999999996</v>
      </c>
      <c r="FE21">
        <v>81.937449000000001</v>
      </c>
      <c r="FF21">
        <v>24.059363999999999</v>
      </c>
      <c r="FG21">
        <v>567.49961800000005</v>
      </c>
      <c r="FH21">
        <v>6.5257849999999999</v>
      </c>
      <c r="FI21">
        <v>30</v>
      </c>
      <c r="FJ21">
        <v>30</v>
      </c>
      <c r="FK21">
        <v>23</v>
      </c>
      <c r="FL21">
        <v>27</v>
      </c>
      <c r="FM21" t="s">
        <v>273</v>
      </c>
      <c r="FN21" t="s">
        <v>273</v>
      </c>
      <c r="FO21">
        <v>30.311872000000001</v>
      </c>
      <c r="FP21">
        <v>7.4762999999999996E-2</v>
      </c>
      <c r="FQ21">
        <v>2.263083</v>
      </c>
      <c r="FR21">
        <v>1.9766349999999999</v>
      </c>
      <c r="FS21">
        <v>87.342579999999998</v>
      </c>
      <c r="FT21">
        <v>26.256817999999999</v>
      </c>
      <c r="FU21">
        <v>427.05899699999998</v>
      </c>
      <c r="FV21">
        <v>9.2250979999999991</v>
      </c>
      <c r="FW21">
        <v>23</v>
      </c>
      <c r="FX21">
        <v>23</v>
      </c>
      <c r="FY21">
        <v>23</v>
      </c>
      <c r="FZ21">
        <v>22</v>
      </c>
      <c r="GA21" t="s">
        <v>273</v>
      </c>
      <c r="GB21" t="s">
        <v>273</v>
      </c>
      <c r="GC21">
        <v>30.74859</v>
      </c>
      <c r="GD21">
        <v>0.126078</v>
      </c>
      <c r="GE21">
        <v>1.2900480000000001</v>
      </c>
      <c r="GF21">
        <v>1.0444439999999999</v>
      </c>
      <c r="GG21">
        <v>80.961622000000006</v>
      </c>
      <c r="GH21">
        <v>24.204948000000002</v>
      </c>
      <c r="GI21">
        <v>1270.0728039999999</v>
      </c>
      <c r="GJ21">
        <v>15.556965999999999</v>
      </c>
      <c r="GK21">
        <v>25</v>
      </c>
      <c r="GL21">
        <v>25</v>
      </c>
      <c r="GM21">
        <v>14</v>
      </c>
      <c r="GN21">
        <v>24</v>
      </c>
      <c r="GO21" t="s">
        <v>273</v>
      </c>
      <c r="GP21" t="s">
        <v>273</v>
      </c>
      <c r="GQ21">
        <v>31.536719000000002</v>
      </c>
      <c r="GR21">
        <v>0.141043</v>
      </c>
      <c r="GS21">
        <v>2.0656569999999999</v>
      </c>
      <c r="GT21">
        <v>1.7856860000000001</v>
      </c>
      <c r="GU21">
        <v>86.446402000000006</v>
      </c>
      <c r="GV21">
        <v>26.939177000000001</v>
      </c>
      <c r="GW21">
        <v>632.53500399999996</v>
      </c>
      <c r="GX21">
        <v>17.403475</v>
      </c>
      <c r="GY21">
        <v>88</v>
      </c>
      <c r="GZ21">
        <v>88</v>
      </c>
      <c r="HA21">
        <v>27</v>
      </c>
      <c r="HB21">
        <v>29</v>
      </c>
      <c r="HC21" t="s">
        <v>273</v>
      </c>
      <c r="HD21" t="s">
        <v>273</v>
      </c>
      <c r="HE21">
        <v>31</v>
      </c>
      <c r="HF21">
        <v>2.9999999999999997E-4</v>
      </c>
      <c r="HG21">
        <v>3.0000000000000001E-3</v>
      </c>
      <c r="HH21">
        <v>3.2258000000000002E-2</v>
      </c>
      <c r="HI21">
        <v>5250</v>
      </c>
    </row>
    <row r="22" spans="1:217" x14ac:dyDescent="0.3">
      <c r="A22">
        <v>252</v>
      </c>
      <c r="B22" t="s">
        <v>269</v>
      </c>
      <c r="F22" t="s">
        <v>270</v>
      </c>
      <c r="G22" t="s">
        <v>271</v>
      </c>
      <c r="H22" t="s">
        <v>272</v>
      </c>
      <c r="I22">
        <v>6500</v>
      </c>
      <c r="J22">
        <v>1</v>
      </c>
      <c r="K22">
        <v>22.598437000000001</v>
      </c>
      <c r="L22">
        <v>0.22</v>
      </c>
      <c r="M22">
        <v>2.3910000000000001E-2</v>
      </c>
      <c r="N22">
        <v>0</v>
      </c>
      <c r="O22">
        <v>0</v>
      </c>
      <c r="P22">
        <v>0</v>
      </c>
      <c r="Q22">
        <v>12.45</v>
      </c>
      <c r="R22">
        <v>1</v>
      </c>
      <c r="S22">
        <v>1</v>
      </c>
      <c r="T22">
        <v>1</v>
      </c>
      <c r="U22">
        <v>1</v>
      </c>
      <c r="V22">
        <v>100</v>
      </c>
      <c r="W22" t="s">
        <v>273</v>
      </c>
      <c r="X22" t="s">
        <v>274</v>
      </c>
      <c r="Y22" t="s">
        <v>274</v>
      </c>
      <c r="Z22" t="s">
        <v>273</v>
      </c>
      <c r="AA22" t="s">
        <v>275</v>
      </c>
      <c r="AB22" t="s">
        <v>276</v>
      </c>
      <c r="AC22">
        <v>329</v>
      </c>
      <c r="AD22">
        <v>5</v>
      </c>
      <c r="AE22" t="s">
        <v>277</v>
      </c>
      <c r="AF22">
        <v>3.166026</v>
      </c>
      <c r="AG22">
        <v>100</v>
      </c>
      <c r="AH22">
        <v>28.5</v>
      </c>
      <c r="AI22">
        <v>1710</v>
      </c>
      <c r="AJ22">
        <v>800</v>
      </c>
      <c r="AK22">
        <v>1200</v>
      </c>
      <c r="AL22">
        <v>179.2</v>
      </c>
      <c r="AM22">
        <v>2.2000000000000002</v>
      </c>
      <c r="AN22" t="s">
        <v>273</v>
      </c>
      <c r="AO22" t="s">
        <v>278</v>
      </c>
      <c r="AP22" t="s">
        <v>286</v>
      </c>
      <c r="AQ22">
        <v>2.8</v>
      </c>
      <c r="AR22">
        <v>4</v>
      </c>
      <c r="AS22">
        <v>157.19999999999999</v>
      </c>
      <c r="AT22">
        <v>286</v>
      </c>
      <c r="AU22">
        <v>0.16279199999999999</v>
      </c>
      <c r="AV22">
        <v>36.9</v>
      </c>
      <c r="AW22">
        <v>233.8</v>
      </c>
      <c r="AX22" t="s">
        <v>280</v>
      </c>
      <c r="AY22">
        <v>0</v>
      </c>
      <c r="AZ22" t="s">
        <v>281</v>
      </c>
      <c r="BA22">
        <v>0.2</v>
      </c>
      <c r="BB22">
        <v>0.5</v>
      </c>
      <c r="BC22" t="s">
        <v>273</v>
      </c>
      <c r="BD22" t="s">
        <v>273</v>
      </c>
      <c r="BE22">
        <v>23.631581000000001</v>
      </c>
      <c r="BF22">
        <v>23.903684999999999</v>
      </c>
      <c r="BG22">
        <v>362.50055500000002</v>
      </c>
      <c r="BH22" t="s">
        <v>273</v>
      </c>
      <c r="BI22">
        <v>37.176175999999998</v>
      </c>
      <c r="BJ22">
        <v>37.604238000000002</v>
      </c>
      <c r="BK22">
        <v>230.42879199999999</v>
      </c>
      <c r="BL22" t="s">
        <v>273</v>
      </c>
      <c r="BM22">
        <v>37.178288000000002</v>
      </c>
      <c r="BN22">
        <v>37.606375</v>
      </c>
      <c r="BO22">
        <v>230.41570100000001</v>
      </c>
      <c r="BP22" t="s">
        <v>273</v>
      </c>
      <c r="BQ22">
        <v>20.039622000000001</v>
      </c>
      <c r="BR22">
        <v>20.270367</v>
      </c>
      <c r="BS22">
        <v>427.47618899999998</v>
      </c>
      <c r="BT22" t="s">
        <v>273</v>
      </c>
      <c r="BU22">
        <v>7.7130390000000002</v>
      </c>
      <c r="BV22">
        <v>7.80185</v>
      </c>
      <c r="BW22">
        <v>1110.6466680000001</v>
      </c>
      <c r="BX22" t="s">
        <v>273</v>
      </c>
      <c r="BY22">
        <v>22.177085999999999</v>
      </c>
      <c r="BZ22">
        <v>23.266121999999999</v>
      </c>
      <c r="CA22">
        <v>25.662458000000001</v>
      </c>
      <c r="CB22">
        <v>37.178288000000002</v>
      </c>
      <c r="CC22">
        <v>11.453816</v>
      </c>
      <c r="CD22">
        <v>25.525804999999998</v>
      </c>
      <c r="CE22" t="s">
        <v>273</v>
      </c>
      <c r="CF22">
        <v>22.432442999999999</v>
      </c>
      <c r="CG22">
        <v>23.534018</v>
      </c>
      <c r="CH22">
        <v>25.957947000000001</v>
      </c>
      <c r="CI22">
        <v>37.606375</v>
      </c>
      <c r="CJ22">
        <v>11.585699999999999</v>
      </c>
      <c r="CK22">
        <v>25.819721000000001</v>
      </c>
      <c r="CL22" t="s">
        <v>273</v>
      </c>
      <c r="CM22">
        <v>386.27533399999999</v>
      </c>
      <c r="CN22">
        <v>368.19463100000002</v>
      </c>
      <c r="CO22">
        <v>333.81296200000003</v>
      </c>
      <c r="CP22">
        <v>230.41570100000001</v>
      </c>
      <c r="CQ22">
        <v>747.91327699999999</v>
      </c>
      <c r="CR22">
        <v>335.60003899999998</v>
      </c>
      <c r="CS22" t="s">
        <v>273</v>
      </c>
      <c r="CT22">
        <v>459.91418199999998</v>
      </c>
      <c r="CU22">
        <v>471.73460299999999</v>
      </c>
      <c r="CV22">
        <v>397.38988599999999</v>
      </c>
      <c r="CW22">
        <v>780.49354600000004</v>
      </c>
      <c r="CX22">
        <v>441.48638999999997</v>
      </c>
      <c r="CY22">
        <v>690.92048199999999</v>
      </c>
      <c r="CZ22" t="s">
        <v>273</v>
      </c>
      <c r="DA22">
        <v>3.609283</v>
      </c>
      <c r="DB22">
        <v>510.01</v>
      </c>
      <c r="DC22">
        <v>3.8838409999999999</v>
      </c>
      <c r="DD22">
        <v>864</v>
      </c>
      <c r="DE22">
        <v>3.608733</v>
      </c>
      <c r="DF22">
        <v>505</v>
      </c>
      <c r="DG22">
        <v>10.268295999999999</v>
      </c>
      <c r="DH22">
        <v>765</v>
      </c>
      <c r="DI22">
        <v>1.789399</v>
      </c>
      <c r="DJ22">
        <v>235</v>
      </c>
      <c r="DK22">
        <v>6.2408999999999999</v>
      </c>
      <c r="DL22">
        <v>365</v>
      </c>
      <c r="DM22" t="s">
        <v>273</v>
      </c>
      <c r="DN22">
        <v>5.017798</v>
      </c>
      <c r="DO22">
        <v>12.771732</v>
      </c>
      <c r="DP22">
        <v>6.317882</v>
      </c>
      <c r="DQ22" t="s">
        <v>282</v>
      </c>
      <c r="DR22">
        <v>7.3776919999999997</v>
      </c>
      <c r="DS22">
        <v>19.547150999999999</v>
      </c>
      <c r="DT22">
        <v>46.014456000000003</v>
      </c>
      <c r="DU22">
        <v>76.271061000000003</v>
      </c>
      <c r="DV22">
        <v>128.70224899999999</v>
      </c>
      <c r="DW22" t="s">
        <v>283</v>
      </c>
      <c r="DX22" t="s">
        <v>273</v>
      </c>
      <c r="DY22">
        <v>26.390785999999999</v>
      </c>
      <c r="DZ22">
        <v>5.0867000000000002E-2</v>
      </c>
      <c r="EA22">
        <v>1.40886</v>
      </c>
      <c r="EB22">
        <v>1.1550279999999999</v>
      </c>
      <c r="EC22">
        <v>81.983159000000001</v>
      </c>
      <c r="ED22">
        <v>21.217483000000001</v>
      </c>
      <c r="EE22">
        <v>702.01698099999999</v>
      </c>
      <c r="EF22">
        <v>7.995374</v>
      </c>
      <c r="EG22">
        <v>29</v>
      </c>
      <c r="EH22">
        <v>29</v>
      </c>
      <c r="EI22">
        <v>23</v>
      </c>
      <c r="EJ22">
        <v>28</v>
      </c>
      <c r="EK22" t="s">
        <v>273</v>
      </c>
      <c r="EL22" t="s">
        <v>273</v>
      </c>
      <c r="EM22">
        <v>26.398769000000001</v>
      </c>
      <c r="EN22">
        <v>2.9031999999999999E-2</v>
      </c>
      <c r="EO22">
        <v>1.4455070000000001</v>
      </c>
      <c r="EP22">
        <v>1.1260600000000001</v>
      </c>
      <c r="EQ22">
        <v>77.900722999999999</v>
      </c>
      <c r="ER22">
        <v>20.000612</v>
      </c>
      <c r="ES22">
        <v>630.77939800000001</v>
      </c>
      <c r="ET22">
        <v>4.5632479999999997</v>
      </c>
      <c r="EU22">
        <v>28</v>
      </c>
      <c r="EV22">
        <v>28</v>
      </c>
      <c r="EW22">
        <v>28</v>
      </c>
      <c r="EX22">
        <v>28</v>
      </c>
      <c r="EY22" t="s">
        <v>273</v>
      </c>
      <c r="EZ22" t="s">
        <v>273</v>
      </c>
      <c r="FA22">
        <v>30.540358999999999</v>
      </c>
      <c r="FB22">
        <v>5.1368999999999998E-2</v>
      </c>
      <c r="FC22">
        <v>1.408736</v>
      </c>
      <c r="FD22">
        <v>1.1549780000000001</v>
      </c>
      <c r="FE22">
        <v>81.986846999999997</v>
      </c>
      <c r="FF22">
        <v>24.554447</v>
      </c>
      <c r="FG22">
        <v>702.08917299999996</v>
      </c>
      <c r="FH22">
        <v>8.0742940000000001</v>
      </c>
      <c r="FI22">
        <v>29</v>
      </c>
      <c r="FJ22">
        <v>29</v>
      </c>
      <c r="FK22">
        <v>23</v>
      </c>
      <c r="FL22">
        <v>28</v>
      </c>
      <c r="FM22" t="s">
        <v>273</v>
      </c>
      <c r="FN22" t="s">
        <v>273</v>
      </c>
      <c r="FO22">
        <v>30.896647000000002</v>
      </c>
      <c r="FP22">
        <v>7.2581999999999994E-2</v>
      </c>
      <c r="FQ22">
        <v>2.7991060000000001</v>
      </c>
      <c r="FR22">
        <v>2.4447359999999998</v>
      </c>
      <c r="FS22">
        <v>87.339875000000006</v>
      </c>
      <c r="FT22">
        <v>26.759888</v>
      </c>
      <c r="FU22">
        <v>528.13830800000005</v>
      </c>
      <c r="FV22">
        <v>11.40863</v>
      </c>
      <c r="FW22">
        <v>25</v>
      </c>
      <c r="FX22">
        <v>25</v>
      </c>
      <c r="FY22">
        <v>25</v>
      </c>
      <c r="FZ22">
        <v>24</v>
      </c>
      <c r="GA22" t="s">
        <v>273</v>
      </c>
      <c r="GB22" t="s">
        <v>273</v>
      </c>
      <c r="GC22">
        <v>31.237815000000001</v>
      </c>
      <c r="GD22">
        <v>0.12256</v>
      </c>
      <c r="GE22">
        <v>1.6007979999999999</v>
      </c>
      <c r="GF22">
        <v>1.2938080000000001</v>
      </c>
      <c r="GG22">
        <v>80.822678999999994</v>
      </c>
      <c r="GH22">
        <v>24.538893999999999</v>
      </c>
      <c r="GI22">
        <v>1572.0381709999999</v>
      </c>
      <c r="GJ22">
        <v>19.264215</v>
      </c>
      <c r="GK22">
        <v>24</v>
      </c>
      <c r="GL22">
        <v>24</v>
      </c>
      <c r="GM22">
        <v>15</v>
      </c>
      <c r="GN22">
        <v>24</v>
      </c>
      <c r="GO22" t="s">
        <v>273</v>
      </c>
      <c r="GP22" t="s">
        <v>273</v>
      </c>
      <c r="GQ22">
        <v>31.875222999999998</v>
      </c>
      <c r="GR22">
        <v>0.13727300000000001</v>
      </c>
      <c r="GS22">
        <v>2.5563479999999998</v>
      </c>
      <c r="GT22">
        <v>2.215058</v>
      </c>
      <c r="GU22">
        <v>86.649314000000004</v>
      </c>
      <c r="GV22">
        <v>27.278033000000001</v>
      </c>
      <c r="GW22">
        <v>784.12717399999997</v>
      </c>
      <c r="GX22">
        <v>21.576934000000001</v>
      </c>
      <c r="GY22">
        <v>43</v>
      </c>
      <c r="GZ22">
        <v>43</v>
      </c>
      <c r="HA22">
        <v>29</v>
      </c>
      <c r="HB22">
        <v>31</v>
      </c>
      <c r="HC22" t="s">
        <v>273</v>
      </c>
      <c r="HD22" t="s">
        <v>273</v>
      </c>
      <c r="HE22">
        <v>31</v>
      </c>
      <c r="HF22">
        <v>2.9999999999999997E-4</v>
      </c>
      <c r="HG22">
        <v>3.0000000000000001E-3</v>
      </c>
      <c r="HH22">
        <v>3.2258000000000002E-2</v>
      </c>
      <c r="HI22">
        <v>6500</v>
      </c>
    </row>
    <row r="23" spans="1:217" x14ac:dyDescent="0.3">
      <c r="A23">
        <v>269</v>
      </c>
      <c r="B23" t="s">
        <v>269</v>
      </c>
      <c r="F23" t="s">
        <v>270</v>
      </c>
      <c r="G23" t="s">
        <v>271</v>
      </c>
      <c r="H23" t="s">
        <v>272</v>
      </c>
      <c r="I23">
        <v>5250</v>
      </c>
      <c r="J23">
        <v>1</v>
      </c>
      <c r="K23">
        <v>13.516406</v>
      </c>
      <c r="L23">
        <v>0.22</v>
      </c>
      <c r="M23">
        <v>2.9037E-2</v>
      </c>
      <c r="N23">
        <v>0</v>
      </c>
      <c r="O23">
        <v>0</v>
      </c>
      <c r="P23">
        <v>0</v>
      </c>
      <c r="Q23">
        <v>12.95</v>
      </c>
      <c r="R23">
        <v>1</v>
      </c>
      <c r="S23">
        <v>1</v>
      </c>
      <c r="T23">
        <v>1</v>
      </c>
      <c r="U23">
        <v>1</v>
      </c>
      <c r="V23">
        <v>100</v>
      </c>
      <c r="W23" t="s">
        <v>273</v>
      </c>
      <c r="X23" t="s">
        <v>274</v>
      </c>
      <c r="Y23" t="s">
        <v>274</v>
      </c>
      <c r="Z23" t="s">
        <v>273</v>
      </c>
      <c r="AA23" t="s">
        <v>275</v>
      </c>
      <c r="AB23" t="s">
        <v>276</v>
      </c>
      <c r="AC23">
        <v>258</v>
      </c>
      <c r="AD23">
        <v>5</v>
      </c>
      <c r="AE23" t="s">
        <v>277</v>
      </c>
      <c r="AF23">
        <v>3.221571</v>
      </c>
      <c r="AG23">
        <v>100</v>
      </c>
      <c r="AH23">
        <v>29</v>
      </c>
      <c r="AI23">
        <v>1740</v>
      </c>
      <c r="AJ23">
        <v>800</v>
      </c>
      <c r="AK23">
        <v>1200</v>
      </c>
      <c r="AL23">
        <v>202.3</v>
      </c>
      <c r="AM23">
        <v>2.2000000000000002</v>
      </c>
      <c r="AN23" t="s">
        <v>273</v>
      </c>
      <c r="AO23" t="s">
        <v>278</v>
      </c>
      <c r="AP23" t="s">
        <v>285</v>
      </c>
      <c r="AQ23">
        <v>2.2000000000000002</v>
      </c>
      <c r="AR23">
        <v>4</v>
      </c>
      <c r="AS23">
        <v>123.4</v>
      </c>
      <c r="AT23">
        <v>224.5</v>
      </c>
      <c r="AU23">
        <v>0.12790799999999999</v>
      </c>
      <c r="AV23">
        <v>36.5</v>
      </c>
      <c r="AW23">
        <v>236.1</v>
      </c>
      <c r="AX23" t="s">
        <v>280</v>
      </c>
      <c r="AY23">
        <v>0</v>
      </c>
      <c r="AZ23" t="s">
        <v>281</v>
      </c>
      <c r="BA23">
        <v>0.2</v>
      </c>
      <c r="BB23">
        <v>0.5</v>
      </c>
      <c r="BC23" t="s">
        <v>273</v>
      </c>
      <c r="BD23" t="s">
        <v>273</v>
      </c>
      <c r="BE23">
        <v>27.721233999999999</v>
      </c>
      <c r="BF23">
        <v>28.040427999999999</v>
      </c>
      <c r="BG23">
        <v>309.02164499999998</v>
      </c>
      <c r="BH23" t="s">
        <v>273</v>
      </c>
      <c r="BI23">
        <v>38.427956999999999</v>
      </c>
      <c r="BJ23">
        <v>38.870434000000003</v>
      </c>
      <c r="BK23">
        <v>222.922629</v>
      </c>
      <c r="BL23" t="s">
        <v>273</v>
      </c>
      <c r="BM23">
        <v>38.430363</v>
      </c>
      <c r="BN23">
        <v>38.872866999999999</v>
      </c>
      <c r="BO23">
        <v>222.90867299999999</v>
      </c>
      <c r="BP23" t="s">
        <v>273</v>
      </c>
      <c r="BQ23">
        <v>21.354695</v>
      </c>
      <c r="BR23">
        <v>21.600581999999999</v>
      </c>
      <c r="BS23">
        <v>401.15119099999998</v>
      </c>
      <c r="BT23" t="s">
        <v>273</v>
      </c>
      <c r="BU23">
        <v>9.1675339999999998</v>
      </c>
      <c r="BV23">
        <v>9.2730929999999994</v>
      </c>
      <c r="BW23">
        <v>934.43464700000004</v>
      </c>
      <c r="BX23" t="s">
        <v>273</v>
      </c>
      <c r="BY23">
        <v>25.374887999999999</v>
      </c>
      <c r="BZ23">
        <v>27.929805000000002</v>
      </c>
      <c r="CA23">
        <v>29.355170999999999</v>
      </c>
      <c r="CB23">
        <v>38.430363</v>
      </c>
      <c r="CC23">
        <v>13.517606000000001</v>
      </c>
      <c r="CD23">
        <v>25.607361999999998</v>
      </c>
      <c r="CE23" t="s">
        <v>273</v>
      </c>
      <c r="CF23">
        <v>25.667065000000001</v>
      </c>
      <c r="CG23">
        <v>28.251401000000001</v>
      </c>
      <c r="CH23">
        <v>29.693179000000001</v>
      </c>
      <c r="CI23">
        <v>38.872866999999999</v>
      </c>
      <c r="CJ23">
        <v>13.673254</v>
      </c>
      <c r="CK23">
        <v>25.902217</v>
      </c>
      <c r="CL23" t="s">
        <v>273</v>
      </c>
      <c r="CM23">
        <v>337.59602899999999</v>
      </c>
      <c r="CN23">
        <v>306.71396900000002</v>
      </c>
      <c r="CO23">
        <v>291.82120099999997</v>
      </c>
      <c r="CP23">
        <v>222.90867299999999</v>
      </c>
      <c r="CQ23">
        <v>633.72619799999995</v>
      </c>
      <c r="CR23">
        <v>334.531184</v>
      </c>
      <c r="CS23" t="s">
        <v>273</v>
      </c>
      <c r="CT23">
        <v>401.84343100000001</v>
      </c>
      <c r="CU23">
        <v>392.88511499999998</v>
      </c>
      <c r="CV23">
        <v>347.30418400000002</v>
      </c>
      <c r="CW23">
        <v>755.00193899999999</v>
      </c>
      <c r="CX23">
        <v>373.57201500000002</v>
      </c>
      <c r="CY23">
        <v>688.442455</v>
      </c>
      <c r="CZ23" t="s">
        <v>273</v>
      </c>
      <c r="DA23">
        <v>3.6082839999999998</v>
      </c>
      <c r="DB23">
        <v>510.01</v>
      </c>
      <c r="DC23">
        <v>3.8830520000000002</v>
      </c>
      <c r="DD23">
        <v>864</v>
      </c>
      <c r="DE23">
        <v>3.6077319999999999</v>
      </c>
      <c r="DF23">
        <v>505</v>
      </c>
      <c r="DG23">
        <v>10.267442000000001</v>
      </c>
      <c r="DH23">
        <v>765</v>
      </c>
      <c r="DI23">
        <v>1.786956</v>
      </c>
      <c r="DJ23">
        <v>235</v>
      </c>
      <c r="DK23">
        <v>6.2383850000000001</v>
      </c>
      <c r="DL23">
        <v>365</v>
      </c>
      <c r="DM23" t="s">
        <v>273</v>
      </c>
      <c r="DN23">
        <v>5.0655229999999998</v>
      </c>
      <c r="DO23">
        <v>13.198482</v>
      </c>
      <c r="DP23">
        <v>6.6604190000000001</v>
      </c>
      <c r="DQ23" t="s">
        <v>282</v>
      </c>
      <c r="DR23">
        <v>8.1076879999999996</v>
      </c>
      <c r="DS23">
        <v>19.795926000000001</v>
      </c>
      <c r="DT23">
        <v>47.762515</v>
      </c>
      <c r="DU23">
        <v>74.331137999999996</v>
      </c>
      <c r="DV23">
        <v>110.996903</v>
      </c>
      <c r="DW23" t="s">
        <v>283</v>
      </c>
      <c r="DX23" t="s">
        <v>273</v>
      </c>
      <c r="DY23">
        <v>26.184968000000001</v>
      </c>
      <c r="DZ23">
        <v>5.6654999999999997E-2</v>
      </c>
      <c r="EA23">
        <v>1.221371</v>
      </c>
      <c r="EB23">
        <v>1.007822</v>
      </c>
      <c r="EC23">
        <v>82.515619999999998</v>
      </c>
      <c r="ED23">
        <v>21.232236</v>
      </c>
      <c r="EE23">
        <v>613.97383600000001</v>
      </c>
      <c r="EF23">
        <v>6.9907009999999996</v>
      </c>
      <c r="EG23">
        <v>31</v>
      </c>
      <c r="EH23">
        <v>31</v>
      </c>
      <c r="EI23">
        <v>25</v>
      </c>
      <c r="EJ23">
        <v>30</v>
      </c>
      <c r="EK23" t="s">
        <v>273</v>
      </c>
      <c r="EL23" t="s">
        <v>273</v>
      </c>
      <c r="EM23">
        <v>25.804950000000002</v>
      </c>
      <c r="EN23">
        <v>3.0200999999999999E-2</v>
      </c>
      <c r="EO23">
        <v>1.1768130000000001</v>
      </c>
      <c r="EP23">
        <v>0.91882399999999997</v>
      </c>
      <c r="EQ23">
        <v>78.077342999999999</v>
      </c>
      <c r="ER23">
        <v>19.611568999999999</v>
      </c>
      <c r="ES23">
        <v>515.23206700000003</v>
      </c>
      <c r="ET23">
        <v>3.7265860000000002</v>
      </c>
      <c r="EU23">
        <v>28</v>
      </c>
      <c r="EV23">
        <v>28</v>
      </c>
      <c r="EW23">
        <v>27</v>
      </c>
      <c r="EX23">
        <v>28</v>
      </c>
      <c r="EY23" t="s">
        <v>273</v>
      </c>
      <c r="EZ23" t="s">
        <v>273</v>
      </c>
      <c r="FA23">
        <v>30.293614000000002</v>
      </c>
      <c r="FB23">
        <v>5.7214000000000001E-2</v>
      </c>
      <c r="FC23">
        <v>1.2212369999999999</v>
      </c>
      <c r="FD23">
        <v>1.007776</v>
      </c>
      <c r="FE23">
        <v>82.520962999999995</v>
      </c>
      <c r="FF23">
        <v>24.56513</v>
      </c>
      <c r="FG23">
        <v>614.03756699999997</v>
      </c>
      <c r="FH23">
        <v>7.0597079999999997</v>
      </c>
      <c r="FI23">
        <v>31</v>
      </c>
      <c r="FJ23">
        <v>31</v>
      </c>
      <c r="FK23">
        <v>25</v>
      </c>
      <c r="FL23">
        <v>30</v>
      </c>
      <c r="FM23" t="s">
        <v>273</v>
      </c>
      <c r="FN23" t="s">
        <v>273</v>
      </c>
      <c r="FO23">
        <v>31.266848</v>
      </c>
      <c r="FP23">
        <v>9.0685000000000002E-2</v>
      </c>
      <c r="FQ23">
        <v>2.7401279999999999</v>
      </c>
      <c r="FR23">
        <v>2.3939050000000002</v>
      </c>
      <c r="FS23">
        <v>87.364728999999997</v>
      </c>
      <c r="FT23">
        <v>27.132670000000001</v>
      </c>
      <c r="FU23">
        <v>518.04900899999996</v>
      </c>
      <c r="FV23">
        <v>11.189754000000001</v>
      </c>
      <c r="FW23">
        <v>29</v>
      </c>
      <c r="FX23">
        <v>29</v>
      </c>
      <c r="FY23">
        <v>28</v>
      </c>
      <c r="FZ23">
        <v>26</v>
      </c>
      <c r="GA23" t="s">
        <v>273</v>
      </c>
      <c r="GB23" t="s">
        <v>273</v>
      </c>
      <c r="GC23">
        <v>30.752361000000001</v>
      </c>
      <c r="GD23">
        <v>0.13056799999999999</v>
      </c>
      <c r="GE23">
        <v>1.3334950000000001</v>
      </c>
      <c r="GF23">
        <v>1.0807439999999999</v>
      </c>
      <c r="GG23">
        <v>81.045957000000001</v>
      </c>
      <c r="GH23">
        <v>24.253021</v>
      </c>
      <c r="GI23">
        <v>1316.510186</v>
      </c>
      <c r="GJ23">
        <v>16.110872000000001</v>
      </c>
      <c r="GK23">
        <v>25</v>
      </c>
      <c r="GL23">
        <v>25</v>
      </c>
      <c r="GM23">
        <v>15</v>
      </c>
      <c r="GN23">
        <v>25</v>
      </c>
      <c r="GO23" t="s">
        <v>273</v>
      </c>
      <c r="GP23" t="s">
        <v>273</v>
      </c>
      <c r="GQ23">
        <v>32.110595000000004</v>
      </c>
      <c r="GR23">
        <v>0.17624400000000001</v>
      </c>
      <c r="GS23">
        <v>2.5659879999999999</v>
      </c>
      <c r="GT23">
        <v>2.2237650000000002</v>
      </c>
      <c r="GU23">
        <v>86.663088999999999</v>
      </c>
      <c r="GV23">
        <v>27.591853</v>
      </c>
      <c r="GW23">
        <v>790.62214500000005</v>
      </c>
      <c r="GX23">
        <v>21.746891000000002</v>
      </c>
      <c r="GY23">
        <v>48</v>
      </c>
      <c r="GZ23">
        <v>48</v>
      </c>
      <c r="HA23">
        <v>40</v>
      </c>
      <c r="HB23">
        <v>40</v>
      </c>
      <c r="HC23" t="s">
        <v>273</v>
      </c>
      <c r="HD23" t="s">
        <v>273</v>
      </c>
      <c r="HE23">
        <v>31</v>
      </c>
      <c r="HF23">
        <v>2.9999999999999997E-4</v>
      </c>
      <c r="HG23">
        <v>4.0000000000000001E-3</v>
      </c>
      <c r="HH23">
        <v>3.2258000000000002E-2</v>
      </c>
      <c r="HI23">
        <v>5250</v>
      </c>
    </row>
    <row r="24" spans="1:217" x14ac:dyDescent="0.3">
      <c r="A24">
        <v>270</v>
      </c>
      <c r="B24" t="s">
        <v>269</v>
      </c>
      <c r="F24" t="s">
        <v>270</v>
      </c>
      <c r="G24" t="s">
        <v>271</v>
      </c>
      <c r="H24" t="s">
        <v>272</v>
      </c>
      <c r="I24">
        <v>6500</v>
      </c>
      <c r="J24">
        <v>1</v>
      </c>
      <c r="K24">
        <v>17.520312000000001</v>
      </c>
      <c r="L24">
        <v>0.22</v>
      </c>
      <c r="M24">
        <v>3.6604999999999999E-2</v>
      </c>
      <c r="N24">
        <v>0</v>
      </c>
      <c r="O24">
        <v>0</v>
      </c>
      <c r="P24">
        <v>0</v>
      </c>
      <c r="Q24">
        <v>16</v>
      </c>
      <c r="R24">
        <v>1</v>
      </c>
      <c r="S24">
        <v>1</v>
      </c>
      <c r="T24">
        <v>1</v>
      </c>
      <c r="U24">
        <v>1</v>
      </c>
      <c r="V24">
        <v>100</v>
      </c>
      <c r="W24" t="s">
        <v>273</v>
      </c>
      <c r="X24" t="s">
        <v>274</v>
      </c>
      <c r="Y24" t="s">
        <v>274</v>
      </c>
      <c r="Z24" t="s">
        <v>273</v>
      </c>
      <c r="AA24" t="s">
        <v>275</v>
      </c>
      <c r="AB24" t="s">
        <v>276</v>
      </c>
      <c r="AC24">
        <v>329</v>
      </c>
      <c r="AD24">
        <v>5</v>
      </c>
      <c r="AE24" t="s">
        <v>277</v>
      </c>
      <c r="AF24">
        <v>3.166026</v>
      </c>
      <c r="AG24">
        <v>100</v>
      </c>
      <c r="AH24">
        <v>28.5</v>
      </c>
      <c r="AI24">
        <v>1710</v>
      </c>
      <c r="AJ24">
        <v>800</v>
      </c>
      <c r="AK24">
        <v>1200</v>
      </c>
      <c r="AL24">
        <v>179.2</v>
      </c>
      <c r="AM24">
        <v>2.2000000000000002</v>
      </c>
      <c r="AN24" t="s">
        <v>273</v>
      </c>
      <c r="AO24" t="s">
        <v>278</v>
      </c>
      <c r="AP24" t="s">
        <v>286</v>
      </c>
      <c r="AQ24">
        <v>2.8</v>
      </c>
      <c r="AR24">
        <v>4</v>
      </c>
      <c r="AS24">
        <v>157.19999999999999</v>
      </c>
      <c r="AT24">
        <v>286</v>
      </c>
      <c r="AU24">
        <v>0.16279199999999999</v>
      </c>
      <c r="AV24">
        <v>36.9</v>
      </c>
      <c r="AW24">
        <v>233.8</v>
      </c>
      <c r="AX24" t="s">
        <v>280</v>
      </c>
      <c r="AY24">
        <v>0</v>
      </c>
      <c r="AZ24" t="s">
        <v>281</v>
      </c>
      <c r="BA24">
        <v>0.2</v>
      </c>
      <c r="BB24">
        <v>0.5</v>
      </c>
      <c r="BC24" t="s">
        <v>273</v>
      </c>
      <c r="BD24" t="s">
        <v>273</v>
      </c>
      <c r="BE24">
        <v>22.842146</v>
      </c>
      <c r="BF24">
        <v>23.105160000000001</v>
      </c>
      <c r="BG24">
        <v>375.02874300000002</v>
      </c>
      <c r="BH24" t="s">
        <v>273</v>
      </c>
      <c r="BI24">
        <v>31.718342</v>
      </c>
      <c r="BJ24">
        <v>32.083561000000003</v>
      </c>
      <c r="BK24">
        <v>270.07910199999998</v>
      </c>
      <c r="BL24" t="s">
        <v>273</v>
      </c>
      <c r="BM24">
        <v>31.719857999999999</v>
      </c>
      <c r="BN24">
        <v>32.085093999999998</v>
      </c>
      <c r="BO24">
        <v>270.066192</v>
      </c>
      <c r="BP24" t="s">
        <v>273</v>
      </c>
      <c r="BQ24">
        <v>17.444672000000001</v>
      </c>
      <c r="BR24">
        <v>17.645537999999998</v>
      </c>
      <c r="BS24">
        <v>491.06462199999999</v>
      </c>
      <c r="BT24" t="s">
        <v>273</v>
      </c>
      <c r="BU24">
        <v>7.3151349999999997</v>
      </c>
      <c r="BV24">
        <v>7.3993650000000004</v>
      </c>
      <c r="BW24">
        <v>1171.0599159999999</v>
      </c>
      <c r="BX24" t="s">
        <v>273</v>
      </c>
      <c r="BY24">
        <v>20.847733999999999</v>
      </c>
      <c r="BZ24">
        <v>23.078638000000002</v>
      </c>
      <c r="CA24">
        <v>24.116054999999999</v>
      </c>
      <c r="CB24">
        <v>31.719857999999999</v>
      </c>
      <c r="CC24">
        <v>11.058624999999999</v>
      </c>
      <c r="CD24">
        <v>20.904332</v>
      </c>
      <c r="CE24" t="s">
        <v>273</v>
      </c>
      <c r="CF24">
        <v>21.087783999999999</v>
      </c>
      <c r="CG24">
        <v>23.344374999999999</v>
      </c>
      <c r="CH24">
        <v>24.393737999999999</v>
      </c>
      <c r="CI24">
        <v>32.085093999999998</v>
      </c>
      <c r="CJ24">
        <v>11.185959</v>
      </c>
      <c r="CK24">
        <v>21.145033999999999</v>
      </c>
      <c r="CL24" t="s">
        <v>273</v>
      </c>
      <c r="CM24">
        <v>410.90610900000001</v>
      </c>
      <c r="CN24">
        <v>371.18574000000001</v>
      </c>
      <c r="CO24">
        <v>355.21818100000002</v>
      </c>
      <c r="CP24">
        <v>270.066192</v>
      </c>
      <c r="CQ24">
        <v>774.64071000000001</v>
      </c>
      <c r="CR24">
        <v>409.79359099999999</v>
      </c>
      <c r="CS24" t="s">
        <v>273</v>
      </c>
      <c r="CT24">
        <v>489.16146900000001</v>
      </c>
      <c r="CU24">
        <v>475.56218899999999</v>
      </c>
      <c r="CV24">
        <v>422.803449</v>
      </c>
      <c r="CW24">
        <v>914.76065500000004</v>
      </c>
      <c r="CX24">
        <v>456.95394900000002</v>
      </c>
      <c r="CY24">
        <v>843.47286499999996</v>
      </c>
      <c r="CZ24" t="s">
        <v>273</v>
      </c>
      <c r="DA24">
        <v>3.6086999999999998</v>
      </c>
      <c r="DB24">
        <v>510.01</v>
      </c>
      <c r="DC24">
        <v>3.8838029999999999</v>
      </c>
      <c r="DD24">
        <v>864</v>
      </c>
      <c r="DE24">
        <v>3.6081490000000001</v>
      </c>
      <c r="DF24">
        <v>505</v>
      </c>
      <c r="DG24">
        <v>10.267823999999999</v>
      </c>
      <c r="DH24">
        <v>765</v>
      </c>
      <c r="DI24">
        <v>1.7881880000000001</v>
      </c>
      <c r="DJ24">
        <v>235</v>
      </c>
      <c r="DK24">
        <v>6.2394610000000004</v>
      </c>
      <c r="DL24">
        <v>365</v>
      </c>
      <c r="DM24" t="s">
        <v>273</v>
      </c>
      <c r="DN24">
        <v>5.0167419999999998</v>
      </c>
      <c r="DO24">
        <v>12.943818</v>
      </c>
      <c r="DP24">
        <v>6.4036160000000004</v>
      </c>
      <c r="DQ24" t="s">
        <v>282</v>
      </c>
      <c r="DR24">
        <v>7.7538039999999997</v>
      </c>
      <c r="DS24">
        <v>19.646901</v>
      </c>
      <c r="DT24">
        <v>46.748139000000002</v>
      </c>
      <c r="DU24">
        <v>75.070329999999998</v>
      </c>
      <c r="DV24">
        <v>111.530057</v>
      </c>
      <c r="DW24" t="s">
        <v>283</v>
      </c>
      <c r="DX24" t="s">
        <v>273</v>
      </c>
      <c r="DY24">
        <v>26.688822999999999</v>
      </c>
      <c r="DZ24">
        <v>5.5030999999999997E-2</v>
      </c>
      <c r="EA24">
        <v>1.5153760000000001</v>
      </c>
      <c r="EB24">
        <v>1.2472099999999999</v>
      </c>
      <c r="EC24">
        <v>82.303657000000001</v>
      </c>
      <c r="ED24">
        <v>21.582044</v>
      </c>
      <c r="EE24">
        <v>759.61230899999998</v>
      </c>
      <c r="EF24">
        <v>8.6499380000000006</v>
      </c>
      <c r="EG24">
        <v>31</v>
      </c>
      <c r="EH24">
        <v>31</v>
      </c>
      <c r="EI24">
        <v>24</v>
      </c>
      <c r="EJ24">
        <v>29</v>
      </c>
      <c r="EK24" t="s">
        <v>273</v>
      </c>
      <c r="EL24" t="s">
        <v>273</v>
      </c>
      <c r="EM24">
        <v>26.444051999999999</v>
      </c>
      <c r="EN24">
        <v>2.9343999999999999E-2</v>
      </c>
      <c r="EO24">
        <v>1.459735</v>
      </c>
      <c r="EP24">
        <v>1.1378349999999999</v>
      </c>
      <c r="EQ24">
        <v>77.948064000000002</v>
      </c>
      <c r="ER24">
        <v>20.053182</v>
      </c>
      <c r="ES24">
        <v>637.57549500000005</v>
      </c>
      <c r="ET24">
        <v>4.612368</v>
      </c>
      <c r="EU24">
        <v>28</v>
      </c>
      <c r="EV24">
        <v>28</v>
      </c>
      <c r="EW24">
        <v>28</v>
      </c>
      <c r="EX24">
        <v>28</v>
      </c>
      <c r="EY24" t="s">
        <v>273</v>
      </c>
      <c r="EZ24" t="s">
        <v>273</v>
      </c>
      <c r="FA24">
        <v>30.874095000000001</v>
      </c>
      <c r="FB24">
        <v>5.5574999999999999E-2</v>
      </c>
      <c r="FC24">
        <v>1.5152049999999999</v>
      </c>
      <c r="FD24">
        <v>1.2471650000000001</v>
      </c>
      <c r="FE24">
        <v>82.31</v>
      </c>
      <c r="FF24">
        <v>24.968188999999999</v>
      </c>
      <c r="FG24">
        <v>759.69845399999997</v>
      </c>
      <c r="FH24">
        <v>8.7354090000000006</v>
      </c>
      <c r="FI24">
        <v>31</v>
      </c>
      <c r="FJ24">
        <v>31</v>
      </c>
      <c r="FK24">
        <v>24</v>
      </c>
      <c r="FL24">
        <v>29</v>
      </c>
      <c r="FM24" t="s">
        <v>273</v>
      </c>
      <c r="FN24" t="s">
        <v>273</v>
      </c>
      <c r="FO24">
        <v>31.885503</v>
      </c>
      <c r="FP24">
        <v>8.8068999999999995E-2</v>
      </c>
      <c r="FQ24">
        <v>3.3856299999999999</v>
      </c>
      <c r="FR24">
        <v>2.961859</v>
      </c>
      <c r="FS24">
        <v>87.483247000000006</v>
      </c>
      <c r="FT24">
        <v>27.703861</v>
      </c>
      <c r="FU24">
        <v>640.85800800000004</v>
      </c>
      <c r="FV24">
        <v>13.842917999999999</v>
      </c>
      <c r="FW24">
        <v>27</v>
      </c>
      <c r="FX24">
        <v>27</v>
      </c>
      <c r="FY24">
        <v>27</v>
      </c>
      <c r="FZ24">
        <v>26</v>
      </c>
      <c r="GA24" t="s">
        <v>273</v>
      </c>
      <c r="GB24" t="s">
        <v>273</v>
      </c>
      <c r="GC24">
        <v>31.217804999999998</v>
      </c>
      <c r="GD24">
        <v>0.12697900000000001</v>
      </c>
      <c r="GE24">
        <v>1.655821</v>
      </c>
      <c r="GF24">
        <v>1.339224</v>
      </c>
      <c r="GG24">
        <v>80.879723999999996</v>
      </c>
      <c r="GH24">
        <v>24.563229</v>
      </c>
      <c r="GI24">
        <v>1629.8307850000001</v>
      </c>
      <c r="GJ24">
        <v>19.958908999999998</v>
      </c>
      <c r="GK24">
        <v>24</v>
      </c>
      <c r="GL24">
        <v>24</v>
      </c>
      <c r="GM24">
        <v>15</v>
      </c>
      <c r="GN24">
        <v>24</v>
      </c>
      <c r="GO24" t="s">
        <v>273</v>
      </c>
      <c r="GP24" t="s">
        <v>273</v>
      </c>
      <c r="GQ24">
        <v>32.459445000000002</v>
      </c>
      <c r="GR24">
        <v>0.17149700000000001</v>
      </c>
      <c r="GS24">
        <v>3.177978</v>
      </c>
      <c r="GT24">
        <v>2.7576369999999999</v>
      </c>
      <c r="GU24">
        <v>86.773326999999995</v>
      </c>
      <c r="GV24">
        <v>27.915237000000001</v>
      </c>
      <c r="GW24">
        <v>979.84634100000005</v>
      </c>
      <c r="GX24">
        <v>26.95635</v>
      </c>
      <c r="GY24">
        <v>69</v>
      </c>
      <c r="GZ24">
        <v>69</v>
      </c>
      <c r="HA24">
        <v>40</v>
      </c>
      <c r="HB24">
        <v>40</v>
      </c>
      <c r="HC24" t="s">
        <v>273</v>
      </c>
      <c r="HD24" t="s">
        <v>273</v>
      </c>
      <c r="HE24">
        <v>31</v>
      </c>
      <c r="HF24">
        <v>2.9999999999999997E-4</v>
      </c>
      <c r="HG24">
        <v>4.0000000000000001E-3</v>
      </c>
      <c r="HH24">
        <v>3.2258000000000002E-2</v>
      </c>
      <c r="HI24">
        <v>6500</v>
      </c>
    </row>
    <row r="25" spans="1:217" x14ac:dyDescent="0.3">
      <c r="A25">
        <v>285</v>
      </c>
      <c r="B25" t="s">
        <v>269</v>
      </c>
      <c r="F25" t="s">
        <v>270</v>
      </c>
      <c r="G25" t="s">
        <v>271</v>
      </c>
      <c r="H25" t="s">
        <v>272</v>
      </c>
      <c r="I25">
        <v>3750</v>
      </c>
      <c r="J25">
        <v>1</v>
      </c>
      <c r="K25">
        <v>27.461718999999999</v>
      </c>
      <c r="L25">
        <v>0.22</v>
      </c>
      <c r="M25">
        <v>8.2360000000000003E-3</v>
      </c>
      <c r="N25">
        <v>0</v>
      </c>
      <c r="O25">
        <v>0</v>
      </c>
      <c r="P25">
        <v>0</v>
      </c>
      <c r="Q25">
        <v>7.87</v>
      </c>
      <c r="R25">
        <v>1</v>
      </c>
      <c r="S25">
        <v>1</v>
      </c>
      <c r="T25">
        <v>1</v>
      </c>
      <c r="U25">
        <v>1</v>
      </c>
      <c r="V25">
        <v>100</v>
      </c>
      <c r="W25" t="s">
        <v>273</v>
      </c>
      <c r="X25" t="s">
        <v>274</v>
      </c>
      <c r="Y25" t="s">
        <v>274</v>
      </c>
      <c r="Z25" t="s">
        <v>273</v>
      </c>
      <c r="AA25" t="s">
        <v>275</v>
      </c>
      <c r="AB25" t="s">
        <v>276</v>
      </c>
      <c r="AC25">
        <v>329</v>
      </c>
      <c r="AD25">
        <v>5</v>
      </c>
      <c r="AE25" t="s">
        <v>277</v>
      </c>
      <c r="AF25">
        <v>3.166026</v>
      </c>
      <c r="AG25">
        <v>100</v>
      </c>
      <c r="AH25">
        <v>28.5</v>
      </c>
      <c r="AI25">
        <v>1710</v>
      </c>
      <c r="AJ25">
        <v>800</v>
      </c>
      <c r="AK25">
        <v>1200</v>
      </c>
      <c r="AL25">
        <v>179.2</v>
      </c>
      <c r="AM25">
        <v>2.2000000000000002</v>
      </c>
      <c r="AN25" t="s">
        <v>273</v>
      </c>
      <c r="AO25" t="s">
        <v>278</v>
      </c>
      <c r="AP25" t="s">
        <v>286</v>
      </c>
      <c r="AQ25">
        <v>2.8</v>
      </c>
      <c r="AR25">
        <v>4</v>
      </c>
      <c r="AS25">
        <v>157.19999999999999</v>
      </c>
      <c r="AT25">
        <v>286</v>
      </c>
      <c r="AU25">
        <v>0.16279199999999999</v>
      </c>
      <c r="AV25">
        <v>36.9</v>
      </c>
      <c r="AW25">
        <v>233.8</v>
      </c>
      <c r="AX25" t="s">
        <v>280</v>
      </c>
      <c r="AY25">
        <v>0</v>
      </c>
      <c r="AZ25" t="s">
        <v>281</v>
      </c>
      <c r="BA25">
        <v>0.2</v>
      </c>
      <c r="BB25">
        <v>0.5</v>
      </c>
      <c r="BC25" t="s">
        <v>273</v>
      </c>
      <c r="BD25" t="s">
        <v>273</v>
      </c>
      <c r="BE25">
        <v>32.786386999999998</v>
      </c>
      <c r="BF25">
        <v>33.163904000000002</v>
      </c>
      <c r="BG25">
        <v>261.28103800000002</v>
      </c>
      <c r="BH25" t="s">
        <v>273</v>
      </c>
      <c r="BI25">
        <v>54.440958999999999</v>
      </c>
      <c r="BJ25">
        <v>55.067815000000003</v>
      </c>
      <c r="BK25">
        <v>157.353241</v>
      </c>
      <c r="BL25" t="s">
        <v>273</v>
      </c>
      <c r="BM25">
        <v>54.444586999999999</v>
      </c>
      <c r="BN25">
        <v>55.071485000000003</v>
      </c>
      <c r="BO25">
        <v>157.34275500000001</v>
      </c>
      <c r="BP25" t="s">
        <v>273</v>
      </c>
      <c r="BQ25">
        <v>33.625436999999998</v>
      </c>
      <c r="BR25">
        <v>34.012614999999997</v>
      </c>
      <c r="BS25">
        <v>254.76133300000001</v>
      </c>
      <c r="BT25" t="s">
        <v>273</v>
      </c>
      <c r="BU25">
        <v>9.9494480000000003</v>
      </c>
      <c r="BV25">
        <v>10.06401</v>
      </c>
      <c r="BW25">
        <v>860.99867800000004</v>
      </c>
      <c r="BX25" t="s">
        <v>273</v>
      </c>
      <c r="BY25">
        <v>32.430059</v>
      </c>
      <c r="BZ25">
        <v>30.813402</v>
      </c>
      <c r="CA25">
        <v>37.653728000000001</v>
      </c>
      <c r="CB25">
        <v>54.444586999999999</v>
      </c>
      <c r="CC25">
        <v>19.336865</v>
      </c>
      <c r="CD25">
        <v>42.716341</v>
      </c>
      <c r="CE25" t="s">
        <v>273</v>
      </c>
      <c r="CF25">
        <v>32.803471999999999</v>
      </c>
      <c r="CG25">
        <v>31.168201</v>
      </c>
      <c r="CH25">
        <v>38.087288999999998</v>
      </c>
      <c r="CI25">
        <v>55.071485000000003</v>
      </c>
      <c r="CJ25">
        <v>19.559518000000001</v>
      </c>
      <c r="CK25">
        <v>43.208196000000001</v>
      </c>
      <c r="CL25" t="s">
        <v>273</v>
      </c>
      <c r="CM25">
        <v>264.15188999999998</v>
      </c>
      <c r="CN25">
        <v>278.01088499999997</v>
      </c>
      <c r="CO25">
        <v>227.506327</v>
      </c>
      <c r="CP25">
        <v>157.34275500000001</v>
      </c>
      <c r="CQ25">
        <v>443.01189099999999</v>
      </c>
      <c r="CR25">
        <v>200.54295500000001</v>
      </c>
      <c r="CS25" t="s">
        <v>273</v>
      </c>
      <c r="CT25">
        <v>314.773279</v>
      </c>
      <c r="CU25">
        <v>356.73491200000001</v>
      </c>
      <c r="CV25">
        <v>271.06461000000002</v>
      </c>
      <c r="CW25">
        <v>533.04011100000002</v>
      </c>
      <c r="CX25">
        <v>262.94149900000002</v>
      </c>
      <c r="CY25">
        <v>413.27668999999997</v>
      </c>
      <c r="CZ25" t="s">
        <v>273</v>
      </c>
      <c r="DA25">
        <v>3.6123120000000002</v>
      </c>
      <c r="DB25">
        <v>510.01</v>
      </c>
      <c r="DC25">
        <v>3.8897789999999999</v>
      </c>
      <c r="DD25">
        <v>864</v>
      </c>
      <c r="DE25">
        <v>3.6117729999999999</v>
      </c>
      <c r="DF25">
        <v>505</v>
      </c>
      <c r="DG25">
        <v>10.269617999999999</v>
      </c>
      <c r="DH25">
        <v>765</v>
      </c>
      <c r="DI25">
        <v>1.799223</v>
      </c>
      <c r="DJ25">
        <v>235</v>
      </c>
      <c r="DK25">
        <v>6.247045</v>
      </c>
      <c r="DL25">
        <v>365</v>
      </c>
      <c r="DM25" t="s">
        <v>273</v>
      </c>
      <c r="DN25">
        <v>3.4585300000000001</v>
      </c>
      <c r="DO25">
        <v>7.721921</v>
      </c>
      <c r="DP25">
        <v>3.9144079999999999</v>
      </c>
      <c r="DQ25" t="s">
        <v>282</v>
      </c>
      <c r="DR25">
        <v>4.3416220000000001</v>
      </c>
      <c r="DS25">
        <v>16.063465999999998</v>
      </c>
      <c r="DT25">
        <v>32.041415999999998</v>
      </c>
      <c r="DU25">
        <v>93.663531000000006</v>
      </c>
      <c r="DV25">
        <v>174.13907399999999</v>
      </c>
      <c r="DW25" t="s">
        <v>283</v>
      </c>
      <c r="DX25" t="s">
        <v>273</v>
      </c>
      <c r="DY25">
        <v>23.369320999999999</v>
      </c>
      <c r="DZ25">
        <v>3.1293000000000001E-2</v>
      </c>
      <c r="EA25">
        <v>0.85385200000000006</v>
      </c>
      <c r="EB25">
        <v>0.71213899999999997</v>
      </c>
      <c r="EC25">
        <v>83.403045000000006</v>
      </c>
      <c r="ED25">
        <v>19.071559000000001</v>
      </c>
      <c r="EE25">
        <v>431.51541300000002</v>
      </c>
      <c r="EF25">
        <v>4.9187159999999999</v>
      </c>
      <c r="EG25">
        <v>24</v>
      </c>
      <c r="EH25">
        <v>24</v>
      </c>
      <c r="EI25">
        <v>19</v>
      </c>
      <c r="EJ25">
        <v>23</v>
      </c>
      <c r="EK25" t="s">
        <v>273</v>
      </c>
      <c r="EL25" t="s">
        <v>273</v>
      </c>
      <c r="EM25">
        <v>22.170325999999999</v>
      </c>
      <c r="EN25">
        <v>1.8610000000000002E-2</v>
      </c>
      <c r="EO25">
        <v>0.91802899999999998</v>
      </c>
      <c r="EP25">
        <v>0.72511700000000001</v>
      </c>
      <c r="EQ25">
        <v>78.986289999999997</v>
      </c>
      <c r="ER25">
        <v>16.953668</v>
      </c>
      <c r="ES25">
        <v>403.72030999999998</v>
      </c>
      <c r="ET25">
        <v>2.9251</v>
      </c>
      <c r="EU25">
        <v>27</v>
      </c>
      <c r="EV25">
        <v>27</v>
      </c>
      <c r="EW25">
        <v>27</v>
      </c>
      <c r="EX25">
        <v>27</v>
      </c>
      <c r="EY25" t="s">
        <v>273</v>
      </c>
      <c r="EZ25" t="s">
        <v>273</v>
      </c>
      <c r="FA25">
        <v>27.122230999999999</v>
      </c>
      <c r="FB25">
        <v>3.1600999999999997E-2</v>
      </c>
      <c r="FC25">
        <v>0.85336900000000004</v>
      </c>
      <c r="FD25">
        <v>0.71209699999999998</v>
      </c>
      <c r="FE25">
        <v>83.445425999999998</v>
      </c>
      <c r="FF25">
        <v>22.145189999999999</v>
      </c>
      <c r="FG25">
        <v>431.54964200000001</v>
      </c>
      <c r="FH25">
        <v>4.9671669999999999</v>
      </c>
      <c r="FI25">
        <v>24</v>
      </c>
      <c r="FJ25">
        <v>24</v>
      </c>
      <c r="FK25">
        <v>19</v>
      </c>
      <c r="FL25">
        <v>23</v>
      </c>
      <c r="FM25" t="s">
        <v>273</v>
      </c>
      <c r="FN25" t="s">
        <v>273</v>
      </c>
      <c r="FO25">
        <v>27.495381999999999</v>
      </c>
      <c r="FP25">
        <v>4.4288000000000001E-2</v>
      </c>
      <c r="FQ25">
        <v>1.7012119999999999</v>
      </c>
      <c r="FR25">
        <v>1.493233</v>
      </c>
      <c r="FS25">
        <v>87.774692000000002</v>
      </c>
      <c r="FT25">
        <v>23.908567999999999</v>
      </c>
      <c r="FU25">
        <v>322.21933899999999</v>
      </c>
      <c r="FV25">
        <v>6.9613480000000001</v>
      </c>
      <c r="FW25">
        <v>10</v>
      </c>
      <c r="FX25">
        <v>10</v>
      </c>
      <c r="FY25">
        <v>10</v>
      </c>
      <c r="FZ25">
        <v>9</v>
      </c>
      <c r="GA25" t="s">
        <v>273</v>
      </c>
      <c r="GB25" t="s">
        <v>273</v>
      </c>
      <c r="GC25">
        <v>30.333333</v>
      </c>
      <c r="GD25">
        <v>7.1710999999999997E-2</v>
      </c>
      <c r="GE25">
        <v>0.92580200000000001</v>
      </c>
      <c r="GF25">
        <v>0.76123799999999997</v>
      </c>
      <c r="GG25">
        <v>82.224691000000007</v>
      </c>
      <c r="GH25">
        <v>24.107313999999999</v>
      </c>
      <c r="GI25">
        <v>914.78825900000004</v>
      </c>
      <c r="GJ25">
        <v>11.271623999999999</v>
      </c>
      <c r="GK25">
        <v>27</v>
      </c>
      <c r="GL25">
        <v>27</v>
      </c>
      <c r="GM25">
        <v>16</v>
      </c>
      <c r="GN25">
        <v>24</v>
      </c>
      <c r="GO25" t="s">
        <v>273</v>
      </c>
      <c r="GP25" t="s">
        <v>273</v>
      </c>
      <c r="GQ25">
        <v>29.779019999999999</v>
      </c>
      <c r="GR25">
        <v>7.7229999999999993E-2</v>
      </c>
      <c r="GS25">
        <v>1.4285319999999999</v>
      </c>
      <c r="GT25">
        <v>1.251484</v>
      </c>
      <c r="GU25">
        <v>87.606281999999993</v>
      </c>
      <c r="GV25">
        <v>25.656704000000001</v>
      </c>
      <c r="GW25">
        <v>440.71700399999997</v>
      </c>
      <c r="GX25">
        <v>12.139211</v>
      </c>
      <c r="GY25">
        <v>22</v>
      </c>
      <c r="GZ25">
        <v>22</v>
      </c>
      <c r="HA25">
        <v>12</v>
      </c>
      <c r="HB25">
        <v>14</v>
      </c>
      <c r="HC25" t="s">
        <v>273</v>
      </c>
      <c r="HD25" t="s">
        <v>273</v>
      </c>
      <c r="HE25">
        <v>18</v>
      </c>
      <c r="HF25">
        <v>5.0000000000000001E-4</v>
      </c>
      <c r="HG25">
        <v>3.0000000000000001E-3</v>
      </c>
      <c r="HH25">
        <v>5.5556000000000001E-2</v>
      </c>
      <c r="HI25">
        <v>3750</v>
      </c>
    </row>
    <row r="26" spans="1:217" x14ac:dyDescent="0.3">
      <c r="A26">
        <v>286</v>
      </c>
      <c r="B26" t="s">
        <v>269</v>
      </c>
      <c r="F26" t="s">
        <v>270</v>
      </c>
      <c r="G26" t="s">
        <v>271</v>
      </c>
      <c r="H26" t="s">
        <v>272</v>
      </c>
      <c r="I26">
        <v>3750</v>
      </c>
      <c r="J26">
        <v>1</v>
      </c>
      <c r="K26">
        <v>27.461718999999999</v>
      </c>
      <c r="L26">
        <v>0.22</v>
      </c>
      <c r="M26">
        <v>8.2360000000000003E-3</v>
      </c>
      <c r="N26">
        <v>0</v>
      </c>
      <c r="O26">
        <v>0</v>
      </c>
      <c r="P26">
        <v>0</v>
      </c>
      <c r="Q26">
        <v>7.87</v>
      </c>
      <c r="R26">
        <v>1</v>
      </c>
      <c r="S26">
        <v>1</v>
      </c>
      <c r="T26">
        <v>1</v>
      </c>
      <c r="U26">
        <v>1</v>
      </c>
      <c r="V26">
        <v>100</v>
      </c>
      <c r="W26" t="s">
        <v>273</v>
      </c>
      <c r="X26" t="s">
        <v>274</v>
      </c>
      <c r="Y26" t="s">
        <v>274</v>
      </c>
      <c r="Z26" t="s">
        <v>273</v>
      </c>
      <c r="AA26" t="s">
        <v>275</v>
      </c>
      <c r="AB26" t="s">
        <v>276</v>
      </c>
      <c r="AC26">
        <v>188</v>
      </c>
      <c r="AD26">
        <v>5</v>
      </c>
      <c r="AE26" t="s">
        <v>277</v>
      </c>
      <c r="AF26">
        <v>3.6103809999999998</v>
      </c>
      <c r="AG26">
        <v>100</v>
      </c>
      <c r="AH26">
        <v>32.5</v>
      </c>
      <c r="AI26">
        <v>1950</v>
      </c>
      <c r="AJ26">
        <v>800</v>
      </c>
      <c r="AK26">
        <v>1200</v>
      </c>
      <c r="AL26">
        <v>237.3</v>
      </c>
      <c r="AM26">
        <v>2.2000000000000002</v>
      </c>
      <c r="AN26" t="s">
        <v>273</v>
      </c>
      <c r="AO26" t="s">
        <v>278</v>
      </c>
      <c r="AP26" t="s">
        <v>287</v>
      </c>
      <c r="AQ26">
        <v>1.6</v>
      </c>
      <c r="AR26">
        <v>4</v>
      </c>
      <c r="AS26">
        <v>89.6</v>
      </c>
      <c r="AT26">
        <v>163.1</v>
      </c>
      <c r="AU26">
        <v>9.3023999999999996E-2</v>
      </c>
      <c r="AV26">
        <v>36</v>
      </c>
      <c r="AW26">
        <v>239.3</v>
      </c>
      <c r="AX26" t="s">
        <v>280</v>
      </c>
      <c r="AY26">
        <v>0</v>
      </c>
      <c r="AZ26" t="s">
        <v>281</v>
      </c>
      <c r="BA26">
        <v>0.2</v>
      </c>
      <c r="BB26">
        <v>0.5</v>
      </c>
      <c r="BC26" t="s">
        <v>273</v>
      </c>
      <c r="BD26" t="s">
        <v>273</v>
      </c>
      <c r="BE26">
        <v>36.303753</v>
      </c>
      <c r="BF26">
        <v>36.721769999999999</v>
      </c>
      <c r="BG26">
        <v>235.966273</v>
      </c>
      <c r="BH26" t="s">
        <v>273</v>
      </c>
      <c r="BI26">
        <v>57.869582000000001</v>
      </c>
      <c r="BJ26">
        <v>58.535918000000002</v>
      </c>
      <c r="BK26">
        <v>148.03046599999999</v>
      </c>
      <c r="BL26" t="s">
        <v>273</v>
      </c>
      <c r="BM26">
        <v>57.873328999999998</v>
      </c>
      <c r="BN26">
        <v>58.539707999999997</v>
      </c>
      <c r="BO26">
        <v>148.020883</v>
      </c>
      <c r="BP26" t="s">
        <v>273</v>
      </c>
      <c r="BQ26">
        <v>33.898335000000003</v>
      </c>
      <c r="BR26">
        <v>34.288654999999999</v>
      </c>
      <c r="BS26">
        <v>252.710384</v>
      </c>
      <c r="BT26" t="s">
        <v>273</v>
      </c>
      <c r="BU26">
        <v>13.459296999999999</v>
      </c>
      <c r="BV26">
        <v>13.614273000000001</v>
      </c>
      <c r="BW26">
        <v>636.47166100000004</v>
      </c>
      <c r="BX26" t="s">
        <v>273</v>
      </c>
      <c r="BY26">
        <v>34.584747999999998</v>
      </c>
      <c r="BZ26">
        <v>35.263773999999998</v>
      </c>
      <c r="CA26">
        <v>40.032710000000002</v>
      </c>
      <c r="CB26">
        <v>57.873328999999998</v>
      </c>
      <c r="CC26">
        <v>19.021661000000002</v>
      </c>
      <c r="CD26">
        <v>43.696829000000001</v>
      </c>
      <c r="CE26" t="s">
        <v>273</v>
      </c>
      <c r="CF26">
        <v>34.982971999999997</v>
      </c>
      <c r="CG26">
        <v>35.669815999999997</v>
      </c>
      <c r="CH26">
        <v>40.493664000000003</v>
      </c>
      <c r="CI26">
        <v>58.539707999999997</v>
      </c>
      <c r="CJ26">
        <v>19.240684999999999</v>
      </c>
      <c r="CK26">
        <v>44.199973999999997</v>
      </c>
      <c r="CL26" t="s">
        <v>273</v>
      </c>
      <c r="CM26">
        <v>247.69477000000001</v>
      </c>
      <c r="CN26">
        <v>242.92525599999999</v>
      </c>
      <c r="CO26">
        <v>213.986546</v>
      </c>
      <c r="CP26">
        <v>148.020883</v>
      </c>
      <c r="CQ26">
        <v>450.35294900000002</v>
      </c>
      <c r="CR26">
        <v>196.04308599999999</v>
      </c>
      <c r="CS26" t="s">
        <v>273</v>
      </c>
      <c r="CT26">
        <v>294.75777299999999</v>
      </c>
      <c r="CU26">
        <v>310.88481000000002</v>
      </c>
      <c r="CV26">
        <v>254.60442599999999</v>
      </c>
      <c r="CW26">
        <v>501.37270999999998</v>
      </c>
      <c r="CX26">
        <v>265.878444</v>
      </c>
      <c r="CY26">
        <v>403.67292400000002</v>
      </c>
      <c r="CZ26" t="s">
        <v>273</v>
      </c>
      <c r="DA26">
        <v>3.607361</v>
      </c>
      <c r="DB26">
        <v>510.01</v>
      </c>
      <c r="DC26">
        <v>3.8794300000000002</v>
      </c>
      <c r="DD26">
        <v>864</v>
      </c>
      <c r="DE26">
        <v>3.6067879999999999</v>
      </c>
      <c r="DF26">
        <v>505</v>
      </c>
      <c r="DG26">
        <v>10.267834000000001</v>
      </c>
      <c r="DH26">
        <v>765</v>
      </c>
      <c r="DI26">
        <v>1.789663</v>
      </c>
      <c r="DJ26">
        <v>235</v>
      </c>
      <c r="DK26">
        <v>6.2419349999999998</v>
      </c>
      <c r="DL26">
        <v>365</v>
      </c>
      <c r="DM26" t="s">
        <v>273</v>
      </c>
      <c r="DN26">
        <v>4.8178089999999996</v>
      </c>
      <c r="DO26">
        <v>12.304320000000001</v>
      </c>
      <c r="DP26">
        <v>5.8861189999999999</v>
      </c>
      <c r="DQ26" t="s">
        <v>282</v>
      </c>
      <c r="DR26">
        <v>9.1918190000000006</v>
      </c>
      <c r="DS26">
        <v>19.406330000000001</v>
      </c>
      <c r="DT26">
        <v>46.788587999999997</v>
      </c>
      <c r="DU26">
        <v>76.628730000000004</v>
      </c>
      <c r="DV26">
        <v>136.86633499999999</v>
      </c>
      <c r="DW26" t="s">
        <v>283</v>
      </c>
      <c r="DX26" t="s">
        <v>273</v>
      </c>
      <c r="DY26">
        <v>24.841932</v>
      </c>
      <c r="DZ26">
        <v>5.4836000000000003E-2</v>
      </c>
      <c r="EA26">
        <v>0.84994199999999998</v>
      </c>
      <c r="EB26">
        <v>0.70886400000000005</v>
      </c>
      <c r="EC26">
        <v>83.401388999999995</v>
      </c>
      <c r="ED26">
        <v>20.344037</v>
      </c>
      <c r="EE26">
        <v>431.62936000000002</v>
      </c>
      <c r="EF26">
        <v>4.9132709999999999</v>
      </c>
      <c r="EG26">
        <v>28</v>
      </c>
      <c r="EH26">
        <v>28</v>
      </c>
      <c r="EI26">
        <v>23</v>
      </c>
      <c r="EJ26">
        <v>27</v>
      </c>
      <c r="EK26" t="s">
        <v>273</v>
      </c>
      <c r="EL26" t="s">
        <v>273</v>
      </c>
      <c r="EM26">
        <v>24.961950999999999</v>
      </c>
      <c r="EN26">
        <v>3.2564000000000003E-2</v>
      </c>
      <c r="EO26">
        <v>0.90077600000000002</v>
      </c>
      <c r="EP26">
        <v>0.71733499999999994</v>
      </c>
      <c r="EQ26">
        <v>79.635208000000006</v>
      </c>
      <c r="ER26">
        <v>19.404958000000001</v>
      </c>
      <c r="ES26">
        <v>403.77716600000002</v>
      </c>
      <c r="ET26">
        <v>2.9177279999999999</v>
      </c>
      <c r="EU26">
        <v>36</v>
      </c>
      <c r="EV26">
        <v>36</v>
      </c>
      <c r="EW26">
        <v>36</v>
      </c>
      <c r="EX26">
        <v>35</v>
      </c>
      <c r="EY26" t="s">
        <v>273</v>
      </c>
      <c r="EZ26" t="s">
        <v>273</v>
      </c>
      <c r="FA26">
        <v>28.751422000000002</v>
      </c>
      <c r="FB26">
        <v>5.5375000000000001E-2</v>
      </c>
      <c r="FC26">
        <v>0.84969700000000004</v>
      </c>
      <c r="FD26">
        <v>0.70880900000000002</v>
      </c>
      <c r="FE26">
        <v>83.419077000000001</v>
      </c>
      <c r="FF26">
        <v>23.550487</v>
      </c>
      <c r="FG26">
        <v>431.66333200000003</v>
      </c>
      <c r="FH26">
        <v>4.9616179999999996</v>
      </c>
      <c r="FI26">
        <v>28</v>
      </c>
      <c r="FJ26">
        <v>28</v>
      </c>
      <c r="FK26">
        <v>23</v>
      </c>
      <c r="FL26">
        <v>27</v>
      </c>
      <c r="FM26" t="s">
        <v>273</v>
      </c>
      <c r="FN26" t="s">
        <v>273</v>
      </c>
      <c r="FO26">
        <v>29.189753</v>
      </c>
      <c r="FP26">
        <v>7.7614000000000002E-2</v>
      </c>
      <c r="FQ26">
        <v>1.6987509999999999</v>
      </c>
      <c r="FR26">
        <v>1.4896830000000001</v>
      </c>
      <c r="FS26">
        <v>87.692825999999997</v>
      </c>
      <c r="FT26">
        <v>25.392627000000001</v>
      </c>
      <c r="FU26">
        <v>321.94516299999998</v>
      </c>
      <c r="FV26">
        <v>6.9542159999999997</v>
      </c>
      <c r="FW26">
        <v>19</v>
      </c>
      <c r="FX26">
        <v>19</v>
      </c>
      <c r="FY26">
        <v>19</v>
      </c>
      <c r="FZ26">
        <v>19</v>
      </c>
      <c r="GA26" t="s">
        <v>273</v>
      </c>
      <c r="GB26" t="s">
        <v>273</v>
      </c>
      <c r="GC26">
        <v>29.816787999999999</v>
      </c>
      <c r="GD26">
        <v>0.12598699999999999</v>
      </c>
      <c r="GE26">
        <v>0.92020100000000005</v>
      </c>
      <c r="GF26">
        <v>0.75874399999999997</v>
      </c>
      <c r="GG26">
        <v>82.454192000000006</v>
      </c>
      <c r="GH26">
        <v>23.87649</v>
      </c>
      <c r="GI26">
        <v>921.04417899999999</v>
      </c>
      <c r="GJ26">
        <v>11.288409</v>
      </c>
      <c r="GK26">
        <v>29</v>
      </c>
      <c r="GL26">
        <v>29</v>
      </c>
      <c r="GM26">
        <v>15</v>
      </c>
      <c r="GN26">
        <v>28</v>
      </c>
      <c r="GO26" t="s">
        <v>273</v>
      </c>
      <c r="GP26" t="s">
        <v>273</v>
      </c>
      <c r="GQ26">
        <v>30.386807000000001</v>
      </c>
      <c r="GR26">
        <v>0.134606</v>
      </c>
      <c r="GS26">
        <v>1.4238139999999999</v>
      </c>
      <c r="GT26">
        <v>1.238596</v>
      </c>
      <c r="GU26">
        <v>86.991392000000005</v>
      </c>
      <c r="GV26">
        <v>26.097280000000001</v>
      </c>
      <c r="GW26">
        <v>438.226201</v>
      </c>
      <c r="GX26">
        <v>12.06073</v>
      </c>
      <c r="GY26">
        <v>29</v>
      </c>
      <c r="GZ26">
        <v>29</v>
      </c>
      <c r="HA26">
        <v>17</v>
      </c>
      <c r="HB26">
        <v>18</v>
      </c>
      <c r="HC26" t="s">
        <v>273</v>
      </c>
      <c r="HD26" t="s">
        <v>273</v>
      </c>
      <c r="HE26">
        <v>31</v>
      </c>
      <c r="HF26">
        <v>5.0000000000000001E-4</v>
      </c>
      <c r="HG26">
        <v>3.0000000000000001E-3</v>
      </c>
      <c r="HH26">
        <v>3.2258000000000002E-2</v>
      </c>
      <c r="HI26">
        <v>3750</v>
      </c>
    </row>
    <row r="27" spans="1:217" x14ac:dyDescent="0.3">
      <c r="A27">
        <v>287</v>
      </c>
      <c r="B27" t="s">
        <v>269</v>
      </c>
      <c r="F27" t="s">
        <v>270</v>
      </c>
      <c r="G27" t="s">
        <v>271</v>
      </c>
      <c r="H27" t="s">
        <v>272</v>
      </c>
      <c r="I27">
        <v>5250</v>
      </c>
      <c r="J27">
        <v>1</v>
      </c>
      <c r="K27">
        <v>39.766406000000003</v>
      </c>
      <c r="L27">
        <v>0.22</v>
      </c>
      <c r="M27">
        <v>1.2631E-2</v>
      </c>
      <c r="N27">
        <v>0</v>
      </c>
      <c r="O27">
        <v>0</v>
      </c>
      <c r="P27">
        <v>0</v>
      </c>
      <c r="Q27">
        <v>10.98</v>
      </c>
      <c r="R27">
        <v>1</v>
      </c>
      <c r="S27">
        <v>1</v>
      </c>
      <c r="T27">
        <v>1</v>
      </c>
      <c r="U27">
        <v>1</v>
      </c>
      <c r="V27">
        <v>100</v>
      </c>
      <c r="W27" t="s">
        <v>273</v>
      </c>
      <c r="X27" t="s">
        <v>274</v>
      </c>
      <c r="Y27" t="s">
        <v>274</v>
      </c>
      <c r="Z27" t="s">
        <v>273</v>
      </c>
      <c r="AA27" t="s">
        <v>275</v>
      </c>
      <c r="AB27" t="s">
        <v>276</v>
      </c>
      <c r="AC27">
        <v>258</v>
      </c>
      <c r="AD27">
        <v>5</v>
      </c>
      <c r="AE27" t="s">
        <v>277</v>
      </c>
      <c r="AF27">
        <v>3.221571</v>
      </c>
      <c r="AG27">
        <v>100</v>
      </c>
      <c r="AH27">
        <v>29</v>
      </c>
      <c r="AI27">
        <v>1740</v>
      </c>
      <c r="AJ27">
        <v>800</v>
      </c>
      <c r="AK27">
        <v>1200</v>
      </c>
      <c r="AL27">
        <v>202.3</v>
      </c>
      <c r="AM27">
        <v>2.2000000000000002</v>
      </c>
      <c r="AN27" t="s">
        <v>273</v>
      </c>
      <c r="AO27" t="s">
        <v>278</v>
      </c>
      <c r="AP27" t="s">
        <v>285</v>
      </c>
      <c r="AQ27">
        <v>2.2000000000000002</v>
      </c>
      <c r="AR27">
        <v>4</v>
      </c>
      <c r="AS27">
        <v>123.4</v>
      </c>
      <c r="AT27">
        <v>224.5</v>
      </c>
      <c r="AU27">
        <v>0.12790799999999999</v>
      </c>
      <c r="AV27">
        <v>36.5</v>
      </c>
      <c r="AW27">
        <v>236.1</v>
      </c>
      <c r="AX27" t="s">
        <v>280</v>
      </c>
      <c r="AY27">
        <v>0</v>
      </c>
      <c r="AZ27" t="s">
        <v>281</v>
      </c>
      <c r="BA27">
        <v>0.2</v>
      </c>
      <c r="BB27">
        <v>0.5</v>
      </c>
      <c r="BC27" t="s">
        <v>273</v>
      </c>
      <c r="BD27" t="s">
        <v>273</v>
      </c>
      <c r="BE27">
        <v>26.851258999999999</v>
      </c>
      <c r="BF27">
        <v>27.160437000000002</v>
      </c>
      <c r="BG27">
        <v>319.03387099999998</v>
      </c>
      <c r="BH27" t="s">
        <v>273</v>
      </c>
      <c r="BI27">
        <v>43.138621000000001</v>
      </c>
      <c r="BJ27">
        <v>43.635337999999997</v>
      </c>
      <c r="BK27">
        <v>198.57986</v>
      </c>
      <c r="BL27" t="s">
        <v>273</v>
      </c>
      <c r="BM27">
        <v>43.141461999999997</v>
      </c>
      <c r="BN27">
        <v>43.638210999999998</v>
      </c>
      <c r="BO27">
        <v>198.56678400000001</v>
      </c>
      <c r="BP27" t="s">
        <v>273</v>
      </c>
      <c r="BQ27">
        <v>24.744243999999998</v>
      </c>
      <c r="BR27">
        <v>25.029160000000001</v>
      </c>
      <c r="BS27">
        <v>346.20015999999998</v>
      </c>
      <c r="BT27" t="s">
        <v>273</v>
      </c>
      <c r="BU27">
        <v>9.7856039999999993</v>
      </c>
      <c r="BV27">
        <v>9.8982799999999997</v>
      </c>
      <c r="BW27">
        <v>875.41464900000005</v>
      </c>
      <c r="BX27" t="s">
        <v>273</v>
      </c>
      <c r="BY27">
        <v>25.630331999999999</v>
      </c>
      <c r="BZ27">
        <v>26.049944</v>
      </c>
      <c r="CA27">
        <v>29.636876000000001</v>
      </c>
      <c r="CB27">
        <v>43.141461999999997</v>
      </c>
      <c r="CC27">
        <v>13.780492000000001</v>
      </c>
      <c r="CD27">
        <v>32.04768</v>
      </c>
      <c r="CE27" t="s">
        <v>273</v>
      </c>
      <c r="CF27">
        <v>25.925450999999999</v>
      </c>
      <c r="CG27">
        <v>26.349893999999999</v>
      </c>
      <c r="CH27">
        <v>29.978128000000002</v>
      </c>
      <c r="CI27">
        <v>43.638210999999998</v>
      </c>
      <c r="CJ27">
        <v>13.939166</v>
      </c>
      <c r="CK27">
        <v>32.416691</v>
      </c>
      <c r="CL27" t="s">
        <v>273</v>
      </c>
      <c r="CM27">
        <v>334.23138299999999</v>
      </c>
      <c r="CN27">
        <v>328.84759200000002</v>
      </c>
      <c r="CO27">
        <v>289.04737299999999</v>
      </c>
      <c r="CP27">
        <v>198.56678400000001</v>
      </c>
      <c r="CQ27">
        <v>621.63684499999999</v>
      </c>
      <c r="CR27">
        <v>267.30363299999999</v>
      </c>
      <c r="CS27" t="s">
        <v>273</v>
      </c>
      <c r="CT27">
        <v>397.75607000000002</v>
      </c>
      <c r="CU27">
        <v>420.93389400000001</v>
      </c>
      <c r="CV27">
        <v>343.93270000000001</v>
      </c>
      <c r="CW27">
        <v>672.569886</v>
      </c>
      <c r="CX27">
        <v>366.51944700000001</v>
      </c>
      <c r="CY27">
        <v>550.21070399999996</v>
      </c>
      <c r="CZ27" t="s">
        <v>273</v>
      </c>
      <c r="DA27">
        <v>3.6075360000000001</v>
      </c>
      <c r="DB27">
        <v>510.01</v>
      </c>
      <c r="DC27">
        <v>3.8802560000000001</v>
      </c>
      <c r="DD27">
        <v>864</v>
      </c>
      <c r="DE27">
        <v>3.606995</v>
      </c>
      <c r="DF27">
        <v>505</v>
      </c>
      <c r="DG27">
        <v>10.267671</v>
      </c>
      <c r="DH27">
        <v>765</v>
      </c>
      <c r="DI27">
        <v>1.7873159999999999</v>
      </c>
      <c r="DJ27">
        <v>235</v>
      </c>
      <c r="DK27">
        <v>6.2397229999999997</v>
      </c>
      <c r="DL27">
        <v>365</v>
      </c>
      <c r="DM27" t="s">
        <v>273</v>
      </c>
      <c r="DN27">
        <v>5.1180500000000002</v>
      </c>
      <c r="DO27">
        <v>13.142818999999999</v>
      </c>
      <c r="DP27">
        <v>6.6656620000000002</v>
      </c>
      <c r="DQ27" t="s">
        <v>282</v>
      </c>
      <c r="DR27">
        <v>7.663373</v>
      </c>
      <c r="DS27">
        <v>19.762976999999999</v>
      </c>
      <c r="DT27">
        <v>47.234831</v>
      </c>
      <c r="DU27">
        <v>75.593385999999995</v>
      </c>
      <c r="DV27">
        <v>137.457718</v>
      </c>
      <c r="DW27" t="s">
        <v>283</v>
      </c>
      <c r="DX27" t="s">
        <v>273</v>
      </c>
      <c r="DY27">
        <v>26.142837</v>
      </c>
      <c r="DZ27">
        <v>5.5670999999999998E-2</v>
      </c>
      <c r="EA27">
        <v>1.207003</v>
      </c>
      <c r="EB27">
        <v>0.99091099999999999</v>
      </c>
      <c r="EC27">
        <v>82.096824999999995</v>
      </c>
      <c r="ED27">
        <v>21.078078999999999</v>
      </c>
      <c r="EE27">
        <v>603.44164699999999</v>
      </c>
      <c r="EF27">
        <v>6.8693590000000002</v>
      </c>
      <c r="EG27">
        <v>32</v>
      </c>
      <c r="EH27">
        <v>32</v>
      </c>
      <c r="EI27">
        <v>25</v>
      </c>
      <c r="EJ27">
        <v>31</v>
      </c>
      <c r="EK27" t="s">
        <v>273</v>
      </c>
      <c r="EL27" t="s">
        <v>273</v>
      </c>
      <c r="EM27">
        <v>26.332492999999999</v>
      </c>
      <c r="EN27">
        <v>3.3086999999999998E-2</v>
      </c>
      <c r="EO27">
        <v>1.2866029999999999</v>
      </c>
      <c r="EP27">
        <v>1.0042139999999999</v>
      </c>
      <c r="EQ27">
        <v>78.051554999999993</v>
      </c>
      <c r="ER27">
        <v>20.053794</v>
      </c>
      <c r="ES27">
        <v>564.86832200000003</v>
      </c>
      <c r="ET27">
        <v>4.0826549999999999</v>
      </c>
      <c r="EU27">
        <v>28</v>
      </c>
      <c r="EV27">
        <v>28</v>
      </c>
      <c r="EW27">
        <v>27</v>
      </c>
      <c r="EX27">
        <v>28</v>
      </c>
      <c r="EY27" t="s">
        <v>273</v>
      </c>
      <c r="EZ27" t="s">
        <v>273</v>
      </c>
      <c r="FA27">
        <v>30.259414</v>
      </c>
      <c r="FB27">
        <v>5.6219999999999999E-2</v>
      </c>
      <c r="FC27">
        <v>1.208016</v>
      </c>
      <c r="FD27">
        <v>0.99085100000000004</v>
      </c>
      <c r="FE27">
        <v>82.022989999999993</v>
      </c>
      <c r="FF27">
        <v>24.374794999999999</v>
      </c>
      <c r="FG27">
        <v>603.48807399999998</v>
      </c>
      <c r="FH27">
        <v>6.9370010000000004</v>
      </c>
      <c r="FI27">
        <v>31</v>
      </c>
      <c r="FJ27">
        <v>31</v>
      </c>
      <c r="FK27">
        <v>26</v>
      </c>
      <c r="FL27">
        <v>30</v>
      </c>
      <c r="FM27" t="s">
        <v>273</v>
      </c>
      <c r="FN27" t="s">
        <v>273</v>
      </c>
      <c r="FO27">
        <v>30.545729000000001</v>
      </c>
      <c r="FP27">
        <v>7.8711000000000003E-2</v>
      </c>
      <c r="FQ27">
        <v>2.3846609999999999</v>
      </c>
      <c r="FR27">
        <v>2.08</v>
      </c>
      <c r="FS27">
        <v>87.224149999999995</v>
      </c>
      <c r="FT27">
        <v>26.436423000000001</v>
      </c>
      <c r="FU27">
        <v>449.63553300000001</v>
      </c>
      <c r="FV27">
        <v>9.7122539999999997</v>
      </c>
      <c r="FW27">
        <v>28</v>
      </c>
      <c r="FX27">
        <v>28</v>
      </c>
      <c r="FY27">
        <v>28</v>
      </c>
      <c r="FZ27">
        <v>26</v>
      </c>
      <c r="GA27" t="s">
        <v>273</v>
      </c>
      <c r="GB27" t="s">
        <v>273</v>
      </c>
      <c r="GC27">
        <v>30.765612000000001</v>
      </c>
      <c r="GD27">
        <v>0.127942</v>
      </c>
      <c r="GE27">
        <v>1.3088839999999999</v>
      </c>
      <c r="GF27">
        <v>1.0595019999999999</v>
      </c>
      <c r="GG27">
        <v>80.946967000000001</v>
      </c>
      <c r="GH27">
        <v>24.222673</v>
      </c>
      <c r="GI27">
        <v>1289.7799769999999</v>
      </c>
      <c r="GJ27">
        <v>15.786944</v>
      </c>
      <c r="GK27">
        <v>25</v>
      </c>
      <c r="GL27">
        <v>25</v>
      </c>
      <c r="GM27">
        <v>15</v>
      </c>
      <c r="GN27">
        <v>25</v>
      </c>
      <c r="GO27" t="s">
        <v>273</v>
      </c>
      <c r="GP27" t="s">
        <v>273</v>
      </c>
      <c r="GQ27">
        <v>31.421589999999998</v>
      </c>
      <c r="GR27">
        <v>0.13700200000000001</v>
      </c>
      <c r="GS27">
        <v>2.0067620000000002</v>
      </c>
      <c r="GT27">
        <v>1.735466</v>
      </c>
      <c r="GU27">
        <v>86.480911000000006</v>
      </c>
      <c r="GV27">
        <v>26.836901999999998</v>
      </c>
      <c r="GW27">
        <v>614.45313399999998</v>
      </c>
      <c r="GX27">
        <v>16.904802</v>
      </c>
      <c r="GY27">
        <v>45</v>
      </c>
      <c r="GZ27">
        <v>45</v>
      </c>
      <c r="HA27">
        <v>27</v>
      </c>
      <c r="HB27">
        <v>28</v>
      </c>
      <c r="HC27" t="s">
        <v>273</v>
      </c>
      <c r="HD27" t="s">
        <v>273</v>
      </c>
      <c r="HE27">
        <v>31</v>
      </c>
      <c r="HF27">
        <v>5.0000000000000001E-4</v>
      </c>
      <c r="HG27">
        <v>3.0000000000000001E-3</v>
      </c>
      <c r="HH27">
        <v>3.2258000000000002E-2</v>
      </c>
      <c r="HI27">
        <v>5250</v>
      </c>
    </row>
    <row r="28" spans="1:217" x14ac:dyDescent="0.3">
      <c r="A28">
        <v>288</v>
      </c>
      <c r="B28" t="s">
        <v>269</v>
      </c>
      <c r="F28" t="s">
        <v>270</v>
      </c>
      <c r="G28" t="s">
        <v>271</v>
      </c>
      <c r="H28" t="s">
        <v>272</v>
      </c>
      <c r="I28">
        <v>6500</v>
      </c>
      <c r="J28">
        <v>1</v>
      </c>
      <c r="K28">
        <v>50.020313000000002</v>
      </c>
      <c r="L28">
        <v>0.22</v>
      </c>
      <c r="M28">
        <v>1.6292999999999998E-2</v>
      </c>
      <c r="N28">
        <v>0</v>
      </c>
      <c r="O28">
        <v>0</v>
      </c>
      <c r="P28">
        <v>0</v>
      </c>
      <c r="Q28">
        <v>13.57</v>
      </c>
      <c r="R28">
        <v>1</v>
      </c>
      <c r="S28">
        <v>1</v>
      </c>
      <c r="T28">
        <v>1</v>
      </c>
      <c r="U28">
        <v>1</v>
      </c>
      <c r="V28">
        <v>100</v>
      </c>
      <c r="W28" t="s">
        <v>273</v>
      </c>
      <c r="X28" t="s">
        <v>274</v>
      </c>
      <c r="Y28" t="s">
        <v>274</v>
      </c>
      <c r="Z28" t="s">
        <v>273</v>
      </c>
      <c r="AA28" t="s">
        <v>275</v>
      </c>
      <c r="AB28" t="s">
        <v>276</v>
      </c>
      <c r="AC28">
        <v>329</v>
      </c>
      <c r="AD28">
        <v>5</v>
      </c>
      <c r="AE28" t="s">
        <v>277</v>
      </c>
      <c r="AF28">
        <v>3.166026</v>
      </c>
      <c r="AG28">
        <v>100</v>
      </c>
      <c r="AH28">
        <v>28.5</v>
      </c>
      <c r="AI28">
        <v>1710</v>
      </c>
      <c r="AJ28">
        <v>800</v>
      </c>
      <c r="AK28">
        <v>1200</v>
      </c>
      <c r="AL28">
        <v>179.2</v>
      </c>
      <c r="AM28">
        <v>2.2000000000000002</v>
      </c>
      <c r="AN28" t="s">
        <v>273</v>
      </c>
      <c r="AO28" t="s">
        <v>278</v>
      </c>
      <c r="AP28" t="s">
        <v>286</v>
      </c>
      <c r="AQ28">
        <v>2.8</v>
      </c>
      <c r="AR28">
        <v>4</v>
      </c>
      <c r="AS28">
        <v>157.19999999999999</v>
      </c>
      <c r="AT28">
        <v>286</v>
      </c>
      <c r="AU28">
        <v>0.16279199999999999</v>
      </c>
      <c r="AV28">
        <v>36.9</v>
      </c>
      <c r="AW28">
        <v>233.8</v>
      </c>
      <c r="AX28" t="s">
        <v>280</v>
      </c>
      <c r="AY28">
        <v>0</v>
      </c>
      <c r="AZ28" t="s">
        <v>281</v>
      </c>
      <c r="BA28">
        <v>0.2</v>
      </c>
      <c r="BB28">
        <v>0.5</v>
      </c>
      <c r="BC28" t="s">
        <v>273</v>
      </c>
      <c r="BD28" t="s">
        <v>273</v>
      </c>
      <c r="BE28">
        <v>22.13222</v>
      </c>
      <c r="BF28">
        <v>22.387060000000002</v>
      </c>
      <c r="BG28">
        <v>387.05838299999999</v>
      </c>
      <c r="BH28" t="s">
        <v>273</v>
      </c>
      <c r="BI28">
        <v>35.573667</v>
      </c>
      <c r="BJ28">
        <v>35.983277000000001</v>
      </c>
      <c r="BK28">
        <v>240.80906200000001</v>
      </c>
      <c r="BL28" t="s">
        <v>273</v>
      </c>
      <c r="BM28">
        <v>35.575586999999999</v>
      </c>
      <c r="BN28">
        <v>35.985219999999998</v>
      </c>
      <c r="BO28">
        <v>240.79606100000001</v>
      </c>
      <c r="BP28" t="s">
        <v>273</v>
      </c>
      <c r="BQ28">
        <v>20.243756000000001</v>
      </c>
      <c r="BR28">
        <v>20.476852000000001</v>
      </c>
      <c r="BS28">
        <v>423.16559599999999</v>
      </c>
      <c r="BT28" t="s">
        <v>273</v>
      </c>
      <c r="BU28">
        <v>7.8299789999999998</v>
      </c>
      <c r="BV28">
        <v>7.9201370000000004</v>
      </c>
      <c r="BW28">
        <v>1094.059223</v>
      </c>
      <c r="BX28" t="s">
        <v>273</v>
      </c>
      <c r="BY28">
        <v>21.076089</v>
      </c>
      <c r="BZ28">
        <v>21.511219000000001</v>
      </c>
      <c r="CA28">
        <v>24.382480999999999</v>
      </c>
      <c r="CB28">
        <v>35.575586999999999</v>
      </c>
      <c r="CC28">
        <v>11.294026000000001</v>
      </c>
      <c r="CD28">
        <v>26.191638999999999</v>
      </c>
      <c r="CE28" t="s">
        <v>273</v>
      </c>
      <c r="CF28">
        <v>21.318767999999999</v>
      </c>
      <c r="CG28">
        <v>21.758908999999999</v>
      </c>
      <c r="CH28">
        <v>24.663231</v>
      </c>
      <c r="CI28">
        <v>35.985219999999998</v>
      </c>
      <c r="CJ28">
        <v>11.42407</v>
      </c>
      <c r="CK28">
        <v>26.493220999999998</v>
      </c>
      <c r="CL28" t="s">
        <v>273</v>
      </c>
      <c r="CM28">
        <v>406.45403599999997</v>
      </c>
      <c r="CN28">
        <v>398.23225200000002</v>
      </c>
      <c r="CO28">
        <v>351.33673599999997</v>
      </c>
      <c r="CP28">
        <v>240.79606100000001</v>
      </c>
      <c r="CQ28">
        <v>758.49493900000004</v>
      </c>
      <c r="CR28">
        <v>327.06854499999997</v>
      </c>
      <c r="CS28" t="s">
        <v>273</v>
      </c>
      <c r="CT28">
        <v>483.769813</v>
      </c>
      <c r="CU28">
        <v>509.83780400000001</v>
      </c>
      <c r="CV28">
        <v>418.10435000000001</v>
      </c>
      <c r="CW28">
        <v>815.62974099999997</v>
      </c>
      <c r="CX28">
        <v>447.48236300000002</v>
      </c>
      <c r="CY28">
        <v>673.32309799999996</v>
      </c>
      <c r="CZ28" t="s">
        <v>273</v>
      </c>
      <c r="DA28">
        <v>3.6080160000000001</v>
      </c>
      <c r="DB28">
        <v>510.01</v>
      </c>
      <c r="DC28">
        <v>3.880938</v>
      </c>
      <c r="DD28">
        <v>864</v>
      </c>
      <c r="DE28">
        <v>3.6074660000000001</v>
      </c>
      <c r="DF28">
        <v>505</v>
      </c>
      <c r="DG28">
        <v>10.267975</v>
      </c>
      <c r="DH28">
        <v>765</v>
      </c>
      <c r="DI28">
        <v>1.7883990000000001</v>
      </c>
      <c r="DJ28">
        <v>235</v>
      </c>
      <c r="DK28">
        <v>6.2405929999999996</v>
      </c>
      <c r="DL28">
        <v>365</v>
      </c>
      <c r="DM28" t="s">
        <v>273</v>
      </c>
      <c r="DN28">
        <v>5.0677940000000001</v>
      </c>
      <c r="DO28">
        <v>12.896697</v>
      </c>
      <c r="DP28">
        <v>6.404547</v>
      </c>
      <c r="DQ28" t="s">
        <v>282</v>
      </c>
      <c r="DR28">
        <v>7.3675360000000003</v>
      </c>
      <c r="DS28">
        <v>19.614691000000001</v>
      </c>
      <c r="DT28">
        <v>46.283470999999999</v>
      </c>
      <c r="DU28">
        <v>76.349976999999996</v>
      </c>
      <c r="DV28">
        <v>138.50028</v>
      </c>
      <c r="DW28" t="s">
        <v>283</v>
      </c>
      <c r="DX28" t="s">
        <v>273</v>
      </c>
      <c r="DY28">
        <v>26.628212000000001</v>
      </c>
      <c r="DZ28">
        <v>5.4072000000000002E-2</v>
      </c>
      <c r="EA28">
        <v>1.495269</v>
      </c>
      <c r="EB28">
        <v>1.2262459999999999</v>
      </c>
      <c r="EC28">
        <v>82.008390000000006</v>
      </c>
      <c r="ED28">
        <v>21.442311</v>
      </c>
      <c r="EE28">
        <v>746.516976</v>
      </c>
      <c r="EF28">
        <v>8.4992059999999992</v>
      </c>
      <c r="EG28">
        <v>29</v>
      </c>
      <c r="EH28">
        <v>29</v>
      </c>
      <c r="EI28">
        <v>23</v>
      </c>
      <c r="EJ28">
        <v>28</v>
      </c>
      <c r="EK28" t="s">
        <v>273</v>
      </c>
      <c r="EL28" t="s">
        <v>273</v>
      </c>
      <c r="EM28">
        <v>26.959187</v>
      </c>
      <c r="EN28">
        <v>3.2148000000000003E-2</v>
      </c>
      <c r="EO28">
        <v>1.595429</v>
      </c>
      <c r="EP28">
        <v>1.2434909999999999</v>
      </c>
      <c r="EQ28">
        <v>77.940853000000004</v>
      </c>
      <c r="ER28">
        <v>20.492146999999999</v>
      </c>
      <c r="ES28">
        <v>699.00473899999997</v>
      </c>
      <c r="ET28">
        <v>5.053032</v>
      </c>
      <c r="EU28">
        <v>29</v>
      </c>
      <c r="EV28">
        <v>29</v>
      </c>
      <c r="EW28">
        <v>28</v>
      </c>
      <c r="EX28">
        <v>29</v>
      </c>
      <c r="EY28" t="s">
        <v>273</v>
      </c>
      <c r="EZ28" t="s">
        <v>273</v>
      </c>
      <c r="FA28">
        <v>30.804532999999999</v>
      </c>
      <c r="FB28">
        <v>5.4605000000000001E-2</v>
      </c>
      <c r="FC28">
        <v>1.4949889999999999</v>
      </c>
      <c r="FD28">
        <v>1.226167</v>
      </c>
      <c r="FE28">
        <v>82.018477000000004</v>
      </c>
      <c r="FF28">
        <v>24.808143999999999</v>
      </c>
      <c r="FG28">
        <v>746.58014600000001</v>
      </c>
      <c r="FH28">
        <v>8.5829430000000002</v>
      </c>
      <c r="FI28">
        <v>29</v>
      </c>
      <c r="FJ28">
        <v>29</v>
      </c>
      <c r="FK28">
        <v>23</v>
      </c>
      <c r="FL28">
        <v>28</v>
      </c>
      <c r="FM28" t="s">
        <v>273</v>
      </c>
      <c r="FN28" t="s">
        <v>273</v>
      </c>
      <c r="FO28">
        <v>31.125819</v>
      </c>
      <c r="FP28">
        <v>7.6430999999999999E-2</v>
      </c>
      <c r="FQ28">
        <v>2.9468130000000001</v>
      </c>
      <c r="FR28">
        <v>2.5731570000000001</v>
      </c>
      <c r="FS28">
        <v>87.320017000000007</v>
      </c>
      <c r="FT28">
        <v>26.965022000000001</v>
      </c>
      <c r="FU28">
        <v>556.16218300000003</v>
      </c>
      <c r="FV28">
        <v>12.013615</v>
      </c>
      <c r="FW28">
        <v>27</v>
      </c>
      <c r="FX28">
        <v>27</v>
      </c>
      <c r="FY28">
        <v>27</v>
      </c>
      <c r="FZ28">
        <v>26</v>
      </c>
      <c r="GA28" t="s">
        <v>273</v>
      </c>
      <c r="GB28" t="s">
        <v>273</v>
      </c>
      <c r="GC28">
        <v>31.253613000000001</v>
      </c>
      <c r="GD28">
        <v>0.12438</v>
      </c>
      <c r="GE28">
        <v>1.6233599999999999</v>
      </c>
      <c r="GF28">
        <v>1.3122039999999999</v>
      </c>
      <c r="GG28">
        <v>80.832587000000004</v>
      </c>
      <c r="GH28">
        <v>24.569780999999999</v>
      </c>
      <c r="GI28">
        <v>1596.285306</v>
      </c>
      <c r="GJ28">
        <v>19.550412000000001</v>
      </c>
      <c r="GK28">
        <v>24</v>
      </c>
      <c r="GL28">
        <v>24</v>
      </c>
      <c r="GM28">
        <v>14</v>
      </c>
      <c r="GN28">
        <v>24</v>
      </c>
      <c r="GO28" t="s">
        <v>273</v>
      </c>
      <c r="GP28" t="s">
        <v>273</v>
      </c>
      <c r="GQ28">
        <v>31.798297000000002</v>
      </c>
      <c r="GR28">
        <v>0.13334199999999999</v>
      </c>
      <c r="GS28">
        <v>2.4852270000000001</v>
      </c>
      <c r="GT28">
        <v>2.152901</v>
      </c>
      <c r="GU28">
        <v>86.627922999999996</v>
      </c>
      <c r="GV28">
        <v>27.189292999999999</v>
      </c>
      <c r="GW28">
        <v>761.70734400000003</v>
      </c>
      <c r="GX28">
        <v>20.958974999999999</v>
      </c>
      <c r="GY28">
        <v>49</v>
      </c>
      <c r="GZ28">
        <v>49</v>
      </c>
      <c r="HA28">
        <v>29</v>
      </c>
      <c r="HB28">
        <v>30</v>
      </c>
      <c r="HC28" t="s">
        <v>273</v>
      </c>
      <c r="HD28" t="s">
        <v>273</v>
      </c>
      <c r="HE28">
        <v>31</v>
      </c>
      <c r="HF28">
        <v>5.0000000000000001E-4</v>
      </c>
      <c r="HG28">
        <v>3.0000000000000001E-3</v>
      </c>
      <c r="HH28">
        <v>3.2258000000000002E-2</v>
      </c>
      <c r="HI28">
        <v>6500</v>
      </c>
    </row>
    <row r="29" spans="1:217" x14ac:dyDescent="0.3">
      <c r="A29">
        <v>302</v>
      </c>
      <c r="B29" t="s">
        <v>269</v>
      </c>
      <c r="F29" t="s">
        <v>270</v>
      </c>
      <c r="G29" t="s">
        <v>271</v>
      </c>
      <c r="H29" t="s">
        <v>272</v>
      </c>
      <c r="I29">
        <v>3000</v>
      </c>
      <c r="J29">
        <v>1</v>
      </c>
      <c r="K29">
        <v>17.207812000000001</v>
      </c>
      <c r="L29">
        <v>0.22</v>
      </c>
      <c r="M29">
        <v>1.6292999999999998E-2</v>
      </c>
      <c r="N29">
        <v>0</v>
      </c>
      <c r="O29">
        <v>0</v>
      </c>
      <c r="P29">
        <v>0</v>
      </c>
      <c r="Q29">
        <v>9.19</v>
      </c>
      <c r="R29">
        <v>1</v>
      </c>
      <c r="S29">
        <v>1</v>
      </c>
      <c r="T29">
        <v>1</v>
      </c>
      <c r="U29">
        <v>1</v>
      </c>
      <c r="V29">
        <v>100</v>
      </c>
      <c r="W29" t="s">
        <v>273</v>
      </c>
      <c r="X29" t="s">
        <v>274</v>
      </c>
      <c r="Y29" t="s">
        <v>274</v>
      </c>
      <c r="Z29" t="s">
        <v>273</v>
      </c>
      <c r="AA29" t="s">
        <v>275</v>
      </c>
      <c r="AB29" t="s">
        <v>276</v>
      </c>
      <c r="AC29">
        <v>258</v>
      </c>
      <c r="AD29">
        <v>5</v>
      </c>
      <c r="AE29" t="s">
        <v>277</v>
      </c>
      <c r="AF29">
        <v>3.221571</v>
      </c>
      <c r="AG29">
        <v>100</v>
      </c>
      <c r="AH29">
        <v>29</v>
      </c>
      <c r="AI29">
        <v>1740</v>
      </c>
      <c r="AJ29">
        <v>800</v>
      </c>
      <c r="AK29">
        <v>1200</v>
      </c>
      <c r="AL29">
        <v>202.3</v>
      </c>
      <c r="AM29">
        <v>2.2000000000000002</v>
      </c>
      <c r="AN29" t="s">
        <v>273</v>
      </c>
      <c r="AO29" t="s">
        <v>278</v>
      </c>
      <c r="AP29" t="s">
        <v>285</v>
      </c>
      <c r="AQ29">
        <v>2.2000000000000002</v>
      </c>
      <c r="AR29">
        <v>4</v>
      </c>
      <c r="AS29">
        <v>123.4</v>
      </c>
      <c r="AT29">
        <v>224.5</v>
      </c>
      <c r="AU29">
        <v>0.12790799999999999</v>
      </c>
      <c r="AV29">
        <v>36.5</v>
      </c>
      <c r="AW29">
        <v>236.1</v>
      </c>
      <c r="AX29" t="s">
        <v>280</v>
      </c>
      <c r="AY29">
        <v>0</v>
      </c>
      <c r="AZ29" t="s">
        <v>281</v>
      </c>
      <c r="BA29">
        <v>0.2</v>
      </c>
      <c r="BB29">
        <v>0.5</v>
      </c>
      <c r="BC29" t="s">
        <v>273</v>
      </c>
      <c r="BD29" t="s">
        <v>273</v>
      </c>
      <c r="BE29">
        <v>37.936767000000003</v>
      </c>
      <c r="BF29">
        <v>38.373587999999998</v>
      </c>
      <c r="BG29">
        <v>225.808942</v>
      </c>
      <c r="BH29" t="s">
        <v>273</v>
      </c>
      <c r="BI29">
        <v>53.264004</v>
      </c>
      <c r="BJ29">
        <v>53.877308999999997</v>
      </c>
      <c r="BK29">
        <v>160.830217</v>
      </c>
      <c r="BL29" t="s">
        <v>273</v>
      </c>
      <c r="BM29">
        <v>53.267206000000002</v>
      </c>
      <c r="BN29">
        <v>53.880547999999997</v>
      </c>
      <c r="BO29">
        <v>160.820548</v>
      </c>
      <c r="BP29" t="s">
        <v>273</v>
      </c>
      <c r="BQ29">
        <v>33.962164000000001</v>
      </c>
      <c r="BR29">
        <v>34.353219000000003</v>
      </c>
      <c r="BS29">
        <v>252.23543599999999</v>
      </c>
      <c r="BT29" t="s">
        <v>273</v>
      </c>
      <c r="BU29">
        <v>10.816641000000001</v>
      </c>
      <c r="BV29">
        <v>10.941188</v>
      </c>
      <c r="BW29">
        <v>791.97058800000002</v>
      </c>
      <c r="BX29" t="s">
        <v>273</v>
      </c>
      <c r="BY29">
        <v>36.100163000000002</v>
      </c>
      <c r="BZ29">
        <v>36.848382000000001</v>
      </c>
      <c r="CA29">
        <v>41.881883999999999</v>
      </c>
      <c r="CB29">
        <v>53.267206000000002</v>
      </c>
      <c r="CC29">
        <v>22.584827000000001</v>
      </c>
      <c r="CD29">
        <v>39.723455000000001</v>
      </c>
      <c r="CE29" t="s">
        <v>273</v>
      </c>
      <c r="CF29">
        <v>36.515835000000003</v>
      </c>
      <c r="CG29">
        <v>37.272671000000003</v>
      </c>
      <c r="CH29">
        <v>42.364130000000003</v>
      </c>
      <c r="CI29">
        <v>53.880547999999997</v>
      </c>
      <c r="CJ29">
        <v>22.844878999999999</v>
      </c>
      <c r="CK29">
        <v>40.180847999999997</v>
      </c>
      <c r="CL29" t="s">
        <v>273</v>
      </c>
      <c r="CM29">
        <v>237.29702800000001</v>
      </c>
      <c r="CN29">
        <v>232.47862599999999</v>
      </c>
      <c r="CO29">
        <v>204.53858399999999</v>
      </c>
      <c r="CP29">
        <v>160.820548</v>
      </c>
      <c r="CQ29">
        <v>379.301605</v>
      </c>
      <c r="CR29">
        <v>215.65247400000001</v>
      </c>
      <c r="CS29" t="s">
        <v>273</v>
      </c>
      <c r="CT29">
        <v>282.692252</v>
      </c>
      <c r="CU29">
        <v>298.26780000000002</v>
      </c>
      <c r="CV29">
        <v>243.63143199999999</v>
      </c>
      <c r="CW29">
        <v>544.77256899999998</v>
      </c>
      <c r="CX29">
        <v>225.00878900000001</v>
      </c>
      <c r="CY29">
        <v>444.34502400000002</v>
      </c>
      <c r="CZ29" t="s">
        <v>273</v>
      </c>
      <c r="DA29">
        <v>3.6112929999999999</v>
      </c>
      <c r="DB29">
        <v>510.01</v>
      </c>
      <c r="DC29">
        <v>3.8892380000000002</v>
      </c>
      <c r="DD29">
        <v>864</v>
      </c>
      <c r="DE29">
        <v>3.6107649999999998</v>
      </c>
      <c r="DF29">
        <v>505</v>
      </c>
      <c r="DG29">
        <v>10.268685</v>
      </c>
      <c r="DH29">
        <v>765</v>
      </c>
      <c r="DI29">
        <v>1.7982739999999999</v>
      </c>
      <c r="DJ29">
        <v>235</v>
      </c>
      <c r="DK29">
        <v>6.2460719999999998</v>
      </c>
      <c r="DL29">
        <v>365</v>
      </c>
      <c r="DM29" t="s">
        <v>273</v>
      </c>
      <c r="DN29">
        <v>3.4589460000000001</v>
      </c>
      <c r="DO29">
        <v>7.8746020000000003</v>
      </c>
      <c r="DP29">
        <v>4.1586119999999998</v>
      </c>
      <c r="DQ29" t="s">
        <v>282</v>
      </c>
      <c r="DR29">
        <v>4.6540080000000001</v>
      </c>
      <c r="DS29">
        <v>16.285456</v>
      </c>
      <c r="DT29">
        <v>32.972678000000002</v>
      </c>
      <c r="DU29">
        <v>90.375045999999998</v>
      </c>
      <c r="DV29">
        <v>140.77595099999999</v>
      </c>
      <c r="DW29" t="s">
        <v>283</v>
      </c>
      <c r="DX29" t="s">
        <v>273</v>
      </c>
      <c r="DY29">
        <v>23.526762000000002</v>
      </c>
      <c r="DZ29">
        <v>3.6364E-2</v>
      </c>
      <c r="EA29">
        <v>0.77199499999999999</v>
      </c>
      <c r="EB29">
        <v>0.64722500000000005</v>
      </c>
      <c r="EC29">
        <v>83.837871000000007</v>
      </c>
      <c r="ED29">
        <v>19.372198999999998</v>
      </c>
      <c r="EE29">
        <v>393.75659300000001</v>
      </c>
      <c r="EF29">
        <v>4.4870489999999998</v>
      </c>
      <c r="EG29">
        <v>26</v>
      </c>
      <c r="EH29">
        <v>26</v>
      </c>
      <c r="EI29">
        <v>21</v>
      </c>
      <c r="EJ29">
        <v>25</v>
      </c>
      <c r="EK29" t="s">
        <v>273</v>
      </c>
      <c r="EL29" t="s">
        <v>273</v>
      </c>
      <c r="EM29">
        <v>21.548151000000001</v>
      </c>
      <c r="EN29">
        <v>1.9324000000000001E-2</v>
      </c>
      <c r="EO29">
        <v>0.74602800000000002</v>
      </c>
      <c r="EP29">
        <v>0.590252</v>
      </c>
      <c r="EQ29">
        <v>79.119264999999999</v>
      </c>
      <c r="ER29">
        <v>16.529223000000002</v>
      </c>
      <c r="ES29">
        <v>329.14782000000002</v>
      </c>
      <c r="ET29">
        <v>2.3844630000000002</v>
      </c>
      <c r="EU29">
        <v>27</v>
      </c>
      <c r="EV29">
        <v>27</v>
      </c>
      <c r="EW29">
        <v>27</v>
      </c>
      <c r="EX29">
        <v>27</v>
      </c>
      <c r="EY29" t="s">
        <v>273</v>
      </c>
      <c r="EZ29" t="s">
        <v>273</v>
      </c>
      <c r="FA29">
        <v>27.284458999999998</v>
      </c>
      <c r="FB29">
        <v>3.6722999999999999E-2</v>
      </c>
      <c r="FC29">
        <v>0.77159100000000003</v>
      </c>
      <c r="FD29">
        <v>0.64719700000000002</v>
      </c>
      <c r="FE29">
        <v>83.878170999999995</v>
      </c>
      <c r="FF29">
        <v>22.476752999999999</v>
      </c>
      <c r="FG29">
        <v>393.79200500000002</v>
      </c>
      <c r="FH29">
        <v>4.5313080000000001</v>
      </c>
      <c r="FI29">
        <v>26</v>
      </c>
      <c r="FJ29">
        <v>26</v>
      </c>
      <c r="FK29">
        <v>21</v>
      </c>
      <c r="FL29">
        <v>25</v>
      </c>
      <c r="FM29" t="s">
        <v>273</v>
      </c>
      <c r="FN29" t="s">
        <v>273</v>
      </c>
      <c r="FO29">
        <v>29.167998999999998</v>
      </c>
      <c r="FP29">
        <v>6.1378000000000002E-2</v>
      </c>
      <c r="FQ29">
        <v>1.8444229999999999</v>
      </c>
      <c r="FR29">
        <v>1.6199650000000001</v>
      </c>
      <c r="FS29">
        <v>87.830460000000002</v>
      </c>
      <c r="FT29">
        <v>25.450665000000001</v>
      </c>
      <c r="FU29">
        <v>350.58386300000001</v>
      </c>
      <c r="FV29">
        <v>7.5734579999999996</v>
      </c>
      <c r="FW29">
        <v>11</v>
      </c>
      <c r="FX29">
        <v>11</v>
      </c>
      <c r="FY29">
        <v>11</v>
      </c>
      <c r="FZ29">
        <v>9</v>
      </c>
      <c r="GA29" t="s">
        <v>273</v>
      </c>
      <c r="GB29" t="s">
        <v>273</v>
      </c>
      <c r="GC29">
        <v>30.043403999999999</v>
      </c>
      <c r="GD29">
        <v>7.7899999999999997E-2</v>
      </c>
      <c r="GE29">
        <v>0.78466999999999998</v>
      </c>
      <c r="GF29">
        <v>0.64780700000000002</v>
      </c>
      <c r="GG29">
        <v>82.557823999999997</v>
      </c>
      <c r="GH29">
        <v>24.023844</v>
      </c>
      <c r="GI29">
        <v>780.51976000000002</v>
      </c>
      <c r="GJ29">
        <v>9.6121569999999998</v>
      </c>
      <c r="GK29">
        <v>27</v>
      </c>
      <c r="GL29">
        <v>27</v>
      </c>
      <c r="GM29">
        <v>15</v>
      </c>
      <c r="GN29">
        <v>25</v>
      </c>
      <c r="GO29" t="s">
        <v>273</v>
      </c>
      <c r="GP29" t="s">
        <v>273</v>
      </c>
      <c r="GQ29">
        <v>31.233739</v>
      </c>
      <c r="GR29">
        <v>0.113927</v>
      </c>
      <c r="GS29">
        <v>1.6109530000000001</v>
      </c>
      <c r="GT29">
        <v>1.438971</v>
      </c>
      <c r="GU29">
        <v>89.324171000000007</v>
      </c>
      <c r="GV29">
        <v>27.633887000000001</v>
      </c>
      <c r="GW29">
        <v>510.44359900000001</v>
      </c>
      <c r="GX29">
        <v>14.057588000000001</v>
      </c>
      <c r="GY29">
        <v>49</v>
      </c>
      <c r="GZ29">
        <v>49</v>
      </c>
      <c r="HA29">
        <v>16</v>
      </c>
      <c r="HB29">
        <v>17</v>
      </c>
      <c r="HC29" t="s">
        <v>273</v>
      </c>
      <c r="HD29" t="s">
        <v>273</v>
      </c>
      <c r="HE29">
        <v>18</v>
      </c>
      <c r="HF29">
        <v>5.0000000000000001E-4</v>
      </c>
      <c r="HG29">
        <v>4.7499999999999999E-3</v>
      </c>
      <c r="HH29">
        <v>5.5556000000000001E-2</v>
      </c>
      <c r="HI29">
        <v>3000</v>
      </c>
    </row>
    <row r="30" spans="1:217" x14ac:dyDescent="0.3">
      <c r="A30">
        <v>303</v>
      </c>
      <c r="B30" t="s">
        <v>269</v>
      </c>
      <c r="F30" t="s">
        <v>270</v>
      </c>
      <c r="G30" t="s">
        <v>271</v>
      </c>
      <c r="H30" t="s">
        <v>272</v>
      </c>
      <c r="I30">
        <v>3750</v>
      </c>
      <c r="J30">
        <v>1</v>
      </c>
      <c r="K30">
        <v>22.334765999999998</v>
      </c>
      <c r="L30">
        <v>0.22</v>
      </c>
      <c r="M30">
        <v>2.1054E-2</v>
      </c>
      <c r="N30">
        <v>0</v>
      </c>
      <c r="O30">
        <v>0</v>
      </c>
      <c r="P30">
        <v>0</v>
      </c>
      <c r="Q30">
        <v>11.46</v>
      </c>
      <c r="R30">
        <v>1</v>
      </c>
      <c r="S30">
        <v>1</v>
      </c>
      <c r="T30">
        <v>1</v>
      </c>
      <c r="U30">
        <v>1</v>
      </c>
      <c r="V30">
        <v>100</v>
      </c>
      <c r="W30" t="s">
        <v>273</v>
      </c>
      <c r="X30" t="s">
        <v>274</v>
      </c>
      <c r="Y30" t="s">
        <v>274</v>
      </c>
      <c r="Z30" t="s">
        <v>273</v>
      </c>
      <c r="AA30" t="s">
        <v>275</v>
      </c>
      <c r="AB30" t="s">
        <v>276</v>
      </c>
      <c r="AC30">
        <v>329</v>
      </c>
      <c r="AD30">
        <v>5</v>
      </c>
      <c r="AE30" t="s">
        <v>277</v>
      </c>
      <c r="AF30">
        <v>3.166026</v>
      </c>
      <c r="AG30">
        <v>100</v>
      </c>
      <c r="AH30">
        <v>28.5</v>
      </c>
      <c r="AI30">
        <v>1710</v>
      </c>
      <c r="AJ30">
        <v>800</v>
      </c>
      <c r="AK30">
        <v>1200</v>
      </c>
      <c r="AL30">
        <v>179.2</v>
      </c>
      <c r="AM30">
        <v>2.2000000000000002</v>
      </c>
      <c r="AN30" t="s">
        <v>273</v>
      </c>
      <c r="AO30" t="s">
        <v>278</v>
      </c>
      <c r="AP30" t="s">
        <v>286</v>
      </c>
      <c r="AQ30">
        <v>2.8</v>
      </c>
      <c r="AR30">
        <v>4</v>
      </c>
      <c r="AS30">
        <v>157.19999999999999</v>
      </c>
      <c r="AT30">
        <v>286</v>
      </c>
      <c r="AU30">
        <v>0.16279199999999999</v>
      </c>
      <c r="AV30">
        <v>36.9</v>
      </c>
      <c r="AW30">
        <v>233.8</v>
      </c>
      <c r="AX30" t="s">
        <v>280</v>
      </c>
      <c r="AY30">
        <v>0</v>
      </c>
      <c r="AZ30" t="s">
        <v>281</v>
      </c>
      <c r="BA30">
        <v>0.2</v>
      </c>
      <c r="BB30">
        <v>0.5</v>
      </c>
      <c r="BC30" t="s">
        <v>273</v>
      </c>
      <c r="BD30" t="s">
        <v>273</v>
      </c>
      <c r="BE30">
        <v>31.211814</v>
      </c>
      <c r="BF30">
        <v>31.571200000000001</v>
      </c>
      <c r="BG30">
        <v>274.46214400000002</v>
      </c>
      <c r="BH30" t="s">
        <v>273</v>
      </c>
      <c r="BI30">
        <v>43.596305000000001</v>
      </c>
      <c r="BJ30">
        <v>44.098291000000003</v>
      </c>
      <c r="BK30">
        <v>196.495124</v>
      </c>
      <c r="BL30" t="s">
        <v>273</v>
      </c>
      <c r="BM30">
        <v>43.598534999999998</v>
      </c>
      <c r="BN30">
        <v>44.100548000000003</v>
      </c>
      <c r="BO30">
        <v>196.48507000000001</v>
      </c>
      <c r="BP30" t="s">
        <v>273</v>
      </c>
      <c r="BQ30">
        <v>27.488208</v>
      </c>
      <c r="BR30">
        <v>27.804718999999999</v>
      </c>
      <c r="BS30">
        <v>311.64131200000003</v>
      </c>
      <c r="BT30" t="s">
        <v>273</v>
      </c>
      <c r="BU30">
        <v>8.6423539999999992</v>
      </c>
      <c r="BV30">
        <v>8.7418650000000007</v>
      </c>
      <c r="BW30">
        <v>991.21856700000001</v>
      </c>
      <c r="BX30" t="s">
        <v>273</v>
      </c>
      <c r="BY30">
        <v>29.555752999999999</v>
      </c>
      <c r="BZ30">
        <v>30.447517000000001</v>
      </c>
      <c r="CA30">
        <v>34.287761000000003</v>
      </c>
      <c r="CB30">
        <v>43.598534999999998</v>
      </c>
      <c r="CC30">
        <v>18.363547000000001</v>
      </c>
      <c r="CD30">
        <v>32.077801000000001</v>
      </c>
      <c r="CE30" t="s">
        <v>273</v>
      </c>
      <c r="CF30">
        <v>29.896070999999999</v>
      </c>
      <c r="CG30">
        <v>30.798103000000001</v>
      </c>
      <c r="CH30">
        <v>34.682564999999997</v>
      </c>
      <c r="CI30">
        <v>44.100548000000003</v>
      </c>
      <c r="CJ30">
        <v>18.574992999999999</v>
      </c>
      <c r="CK30">
        <v>32.447158999999999</v>
      </c>
      <c r="CL30" t="s">
        <v>273</v>
      </c>
      <c r="CM30">
        <v>289.840734</v>
      </c>
      <c r="CN30">
        <v>281.35172299999999</v>
      </c>
      <c r="CO30">
        <v>249.84020899999999</v>
      </c>
      <c r="CP30">
        <v>196.48507000000001</v>
      </c>
      <c r="CQ30">
        <v>466.49273399999998</v>
      </c>
      <c r="CR30">
        <v>267.05263200000002</v>
      </c>
      <c r="CS30" t="s">
        <v>273</v>
      </c>
      <c r="CT30">
        <v>345.31823500000002</v>
      </c>
      <c r="CU30">
        <v>361.02682299999998</v>
      </c>
      <c r="CV30">
        <v>297.61682500000001</v>
      </c>
      <c r="CW30">
        <v>665.59290799999997</v>
      </c>
      <c r="CX30">
        <v>276.770894</v>
      </c>
      <c r="CY30">
        <v>550.25371700000005</v>
      </c>
      <c r="CZ30" t="s">
        <v>273</v>
      </c>
      <c r="DA30">
        <v>3.6116130000000002</v>
      </c>
      <c r="DB30">
        <v>510.01</v>
      </c>
      <c r="DC30">
        <v>3.889834</v>
      </c>
      <c r="DD30">
        <v>864</v>
      </c>
      <c r="DE30">
        <v>3.6110730000000002</v>
      </c>
      <c r="DF30">
        <v>505</v>
      </c>
      <c r="DG30">
        <v>10.268814000000001</v>
      </c>
      <c r="DH30">
        <v>765</v>
      </c>
      <c r="DI30">
        <v>1.7985260000000001</v>
      </c>
      <c r="DJ30">
        <v>235</v>
      </c>
      <c r="DK30">
        <v>6.2460760000000004</v>
      </c>
      <c r="DL30">
        <v>365</v>
      </c>
      <c r="DM30" t="s">
        <v>273</v>
      </c>
      <c r="DN30">
        <v>3.4575680000000002</v>
      </c>
      <c r="DO30">
        <v>7.8145350000000002</v>
      </c>
      <c r="DP30">
        <v>3.9647290000000002</v>
      </c>
      <c r="DQ30" t="s">
        <v>282</v>
      </c>
      <c r="DR30">
        <v>4.5292139999999996</v>
      </c>
      <c r="DS30">
        <v>16.225838</v>
      </c>
      <c r="DT30">
        <v>32.534315999999997</v>
      </c>
      <c r="DU30">
        <v>90.853089999999995</v>
      </c>
      <c r="DV30">
        <v>140.83486099999999</v>
      </c>
      <c r="DW30" t="s">
        <v>283</v>
      </c>
      <c r="DX30" t="s">
        <v>273</v>
      </c>
      <c r="DY30">
        <v>24.038364999999999</v>
      </c>
      <c r="DZ30">
        <v>3.5645999999999997E-2</v>
      </c>
      <c r="EA30">
        <v>0.96352499999999996</v>
      </c>
      <c r="EB30">
        <v>0.80840400000000001</v>
      </c>
      <c r="EC30">
        <v>83.900627999999998</v>
      </c>
      <c r="ED30">
        <v>19.802961</v>
      </c>
      <c r="EE30">
        <v>491.63915500000002</v>
      </c>
      <c r="EF30">
        <v>5.6029650000000002</v>
      </c>
      <c r="EG30">
        <v>25</v>
      </c>
      <c r="EH30">
        <v>25</v>
      </c>
      <c r="EI30">
        <v>20</v>
      </c>
      <c r="EJ30">
        <v>24</v>
      </c>
      <c r="EK30" t="s">
        <v>273</v>
      </c>
      <c r="EL30" t="s">
        <v>273</v>
      </c>
      <c r="EM30">
        <v>22.277367000000002</v>
      </c>
      <c r="EN30">
        <v>1.8953999999999999E-2</v>
      </c>
      <c r="EO30">
        <v>0.93355999999999995</v>
      </c>
      <c r="EP30">
        <v>0.73798900000000001</v>
      </c>
      <c r="EQ30">
        <v>79.051119</v>
      </c>
      <c r="ER30">
        <v>17.062109</v>
      </c>
      <c r="ES30">
        <v>411.18537199999997</v>
      </c>
      <c r="ET30">
        <v>2.9792290000000001</v>
      </c>
      <c r="EU30">
        <v>27</v>
      </c>
      <c r="EV30">
        <v>27</v>
      </c>
      <c r="EW30">
        <v>27</v>
      </c>
      <c r="EX30">
        <v>27</v>
      </c>
      <c r="EY30" t="s">
        <v>273</v>
      </c>
      <c r="EZ30" t="s">
        <v>273</v>
      </c>
      <c r="FA30">
        <v>27.876290999999998</v>
      </c>
      <c r="FB30">
        <v>3.5998000000000002E-2</v>
      </c>
      <c r="FC30">
        <v>0.96301099999999995</v>
      </c>
      <c r="FD30">
        <v>0.808365</v>
      </c>
      <c r="FE30">
        <v>83.941451999999998</v>
      </c>
      <c r="FF30">
        <v>22.975546000000001</v>
      </c>
      <c r="FG30">
        <v>491.684595</v>
      </c>
      <c r="FH30">
        <v>5.6582270000000001</v>
      </c>
      <c r="FI30">
        <v>25</v>
      </c>
      <c r="FJ30">
        <v>25</v>
      </c>
      <c r="FK30">
        <v>20</v>
      </c>
      <c r="FL30">
        <v>24</v>
      </c>
      <c r="FM30" t="s">
        <v>273</v>
      </c>
      <c r="FN30" t="s">
        <v>273</v>
      </c>
      <c r="FO30">
        <v>29.775168000000001</v>
      </c>
      <c r="FP30">
        <v>6.0138999999999998E-2</v>
      </c>
      <c r="FQ30">
        <v>2.3003909999999999</v>
      </c>
      <c r="FR30">
        <v>2.0222229999999999</v>
      </c>
      <c r="FS30">
        <v>87.907786000000002</v>
      </c>
      <c r="FT30">
        <v>25.999749999999999</v>
      </c>
      <c r="FU30">
        <v>437.57250099999999</v>
      </c>
      <c r="FV30">
        <v>9.4527409999999996</v>
      </c>
      <c r="FW30">
        <v>11</v>
      </c>
      <c r="FX30">
        <v>11</v>
      </c>
      <c r="FY30">
        <v>11</v>
      </c>
      <c r="FZ30">
        <v>10</v>
      </c>
      <c r="GA30" t="s">
        <v>273</v>
      </c>
      <c r="GB30" t="s">
        <v>273</v>
      </c>
      <c r="GC30">
        <v>30.575562999999999</v>
      </c>
      <c r="GD30">
        <v>7.6421000000000003E-2</v>
      </c>
      <c r="GE30">
        <v>0.98227600000000004</v>
      </c>
      <c r="GF30">
        <v>0.80968499999999999</v>
      </c>
      <c r="GG30">
        <v>82.429520999999994</v>
      </c>
      <c r="GH30">
        <v>24.407212000000001</v>
      </c>
      <c r="GI30">
        <v>975.25635899999997</v>
      </c>
      <c r="GJ30">
        <v>12.012032</v>
      </c>
      <c r="GK30">
        <v>26</v>
      </c>
      <c r="GL30">
        <v>26</v>
      </c>
      <c r="GM30">
        <v>15</v>
      </c>
      <c r="GN30">
        <v>24</v>
      </c>
      <c r="GO30" t="s">
        <v>273</v>
      </c>
      <c r="GP30" t="s">
        <v>273</v>
      </c>
      <c r="GQ30">
        <v>31.829286</v>
      </c>
      <c r="GR30">
        <v>0.11195099999999999</v>
      </c>
      <c r="GS30">
        <v>2.032959</v>
      </c>
      <c r="GT30">
        <v>1.8005640000000001</v>
      </c>
      <c r="GU30">
        <v>88.568630999999996</v>
      </c>
      <c r="GV30">
        <v>27.933115000000001</v>
      </c>
      <c r="GW30">
        <v>638.95124899999996</v>
      </c>
      <c r="GX30">
        <v>17.596691</v>
      </c>
      <c r="GY30">
        <v>37</v>
      </c>
      <c r="GZ30">
        <v>37</v>
      </c>
      <c r="HA30">
        <v>15</v>
      </c>
      <c r="HB30">
        <v>17</v>
      </c>
      <c r="HC30" t="s">
        <v>273</v>
      </c>
      <c r="HD30" t="s">
        <v>273</v>
      </c>
      <c r="HE30">
        <v>18</v>
      </c>
      <c r="HF30">
        <v>5.0000000000000001E-4</v>
      </c>
      <c r="HG30">
        <v>4.7499999999999999E-3</v>
      </c>
      <c r="HH30">
        <v>5.5556000000000001E-2</v>
      </c>
      <c r="HI30">
        <v>3750</v>
      </c>
    </row>
    <row r="31" spans="1:217" x14ac:dyDescent="0.3">
      <c r="A31">
        <v>304</v>
      </c>
      <c r="B31" t="s">
        <v>269</v>
      </c>
      <c r="F31" t="s">
        <v>270</v>
      </c>
      <c r="G31" t="s">
        <v>271</v>
      </c>
      <c r="H31" t="s">
        <v>272</v>
      </c>
      <c r="I31">
        <v>3750</v>
      </c>
      <c r="J31">
        <v>1</v>
      </c>
      <c r="K31">
        <v>22.334765999999998</v>
      </c>
      <c r="L31">
        <v>0.22</v>
      </c>
      <c r="M31">
        <v>2.1054E-2</v>
      </c>
      <c r="N31">
        <v>0</v>
      </c>
      <c r="O31">
        <v>0</v>
      </c>
      <c r="P31">
        <v>0</v>
      </c>
      <c r="Q31">
        <v>11.46</v>
      </c>
      <c r="R31">
        <v>1</v>
      </c>
      <c r="S31">
        <v>1</v>
      </c>
      <c r="T31">
        <v>1</v>
      </c>
      <c r="U31">
        <v>1</v>
      </c>
      <c r="V31">
        <v>100</v>
      </c>
      <c r="W31" t="s">
        <v>273</v>
      </c>
      <c r="X31" t="s">
        <v>274</v>
      </c>
      <c r="Y31" t="s">
        <v>274</v>
      </c>
      <c r="Z31" t="s">
        <v>273</v>
      </c>
      <c r="AA31" t="s">
        <v>275</v>
      </c>
      <c r="AB31" t="s">
        <v>276</v>
      </c>
      <c r="AC31">
        <v>188</v>
      </c>
      <c r="AD31">
        <v>5</v>
      </c>
      <c r="AE31" t="s">
        <v>277</v>
      </c>
      <c r="AF31">
        <v>3.6103809999999998</v>
      </c>
      <c r="AG31">
        <v>100</v>
      </c>
      <c r="AH31">
        <v>32.5</v>
      </c>
      <c r="AI31">
        <v>1950</v>
      </c>
      <c r="AJ31">
        <v>800</v>
      </c>
      <c r="AK31">
        <v>1200</v>
      </c>
      <c r="AL31">
        <v>237.3</v>
      </c>
      <c r="AM31">
        <v>2.2000000000000002</v>
      </c>
      <c r="AN31" t="s">
        <v>273</v>
      </c>
      <c r="AO31" t="s">
        <v>278</v>
      </c>
      <c r="AP31" t="s">
        <v>287</v>
      </c>
      <c r="AQ31">
        <v>1.6</v>
      </c>
      <c r="AR31">
        <v>4</v>
      </c>
      <c r="AS31">
        <v>89.6</v>
      </c>
      <c r="AT31">
        <v>163.1</v>
      </c>
      <c r="AU31">
        <v>9.3023999999999996E-2</v>
      </c>
      <c r="AV31">
        <v>36</v>
      </c>
      <c r="AW31">
        <v>239.3</v>
      </c>
      <c r="AX31" t="s">
        <v>280</v>
      </c>
      <c r="AY31">
        <v>0</v>
      </c>
      <c r="AZ31" t="s">
        <v>281</v>
      </c>
      <c r="BA31">
        <v>0.2</v>
      </c>
      <c r="BB31">
        <v>0.5</v>
      </c>
      <c r="BC31" t="s">
        <v>273</v>
      </c>
      <c r="BD31" t="s">
        <v>273</v>
      </c>
      <c r="BE31">
        <v>34.367828000000003</v>
      </c>
      <c r="BF31">
        <v>34.763553999999999</v>
      </c>
      <c r="BG31">
        <v>249.258151</v>
      </c>
      <c r="BH31" t="s">
        <v>273</v>
      </c>
      <c r="BI31">
        <v>45.104191</v>
      </c>
      <c r="BJ31">
        <v>45.623539999999998</v>
      </c>
      <c r="BK31">
        <v>189.926061</v>
      </c>
      <c r="BL31" t="s">
        <v>273</v>
      </c>
      <c r="BM31">
        <v>45.106627000000003</v>
      </c>
      <c r="BN31">
        <v>45.626004000000002</v>
      </c>
      <c r="BO31">
        <v>189.91580400000001</v>
      </c>
      <c r="BP31" t="s">
        <v>273</v>
      </c>
      <c r="BQ31">
        <v>26.920912999999999</v>
      </c>
      <c r="BR31">
        <v>27.230892000000001</v>
      </c>
      <c r="BS31">
        <v>318.20842499999998</v>
      </c>
      <c r="BT31" t="s">
        <v>273</v>
      </c>
      <c r="BU31">
        <v>12.285152</v>
      </c>
      <c r="BV31">
        <v>12.426608999999999</v>
      </c>
      <c r="BW31">
        <v>697.302007</v>
      </c>
      <c r="BX31" t="s">
        <v>273</v>
      </c>
      <c r="BY31">
        <v>31.315624</v>
      </c>
      <c r="BZ31">
        <v>34.777335999999998</v>
      </c>
      <c r="CA31">
        <v>36.226543999999997</v>
      </c>
      <c r="CB31">
        <v>45.106627000000003</v>
      </c>
      <c r="CC31">
        <v>17.9527</v>
      </c>
      <c r="CD31">
        <v>31.420302</v>
      </c>
      <c r="CE31" t="s">
        <v>273</v>
      </c>
      <c r="CF31">
        <v>31.676206000000001</v>
      </c>
      <c r="CG31">
        <v>35.177778000000004</v>
      </c>
      <c r="CH31">
        <v>36.643672000000002</v>
      </c>
      <c r="CI31">
        <v>45.626004000000002</v>
      </c>
      <c r="CJ31">
        <v>18.159414999999999</v>
      </c>
      <c r="CK31">
        <v>31.782088999999999</v>
      </c>
      <c r="CL31" t="s">
        <v>273</v>
      </c>
      <c r="CM31">
        <v>273.55230799999998</v>
      </c>
      <c r="CN31">
        <v>246.32309799999999</v>
      </c>
      <c r="CO31">
        <v>236.46918099999999</v>
      </c>
      <c r="CP31">
        <v>189.91580400000001</v>
      </c>
      <c r="CQ31">
        <v>477.16841199999999</v>
      </c>
      <c r="CR31">
        <v>272.640962</v>
      </c>
      <c r="CS31" t="s">
        <v>273</v>
      </c>
      <c r="CT31">
        <v>325.440923</v>
      </c>
      <c r="CU31">
        <v>315.23023699999999</v>
      </c>
      <c r="CV31">
        <v>281.27918199999999</v>
      </c>
      <c r="CW31">
        <v>643.20772599999998</v>
      </c>
      <c r="CX31">
        <v>281.53796499999999</v>
      </c>
      <c r="CY31">
        <v>561.16342799999995</v>
      </c>
      <c r="CZ31" t="s">
        <v>273</v>
      </c>
      <c r="DA31">
        <v>3.606392</v>
      </c>
      <c r="DB31">
        <v>510.01</v>
      </c>
      <c r="DC31">
        <v>3.879394</v>
      </c>
      <c r="DD31">
        <v>864</v>
      </c>
      <c r="DE31">
        <v>3.6058210000000002</v>
      </c>
      <c r="DF31">
        <v>505</v>
      </c>
      <c r="DG31">
        <v>10.26671</v>
      </c>
      <c r="DH31">
        <v>765</v>
      </c>
      <c r="DI31">
        <v>1.7885720000000001</v>
      </c>
      <c r="DJ31">
        <v>235</v>
      </c>
      <c r="DK31">
        <v>6.2393510000000001</v>
      </c>
      <c r="DL31">
        <v>365</v>
      </c>
      <c r="DM31" t="s">
        <v>273</v>
      </c>
      <c r="DN31">
        <v>4.8144210000000003</v>
      </c>
      <c r="DO31">
        <v>12.578134</v>
      </c>
      <c r="DP31">
        <v>6.0104480000000002</v>
      </c>
      <c r="DQ31" t="s">
        <v>282</v>
      </c>
      <c r="DR31">
        <v>10.186909999999999</v>
      </c>
      <c r="DS31">
        <v>19.589652000000001</v>
      </c>
      <c r="DT31">
        <v>48.365144000000001</v>
      </c>
      <c r="DU31">
        <v>74.392165000000006</v>
      </c>
      <c r="DV31">
        <v>112.493999</v>
      </c>
      <c r="DW31" t="s">
        <v>283</v>
      </c>
      <c r="DX31" t="s">
        <v>273</v>
      </c>
      <c r="DY31">
        <v>25.440211999999999</v>
      </c>
      <c r="DZ31">
        <v>6.2493E-2</v>
      </c>
      <c r="EA31">
        <v>0.96101800000000004</v>
      </c>
      <c r="EB31">
        <v>0.805616</v>
      </c>
      <c r="EC31">
        <v>83.829397</v>
      </c>
      <c r="ED31">
        <v>20.999130999999998</v>
      </c>
      <c r="EE31">
        <v>492.03818699999999</v>
      </c>
      <c r="EF31">
        <v>5.5994060000000001</v>
      </c>
      <c r="EG31">
        <v>30</v>
      </c>
      <c r="EH31">
        <v>30</v>
      </c>
      <c r="EI31">
        <v>24</v>
      </c>
      <c r="EJ31">
        <v>29</v>
      </c>
      <c r="EK31" t="s">
        <v>273</v>
      </c>
      <c r="EL31" t="s">
        <v>273</v>
      </c>
      <c r="EM31">
        <v>25.037472999999999</v>
      </c>
      <c r="EN31">
        <v>3.3170999999999999E-2</v>
      </c>
      <c r="EO31">
        <v>0.91613</v>
      </c>
      <c r="EP31">
        <v>0.73031699999999999</v>
      </c>
      <c r="EQ31">
        <v>79.717601999999999</v>
      </c>
      <c r="ER31">
        <v>19.494377</v>
      </c>
      <c r="ES31">
        <v>411.31171499999999</v>
      </c>
      <c r="ET31">
        <v>2.972146</v>
      </c>
      <c r="EU31">
        <v>36</v>
      </c>
      <c r="EV31">
        <v>36</v>
      </c>
      <c r="EW31">
        <v>36</v>
      </c>
      <c r="EX31">
        <v>35</v>
      </c>
      <c r="EY31" t="s">
        <v>273</v>
      </c>
      <c r="EZ31" t="s">
        <v>273</v>
      </c>
      <c r="FA31">
        <v>29.426994000000001</v>
      </c>
      <c r="FB31">
        <v>6.3109999999999999E-2</v>
      </c>
      <c r="FC31">
        <v>0.96077599999999996</v>
      </c>
      <c r="FD31">
        <v>0.80556700000000003</v>
      </c>
      <c r="FE31">
        <v>83.845446999999993</v>
      </c>
      <c r="FF31">
        <v>24.294526999999999</v>
      </c>
      <c r="FG31">
        <v>492.08712500000001</v>
      </c>
      <c r="FH31">
        <v>5.654623</v>
      </c>
      <c r="FI31">
        <v>30</v>
      </c>
      <c r="FJ31">
        <v>30</v>
      </c>
      <c r="FK31">
        <v>24</v>
      </c>
      <c r="FL31">
        <v>29</v>
      </c>
      <c r="FM31" t="s">
        <v>273</v>
      </c>
      <c r="FN31" t="s">
        <v>273</v>
      </c>
      <c r="FO31">
        <v>30.830110999999999</v>
      </c>
      <c r="FP31">
        <v>0.105422</v>
      </c>
      <c r="FQ31">
        <v>2.3017859999999999</v>
      </c>
      <c r="FR31">
        <v>2.0189560000000002</v>
      </c>
      <c r="FS31">
        <v>87.712563000000003</v>
      </c>
      <c r="FT31">
        <v>26.884936</v>
      </c>
      <c r="FU31">
        <v>437.342218</v>
      </c>
      <c r="FV31">
        <v>9.4458300000000008</v>
      </c>
      <c r="FW31">
        <v>29</v>
      </c>
      <c r="FX31">
        <v>29</v>
      </c>
      <c r="FY31">
        <v>29</v>
      </c>
      <c r="FZ31">
        <v>28</v>
      </c>
      <c r="GA31" t="s">
        <v>273</v>
      </c>
      <c r="GB31" t="s">
        <v>273</v>
      </c>
      <c r="GC31">
        <v>29.906182999999999</v>
      </c>
      <c r="GD31">
        <v>0.13411100000000001</v>
      </c>
      <c r="GE31">
        <v>0.97731999999999997</v>
      </c>
      <c r="GF31">
        <v>0.80620199999999997</v>
      </c>
      <c r="GG31">
        <v>82.491076000000007</v>
      </c>
      <c r="GH31">
        <v>24.002528000000002</v>
      </c>
      <c r="GI31">
        <v>981.03532900000005</v>
      </c>
      <c r="GJ31">
        <v>12.016337</v>
      </c>
      <c r="GK31">
        <v>29</v>
      </c>
      <c r="GL31">
        <v>29</v>
      </c>
      <c r="GM31">
        <v>15</v>
      </c>
      <c r="GN31">
        <v>28</v>
      </c>
      <c r="GO31" t="s">
        <v>273</v>
      </c>
      <c r="GP31" t="s">
        <v>273</v>
      </c>
      <c r="GQ31">
        <v>31.525632000000002</v>
      </c>
      <c r="GR31">
        <v>0.195718</v>
      </c>
      <c r="GS31">
        <v>2.0534859999999999</v>
      </c>
      <c r="GT31">
        <v>1.7917860000000001</v>
      </c>
      <c r="GU31">
        <v>87.255787999999995</v>
      </c>
      <c r="GV31">
        <v>27.296099999999999</v>
      </c>
      <c r="GW31">
        <v>637.44583599999999</v>
      </c>
      <c r="GX31">
        <v>17.53633</v>
      </c>
      <c r="GY31">
        <v>43</v>
      </c>
      <c r="GZ31">
        <v>43</v>
      </c>
      <c r="HA31">
        <v>33</v>
      </c>
      <c r="HB31">
        <v>35</v>
      </c>
      <c r="HC31" t="s">
        <v>273</v>
      </c>
      <c r="HD31" t="s">
        <v>273</v>
      </c>
      <c r="HE31">
        <v>31</v>
      </c>
      <c r="HF31">
        <v>5.0000000000000001E-4</v>
      </c>
      <c r="HG31">
        <v>4.7499999999999999E-3</v>
      </c>
      <c r="HH31">
        <v>3.2258000000000002E-2</v>
      </c>
      <c r="HI31">
        <v>3750</v>
      </c>
    </row>
    <row r="32" spans="1:217" x14ac:dyDescent="0.3">
      <c r="A32">
        <v>305</v>
      </c>
      <c r="B32" t="s">
        <v>269</v>
      </c>
      <c r="F32" t="s">
        <v>270</v>
      </c>
      <c r="G32" t="s">
        <v>271</v>
      </c>
      <c r="H32" t="s">
        <v>272</v>
      </c>
      <c r="I32">
        <v>5250</v>
      </c>
      <c r="J32">
        <v>1</v>
      </c>
      <c r="K32">
        <v>32.588672000000003</v>
      </c>
      <c r="L32">
        <v>0.22</v>
      </c>
      <c r="M32">
        <v>3.0575000000000001E-2</v>
      </c>
      <c r="N32">
        <v>0</v>
      </c>
      <c r="O32">
        <v>0</v>
      </c>
      <c r="P32">
        <v>0</v>
      </c>
      <c r="Q32">
        <v>16</v>
      </c>
      <c r="R32">
        <v>1</v>
      </c>
      <c r="S32">
        <v>1</v>
      </c>
      <c r="T32">
        <v>1</v>
      </c>
      <c r="U32">
        <v>1</v>
      </c>
      <c r="V32">
        <v>100</v>
      </c>
      <c r="W32" t="s">
        <v>273</v>
      </c>
      <c r="X32" t="s">
        <v>274</v>
      </c>
      <c r="Y32" t="s">
        <v>274</v>
      </c>
      <c r="Z32" t="s">
        <v>273</v>
      </c>
      <c r="AA32" t="s">
        <v>275</v>
      </c>
      <c r="AB32" t="s">
        <v>276</v>
      </c>
      <c r="AC32">
        <v>258</v>
      </c>
      <c r="AD32">
        <v>5</v>
      </c>
      <c r="AE32" t="s">
        <v>277</v>
      </c>
      <c r="AF32">
        <v>3.221571</v>
      </c>
      <c r="AG32">
        <v>100</v>
      </c>
      <c r="AH32">
        <v>29</v>
      </c>
      <c r="AI32">
        <v>1740</v>
      </c>
      <c r="AJ32">
        <v>800</v>
      </c>
      <c r="AK32">
        <v>1200</v>
      </c>
      <c r="AL32">
        <v>202.3</v>
      </c>
      <c r="AM32">
        <v>2.2000000000000002</v>
      </c>
      <c r="AN32" t="s">
        <v>273</v>
      </c>
      <c r="AO32" t="s">
        <v>278</v>
      </c>
      <c r="AP32" t="s">
        <v>285</v>
      </c>
      <c r="AQ32">
        <v>2.2000000000000002</v>
      </c>
      <c r="AR32">
        <v>4</v>
      </c>
      <c r="AS32">
        <v>123.4</v>
      </c>
      <c r="AT32">
        <v>224.5</v>
      </c>
      <c r="AU32">
        <v>0.12790799999999999</v>
      </c>
      <c r="AV32">
        <v>36.5</v>
      </c>
      <c r="AW32">
        <v>236.1</v>
      </c>
      <c r="AX32" t="s">
        <v>280</v>
      </c>
      <c r="AY32">
        <v>0</v>
      </c>
      <c r="AZ32" t="s">
        <v>281</v>
      </c>
      <c r="BA32">
        <v>0.2</v>
      </c>
      <c r="BB32">
        <v>0.5</v>
      </c>
      <c r="BC32" t="s">
        <v>273</v>
      </c>
      <c r="BD32" t="s">
        <v>273</v>
      </c>
      <c r="BE32">
        <v>25.369076</v>
      </c>
      <c r="BF32">
        <v>25.661186000000001</v>
      </c>
      <c r="BG32">
        <v>337.67337099999997</v>
      </c>
      <c r="BH32" t="s">
        <v>273</v>
      </c>
      <c r="BI32">
        <v>33.236316000000002</v>
      </c>
      <c r="BJ32">
        <v>33.619014</v>
      </c>
      <c r="BK32">
        <v>257.74400300000002</v>
      </c>
      <c r="BL32" t="s">
        <v>273</v>
      </c>
      <c r="BM32">
        <v>33.237803999999997</v>
      </c>
      <c r="BN32">
        <v>33.620519000000002</v>
      </c>
      <c r="BO32">
        <v>257.73246699999999</v>
      </c>
      <c r="BP32" t="s">
        <v>273</v>
      </c>
      <c r="BQ32">
        <v>19.569703000000001</v>
      </c>
      <c r="BR32">
        <v>19.795038000000002</v>
      </c>
      <c r="BS32">
        <v>437.74098500000002</v>
      </c>
      <c r="BT32" t="s">
        <v>273</v>
      </c>
      <c r="BU32">
        <v>8.895797</v>
      </c>
      <c r="BV32">
        <v>8.998227</v>
      </c>
      <c r="BW32">
        <v>962.97849499999995</v>
      </c>
      <c r="BX32" t="s">
        <v>273</v>
      </c>
      <c r="BY32">
        <v>23.101271000000001</v>
      </c>
      <c r="BZ32">
        <v>25.693479</v>
      </c>
      <c r="CA32">
        <v>26.710754000000001</v>
      </c>
      <c r="CB32">
        <v>33.237803999999997</v>
      </c>
      <c r="CC32">
        <v>12.977789</v>
      </c>
      <c r="CD32">
        <v>22.896681999999998</v>
      </c>
      <c r="CE32" t="s">
        <v>273</v>
      </c>
      <c r="CF32">
        <v>23.367269</v>
      </c>
      <c r="CG32">
        <v>25.989325000000001</v>
      </c>
      <c r="CH32">
        <v>27.018312999999999</v>
      </c>
      <c r="CI32">
        <v>33.620519000000002</v>
      </c>
      <c r="CJ32">
        <v>13.127221</v>
      </c>
      <c r="CK32">
        <v>23.160325</v>
      </c>
      <c r="CL32" t="s">
        <v>273</v>
      </c>
      <c r="CM32">
        <v>370.822069</v>
      </c>
      <c r="CN32">
        <v>333.409942</v>
      </c>
      <c r="CO32">
        <v>320.71207099999998</v>
      </c>
      <c r="CP32">
        <v>257.73246699999999</v>
      </c>
      <c r="CQ32">
        <v>660.086319</v>
      </c>
      <c r="CR32">
        <v>374.13548300000002</v>
      </c>
      <c r="CS32" t="s">
        <v>273</v>
      </c>
      <c r="CT32">
        <v>441.21266400000002</v>
      </c>
      <c r="CU32">
        <v>426.76656500000001</v>
      </c>
      <c r="CV32">
        <v>381.532104</v>
      </c>
      <c r="CW32">
        <v>872.92030899999997</v>
      </c>
      <c r="CX32">
        <v>388.49829699999998</v>
      </c>
      <c r="CY32">
        <v>769.75164500000005</v>
      </c>
      <c r="CZ32" t="s">
        <v>273</v>
      </c>
      <c r="DA32">
        <v>3.6068120000000001</v>
      </c>
      <c r="DB32">
        <v>510.01</v>
      </c>
      <c r="DC32">
        <v>3.8801899999999998</v>
      </c>
      <c r="DD32">
        <v>864</v>
      </c>
      <c r="DE32">
        <v>3.6062590000000001</v>
      </c>
      <c r="DF32">
        <v>505</v>
      </c>
      <c r="DG32">
        <v>10.267072000000001</v>
      </c>
      <c r="DH32">
        <v>765</v>
      </c>
      <c r="DI32">
        <v>1.7841419999999999</v>
      </c>
      <c r="DJ32">
        <v>235</v>
      </c>
      <c r="DK32">
        <v>6.236815</v>
      </c>
      <c r="DL32">
        <v>365</v>
      </c>
      <c r="DM32" t="s">
        <v>273</v>
      </c>
      <c r="DN32">
        <v>5.1161329999999996</v>
      </c>
      <c r="DO32">
        <v>13.468498</v>
      </c>
      <c r="DP32">
        <v>6.8284510000000003</v>
      </c>
      <c r="DQ32" t="s">
        <v>282</v>
      </c>
      <c r="DR32">
        <v>8.4295860000000005</v>
      </c>
      <c r="DS32">
        <v>19.939230999999999</v>
      </c>
      <c r="DT32">
        <v>48.665765999999998</v>
      </c>
      <c r="DU32">
        <v>73.516152000000005</v>
      </c>
      <c r="DV32">
        <v>106.081729</v>
      </c>
      <c r="DW32" t="s">
        <v>283</v>
      </c>
      <c r="DX32" t="s">
        <v>273</v>
      </c>
      <c r="DY32">
        <v>26.549728999999999</v>
      </c>
      <c r="DZ32">
        <v>6.3463000000000006E-2</v>
      </c>
      <c r="EA32">
        <v>1.3597109999999999</v>
      </c>
      <c r="EB32">
        <v>1.126539</v>
      </c>
      <c r="EC32">
        <v>82.851292999999998</v>
      </c>
      <c r="ED32">
        <v>21.661398999999999</v>
      </c>
      <c r="EE32">
        <v>688.03256599999997</v>
      </c>
      <c r="EF32">
        <v>7.8307390000000003</v>
      </c>
      <c r="EG32">
        <v>31</v>
      </c>
      <c r="EH32">
        <v>31</v>
      </c>
      <c r="EI32">
        <v>26</v>
      </c>
      <c r="EJ32">
        <v>31</v>
      </c>
      <c r="EK32" t="s">
        <v>273</v>
      </c>
      <c r="EL32" t="s">
        <v>273</v>
      </c>
      <c r="EM32">
        <v>26.418780999999999</v>
      </c>
      <c r="EN32">
        <v>3.3708000000000002E-2</v>
      </c>
      <c r="EO32">
        <v>1.308705</v>
      </c>
      <c r="EP32">
        <v>1.0224420000000001</v>
      </c>
      <c r="EQ32">
        <v>78.126216999999997</v>
      </c>
      <c r="ER32">
        <v>20.150950999999999</v>
      </c>
      <c r="ES32">
        <v>575.48039400000005</v>
      </c>
      <c r="ET32">
        <v>4.1592849999999997</v>
      </c>
      <c r="EU32">
        <v>28</v>
      </c>
      <c r="EV32">
        <v>28</v>
      </c>
      <c r="EW32">
        <v>27</v>
      </c>
      <c r="EX32">
        <v>28</v>
      </c>
      <c r="EY32" t="s">
        <v>273</v>
      </c>
      <c r="EZ32" t="s">
        <v>273</v>
      </c>
      <c r="FA32">
        <v>30.698796999999999</v>
      </c>
      <c r="FB32">
        <v>6.4088999999999993E-2</v>
      </c>
      <c r="FC32">
        <v>1.359537</v>
      </c>
      <c r="FD32">
        <v>1.1264719999999999</v>
      </c>
      <c r="FE32">
        <v>82.857035999999994</v>
      </c>
      <c r="FF32">
        <v>25.048173999999999</v>
      </c>
      <c r="FG32">
        <v>688.098164</v>
      </c>
      <c r="FH32">
        <v>7.9079670000000002</v>
      </c>
      <c r="FI32">
        <v>31</v>
      </c>
      <c r="FJ32">
        <v>31</v>
      </c>
      <c r="FK32">
        <v>26</v>
      </c>
      <c r="FL32">
        <v>31</v>
      </c>
      <c r="FM32" t="s">
        <v>273</v>
      </c>
      <c r="FN32" t="s">
        <v>273</v>
      </c>
      <c r="FO32">
        <v>31.891753000000001</v>
      </c>
      <c r="FP32">
        <v>0.107</v>
      </c>
      <c r="FQ32">
        <v>3.2314069999999999</v>
      </c>
      <c r="FR32">
        <v>2.821666</v>
      </c>
      <c r="FS32">
        <v>87.320052000000004</v>
      </c>
      <c r="FT32">
        <v>27.689488999999998</v>
      </c>
      <c r="FU32">
        <v>611.27322700000002</v>
      </c>
      <c r="FV32">
        <v>13.202902999999999</v>
      </c>
      <c r="FW32">
        <v>30</v>
      </c>
      <c r="FX32">
        <v>30</v>
      </c>
      <c r="FY32">
        <v>30</v>
      </c>
      <c r="FZ32">
        <v>28</v>
      </c>
      <c r="GA32" t="s">
        <v>273</v>
      </c>
      <c r="GB32" t="s">
        <v>273</v>
      </c>
      <c r="GC32">
        <v>30.732537000000001</v>
      </c>
      <c r="GD32">
        <v>0.13588500000000001</v>
      </c>
      <c r="GE32">
        <v>1.3858820000000001</v>
      </c>
      <c r="GF32">
        <v>1.123526</v>
      </c>
      <c r="GG32">
        <v>81.069378999999998</v>
      </c>
      <c r="GH32">
        <v>24.270956999999999</v>
      </c>
      <c r="GI32">
        <v>1372.28413</v>
      </c>
      <c r="GJ32">
        <v>16.766970000000001</v>
      </c>
      <c r="GK32">
        <v>25</v>
      </c>
      <c r="GL32">
        <v>25</v>
      </c>
      <c r="GM32">
        <v>15</v>
      </c>
      <c r="GN32">
        <v>25</v>
      </c>
      <c r="GO32" t="s">
        <v>273</v>
      </c>
      <c r="GP32" t="s">
        <v>273</v>
      </c>
      <c r="GQ32">
        <v>32.443426000000002</v>
      </c>
      <c r="GR32">
        <v>0.19917299999999999</v>
      </c>
      <c r="GS32">
        <v>2.8987850000000002</v>
      </c>
      <c r="GT32">
        <v>2.5104519999999999</v>
      </c>
      <c r="GU32">
        <v>86.603588999999999</v>
      </c>
      <c r="GV32">
        <v>27.88786</v>
      </c>
      <c r="GW32">
        <v>893.70801300000005</v>
      </c>
      <c r="GX32">
        <v>24.576188999999999</v>
      </c>
      <c r="GY32">
        <v>49</v>
      </c>
      <c r="GZ32">
        <v>49</v>
      </c>
      <c r="HA32">
        <v>41</v>
      </c>
      <c r="HB32">
        <v>40</v>
      </c>
      <c r="HC32" t="s">
        <v>273</v>
      </c>
      <c r="HD32" t="s">
        <v>273</v>
      </c>
      <c r="HE32">
        <v>31</v>
      </c>
      <c r="HF32">
        <v>5.0000000000000001E-4</v>
      </c>
      <c r="HG32">
        <v>4.7499999999999999E-3</v>
      </c>
      <c r="HH32">
        <v>3.2258000000000002E-2</v>
      </c>
      <c r="HI32">
        <v>5250</v>
      </c>
    </row>
    <row r="33" spans="1:217" x14ac:dyDescent="0.3">
      <c r="A33">
        <v>306</v>
      </c>
      <c r="B33" t="s">
        <v>269</v>
      </c>
      <c r="F33" t="s">
        <v>270</v>
      </c>
      <c r="G33" t="s">
        <v>271</v>
      </c>
      <c r="H33" t="s">
        <v>272</v>
      </c>
      <c r="I33">
        <v>6500</v>
      </c>
      <c r="J33">
        <v>1</v>
      </c>
      <c r="K33">
        <v>41.133594000000002</v>
      </c>
      <c r="L33">
        <v>0.22</v>
      </c>
      <c r="M33">
        <v>3.8510000000000003E-2</v>
      </c>
      <c r="N33">
        <v>0</v>
      </c>
      <c r="O33">
        <v>0</v>
      </c>
      <c r="P33">
        <v>0</v>
      </c>
      <c r="Q33">
        <v>19.79</v>
      </c>
      <c r="R33">
        <v>1</v>
      </c>
      <c r="S33">
        <v>1</v>
      </c>
      <c r="T33">
        <v>1</v>
      </c>
      <c r="U33">
        <v>1</v>
      </c>
      <c r="V33">
        <v>100</v>
      </c>
      <c r="W33" t="s">
        <v>273</v>
      </c>
      <c r="X33" t="s">
        <v>274</v>
      </c>
      <c r="Y33" t="s">
        <v>274</v>
      </c>
      <c r="Z33" t="s">
        <v>273</v>
      </c>
      <c r="AA33" t="s">
        <v>275</v>
      </c>
      <c r="AB33" t="s">
        <v>276</v>
      </c>
      <c r="AC33">
        <v>329</v>
      </c>
      <c r="AD33">
        <v>5</v>
      </c>
      <c r="AE33" t="s">
        <v>277</v>
      </c>
      <c r="AF33">
        <v>3.166026</v>
      </c>
      <c r="AG33">
        <v>100</v>
      </c>
      <c r="AH33">
        <v>28.5</v>
      </c>
      <c r="AI33">
        <v>1710</v>
      </c>
      <c r="AJ33">
        <v>800</v>
      </c>
      <c r="AK33">
        <v>1200</v>
      </c>
      <c r="AL33">
        <v>179.2</v>
      </c>
      <c r="AM33">
        <v>2.2000000000000002</v>
      </c>
      <c r="AN33" t="s">
        <v>273</v>
      </c>
      <c r="AO33" t="s">
        <v>278</v>
      </c>
      <c r="AP33" t="s">
        <v>286</v>
      </c>
      <c r="AQ33">
        <v>2.8</v>
      </c>
      <c r="AR33">
        <v>4</v>
      </c>
      <c r="AS33">
        <v>157.19999999999999</v>
      </c>
      <c r="AT33">
        <v>286</v>
      </c>
      <c r="AU33">
        <v>0.16279199999999999</v>
      </c>
      <c r="AV33">
        <v>36.9</v>
      </c>
      <c r="AW33">
        <v>233.8</v>
      </c>
      <c r="AX33" t="s">
        <v>280</v>
      </c>
      <c r="AY33">
        <v>0</v>
      </c>
      <c r="AZ33" t="s">
        <v>281</v>
      </c>
      <c r="BA33">
        <v>0.2</v>
      </c>
      <c r="BB33">
        <v>0.5</v>
      </c>
      <c r="BC33" t="s">
        <v>273</v>
      </c>
      <c r="BD33" t="s">
        <v>273</v>
      </c>
      <c r="BE33">
        <v>20.883823</v>
      </c>
      <c r="BF33">
        <v>21.124288</v>
      </c>
      <c r="BG33">
        <v>410.196031</v>
      </c>
      <c r="BH33" t="s">
        <v>273</v>
      </c>
      <c r="BI33">
        <v>27.416688000000001</v>
      </c>
      <c r="BJ33">
        <v>27.732375000000001</v>
      </c>
      <c r="BK33">
        <v>312.454273</v>
      </c>
      <c r="BL33" t="s">
        <v>273</v>
      </c>
      <c r="BM33">
        <v>27.417708000000001</v>
      </c>
      <c r="BN33">
        <v>27.733407</v>
      </c>
      <c r="BO33">
        <v>312.44264800000002</v>
      </c>
      <c r="BP33" t="s">
        <v>273</v>
      </c>
      <c r="BQ33">
        <v>15.968226</v>
      </c>
      <c r="BR33">
        <v>16.152090999999999</v>
      </c>
      <c r="BS33">
        <v>536.46919400000002</v>
      </c>
      <c r="BT33" t="s">
        <v>273</v>
      </c>
      <c r="BU33">
        <v>7.0852930000000001</v>
      </c>
      <c r="BV33">
        <v>7.1668760000000002</v>
      </c>
      <c r="BW33">
        <v>1209.0482750000001</v>
      </c>
      <c r="BX33" t="s">
        <v>273</v>
      </c>
      <c r="BY33">
        <v>18.961648</v>
      </c>
      <c r="BZ33">
        <v>21.211089999999999</v>
      </c>
      <c r="CA33">
        <v>21.921899</v>
      </c>
      <c r="CB33">
        <v>27.417708000000001</v>
      </c>
      <c r="CC33">
        <v>10.616110000000001</v>
      </c>
      <c r="CD33">
        <v>18.66048</v>
      </c>
      <c r="CE33" t="s">
        <v>273</v>
      </c>
      <c r="CF33">
        <v>19.179981000000002</v>
      </c>
      <c r="CG33">
        <v>21.455324000000001</v>
      </c>
      <c r="CH33">
        <v>22.174316999999999</v>
      </c>
      <c r="CI33">
        <v>27.733407</v>
      </c>
      <c r="CJ33">
        <v>10.738348999999999</v>
      </c>
      <c r="CK33">
        <v>18.875344999999999</v>
      </c>
      <c r="CL33" t="s">
        <v>273</v>
      </c>
      <c r="CM33">
        <v>451.77830599999999</v>
      </c>
      <c r="CN33">
        <v>403.867097</v>
      </c>
      <c r="CO33">
        <v>390.771863</v>
      </c>
      <c r="CP33">
        <v>312.44264800000002</v>
      </c>
      <c r="CQ33">
        <v>806.93033300000002</v>
      </c>
      <c r="CR33">
        <v>459.06971399999998</v>
      </c>
      <c r="CS33" t="s">
        <v>273</v>
      </c>
      <c r="CT33">
        <v>537.58564899999999</v>
      </c>
      <c r="CU33">
        <v>517.042506</v>
      </c>
      <c r="CV33">
        <v>464.92044499999997</v>
      </c>
      <c r="CW33">
        <v>1058.2330979999999</v>
      </c>
      <c r="CX33">
        <v>475.19734699999998</v>
      </c>
      <c r="CY33">
        <v>944.67720299999996</v>
      </c>
      <c r="CZ33" t="s">
        <v>273</v>
      </c>
      <c r="DA33">
        <v>3.6071439999999999</v>
      </c>
      <c r="DB33">
        <v>510.01</v>
      </c>
      <c r="DC33">
        <v>3.880868</v>
      </c>
      <c r="DD33">
        <v>864</v>
      </c>
      <c r="DE33">
        <v>3.6065879999999999</v>
      </c>
      <c r="DF33">
        <v>505</v>
      </c>
      <c r="DG33">
        <v>10.267204</v>
      </c>
      <c r="DH33">
        <v>765</v>
      </c>
      <c r="DI33">
        <v>1.7851680000000001</v>
      </c>
      <c r="DJ33">
        <v>235</v>
      </c>
      <c r="DK33">
        <v>6.2380079999999998</v>
      </c>
      <c r="DL33">
        <v>365</v>
      </c>
      <c r="DM33" t="s">
        <v>273</v>
      </c>
      <c r="DN33">
        <v>5.0659460000000003</v>
      </c>
      <c r="DO33">
        <v>13.198979</v>
      </c>
      <c r="DP33">
        <v>6.5602489999999998</v>
      </c>
      <c r="DQ33" t="s">
        <v>282</v>
      </c>
      <c r="DR33">
        <v>8.0360700000000005</v>
      </c>
      <c r="DS33">
        <v>19.785149000000001</v>
      </c>
      <c r="DT33">
        <v>47.580446999999999</v>
      </c>
      <c r="DU33">
        <v>74.274202000000002</v>
      </c>
      <c r="DV33">
        <v>106.713673</v>
      </c>
      <c r="DW33" t="s">
        <v>283</v>
      </c>
      <c r="DX33" t="s">
        <v>273</v>
      </c>
      <c r="DY33">
        <v>27.012768999999999</v>
      </c>
      <c r="DZ33">
        <v>6.1643000000000003E-2</v>
      </c>
      <c r="EA33">
        <v>1.6856040000000001</v>
      </c>
      <c r="EB33">
        <v>1.394115</v>
      </c>
      <c r="EC33">
        <v>82.707173999999995</v>
      </c>
      <c r="ED33">
        <v>21.997440000000001</v>
      </c>
      <c r="EE33">
        <v>851.24482899999998</v>
      </c>
      <c r="EF33">
        <v>9.6892040000000001</v>
      </c>
      <c r="EG33">
        <v>30</v>
      </c>
      <c r="EH33">
        <v>30</v>
      </c>
      <c r="EI33">
        <v>26</v>
      </c>
      <c r="EJ33">
        <v>30</v>
      </c>
      <c r="EK33" t="s">
        <v>273</v>
      </c>
      <c r="EL33" t="s">
        <v>273</v>
      </c>
      <c r="EM33">
        <v>27.042417</v>
      </c>
      <c r="EN33">
        <v>3.2752000000000003E-2</v>
      </c>
      <c r="EO33">
        <v>1.62297</v>
      </c>
      <c r="EP33">
        <v>1.266113</v>
      </c>
      <c r="EQ33">
        <v>78.012083000000004</v>
      </c>
      <c r="ER33">
        <v>20.586773000000001</v>
      </c>
      <c r="ES33">
        <v>712.16939200000002</v>
      </c>
      <c r="ET33">
        <v>5.1481050000000002</v>
      </c>
      <c r="EU33">
        <v>29</v>
      </c>
      <c r="EV33">
        <v>29</v>
      </c>
      <c r="EW33">
        <v>28</v>
      </c>
      <c r="EX33">
        <v>29</v>
      </c>
      <c r="EY33" t="s">
        <v>273</v>
      </c>
      <c r="EZ33" t="s">
        <v>273</v>
      </c>
      <c r="FA33">
        <v>31.231562</v>
      </c>
      <c r="FB33">
        <v>6.2251000000000001E-2</v>
      </c>
      <c r="FC33">
        <v>1.6854309999999999</v>
      </c>
      <c r="FD33">
        <v>1.394042</v>
      </c>
      <c r="FE33">
        <v>82.711293999999995</v>
      </c>
      <c r="FF33">
        <v>25.434145000000001</v>
      </c>
      <c r="FG33">
        <v>851.33275200000003</v>
      </c>
      <c r="FH33">
        <v>9.7848310000000005</v>
      </c>
      <c r="FI33">
        <v>30</v>
      </c>
      <c r="FJ33">
        <v>30</v>
      </c>
      <c r="FK33">
        <v>26</v>
      </c>
      <c r="FL33">
        <v>30</v>
      </c>
      <c r="FM33" t="s">
        <v>273</v>
      </c>
      <c r="FN33" t="s">
        <v>273</v>
      </c>
      <c r="FO33">
        <v>32.542475000000003</v>
      </c>
      <c r="FP33">
        <v>0.103918</v>
      </c>
      <c r="FQ33">
        <v>3.9973359999999998</v>
      </c>
      <c r="FR33">
        <v>3.4910809999999999</v>
      </c>
      <c r="FS33">
        <v>87.335193000000004</v>
      </c>
      <c r="FT33">
        <v>28.257476</v>
      </c>
      <c r="FU33">
        <v>756.23186699999997</v>
      </c>
      <c r="FV33">
        <v>16.334077000000001</v>
      </c>
      <c r="FW33">
        <v>32</v>
      </c>
      <c r="FX33">
        <v>32</v>
      </c>
      <c r="FY33">
        <v>31</v>
      </c>
      <c r="FZ33">
        <v>29</v>
      </c>
      <c r="GA33" t="s">
        <v>273</v>
      </c>
      <c r="GB33" t="s">
        <v>273</v>
      </c>
      <c r="GC33">
        <v>31.181673</v>
      </c>
      <c r="GD33">
        <v>0.13211899999999999</v>
      </c>
      <c r="GE33">
        <v>1.719935</v>
      </c>
      <c r="GF33">
        <v>1.391618</v>
      </c>
      <c r="GG33">
        <v>80.91104</v>
      </c>
      <c r="GH33">
        <v>24.576212999999999</v>
      </c>
      <c r="GI33">
        <v>1698.6645739999999</v>
      </c>
      <c r="GJ33">
        <v>20.766712999999999</v>
      </c>
      <c r="GK33">
        <v>24</v>
      </c>
      <c r="GL33">
        <v>24</v>
      </c>
      <c r="GM33">
        <v>15</v>
      </c>
      <c r="GN33">
        <v>24</v>
      </c>
      <c r="GO33" t="s">
        <v>273</v>
      </c>
      <c r="GP33" t="s">
        <v>273</v>
      </c>
      <c r="GQ33">
        <v>32.743332000000002</v>
      </c>
      <c r="GR33">
        <v>0.1938</v>
      </c>
      <c r="GS33">
        <v>3.5904180000000001</v>
      </c>
      <c r="GT33">
        <v>3.1128529999999999</v>
      </c>
      <c r="GU33">
        <v>86.698897000000002</v>
      </c>
      <c r="GV33">
        <v>28.166077999999999</v>
      </c>
      <c r="GW33">
        <v>1107.5322060000001</v>
      </c>
      <c r="GX33">
        <v>30.461993</v>
      </c>
      <c r="GY33">
        <v>65</v>
      </c>
      <c r="GZ33">
        <v>65</v>
      </c>
      <c r="HA33">
        <v>43</v>
      </c>
      <c r="HB33">
        <v>42</v>
      </c>
      <c r="HC33" t="s">
        <v>273</v>
      </c>
      <c r="HD33" t="s">
        <v>273</v>
      </c>
      <c r="HE33">
        <v>31</v>
      </c>
      <c r="HF33">
        <v>5.0000000000000001E-4</v>
      </c>
      <c r="HG33">
        <v>4.7499999999999999E-3</v>
      </c>
      <c r="HH33">
        <v>3.2258000000000002E-2</v>
      </c>
      <c r="HI33">
        <v>6500</v>
      </c>
    </row>
    <row r="34" spans="1:217" x14ac:dyDescent="0.3">
      <c r="A34">
        <v>320</v>
      </c>
      <c r="B34" t="s">
        <v>269</v>
      </c>
      <c r="F34" t="s">
        <v>270</v>
      </c>
      <c r="G34" t="s">
        <v>271</v>
      </c>
      <c r="H34" t="s">
        <v>272</v>
      </c>
      <c r="I34">
        <v>3000</v>
      </c>
      <c r="J34">
        <v>1</v>
      </c>
      <c r="K34">
        <v>13.106249999999999</v>
      </c>
      <c r="L34">
        <v>0.22</v>
      </c>
      <c r="M34">
        <v>2.6547000000000001E-2</v>
      </c>
      <c r="N34">
        <v>0</v>
      </c>
      <c r="O34">
        <v>0</v>
      </c>
      <c r="P34">
        <v>0</v>
      </c>
      <c r="Q34">
        <v>12.06</v>
      </c>
      <c r="R34">
        <v>1</v>
      </c>
      <c r="S34">
        <v>1</v>
      </c>
      <c r="T34">
        <v>1</v>
      </c>
      <c r="U34">
        <v>1</v>
      </c>
      <c r="V34">
        <v>100</v>
      </c>
      <c r="W34" t="s">
        <v>273</v>
      </c>
      <c r="X34" t="s">
        <v>274</v>
      </c>
      <c r="Y34" t="s">
        <v>274</v>
      </c>
      <c r="Z34" t="s">
        <v>273</v>
      </c>
      <c r="AA34" t="s">
        <v>275</v>
      </c>
      <c r="AB34" t="s">
        <v>276</v>
      </c>
      <c r="AC34">
        <v>258</v>
      </c>
      <c r="AD34">
        <v>5</v>
      </c>
      <c r="AE34" t="s">
        <v>277</v>
      </c>
      <c r="AF34">
        <v>3.221571</v>
      </c>
      <c r="AG34">
        <v>100</v>
      </c>
      <c r="AH34">
        <v>29</v>
      </c>
      <c r="AI34">
        <v>1740</v>
      </c>
      <c r="AJ34">
        <v>800</v>
      </c>
      <c r="AK34">
        <v>1200</v>
      </c>
      <c r="AL34">
        <v>202.3</v>
      </c>
      <c r="AM34">
        <v>2.2000000000000002</v>
      </c>
      <c r="AN34" t="s">
        <v>273</v>
      </c>
      <c r="AO34" t="s">
        <v>278</v>
      </c>
      <c r="AP34" t="s">
        <v>285</v>
      </c>
      <c r="AQ34">
        <v>2.2000000000000002</v>
      </c>
      <c r="AR34">
        <v>4</v>
      </c>
      <c r="AS34">
        <v>123.4</v>
      </c>
      <c r="AT34">
        <v>224.5</v>
      </c>
      <c r="AU34">
        <v>0.12790799999999999</v>
      </c>
      <c r="AV34">
        <v>36.5</v>
      </c>
      <c r="AW34">
        <v>236.1</v>
      </c>
      <c r="AX34" t="s">
        <v>280</v>
      </c>
      <c r="AY34">
        <v>0</v>
      </c>
      <c r="AZ34" t="s">
        <v>281</v>
      </c>
      <c r="BA34">
        <v>0.2</v>
      </c>
      <c r="BB34">
        <v>0.5</v>
      </c>
      <c r="BC34" t="s">
        <v>273</v>
      </c>
      <c r="BD34" t="s">
        <v>273</v>
      </c>
      <c r="BE34">
        <v>36.117109999999997</v>
      </c>
      <c r="BF34">
        <v>36.532978</v>
      </c>
      <c r="BG34">
        <v>237.18567899999999</v>
      </c>
      <c r="BH34" t="s">
        <v>273</v>
      </c>
      <c r="BI34">
        <v>44.220768999999997</v>
      </c>
      <c r="BJ34">
        <v>44.729945999999998</v>
      </c>
      <c r="BK34">
        <v>193.720315</v>
      </c>
      <c r="BL34" t="s">
        <v>273</v>
      </c>
      <c r="BM34">
        <v>44.223382999999998</v>
      </c>
      <c r="BN34">
        <v>44.732590000000002</v>
      </c>
      <c r="BO34">
        <v>193.70886400000001</v>
      </c>
      <c r="BP34" t="s">
        <v>273</v>
      </c>
      <c r="BQ34">
        <v>28.035774</v>
      </c>
      <c r="BR34">
        <v>28.35859</v>
      </c>
      <c r="BS34">
        <v>305.55465900000002</v>
      </c>
      <c r="BT34" t="s">
        <v>273</v>
      </c>
      <c r="BU34">
        <v>10.372121999999999</v>
      </c>
      <c r="BV34">
        <v>10.491550999999999</v>
      </c>
      <c r="BW34">
        <v>825.91213500000003</v>
      </c>
      <c r="BX34" t="s">
        <v>273</v>
      </c>
      <c r="BY34">
        <v>32.993319</v>
      </c>
      <c r="BZ34">
        <v>36.419832999999997</v>
      </c>
      <c r="CA34">
        <v>38.248309999999996</v>
      </c>
      <c r="CB34">
        <v>44.223382999999998</v>
      </c>
      <c r="CC34">
        <v>21.406341999999999</v>
      </c>
      <c r="CD34">
        <v>30.779944</v>
      </c>
      <c r="CE34" t="s">
        <v>273</v>
      </c>
      <c r="CF34">
        <v>33.373218000000001</v>
      </c>
      <c r="CG34">
        <v>36.839187000000003</v>
      </c>
      <c r="CH34">
        <v>38.688718000000001</v>
      </c>
      <c r="CI34">
        <v>44.732590000000002</v>
      </c>
      <c r="CJ34">
        <v>21.652823999999999</v>
      </c>
      <c r="CK34">
        <v>31.134357000000001</v>
      </c>
      <c r="CL34" t="s">
        <v>273</v>
      </c>
      <c r="CM34">
        <v>259.64230400000002</v>
      </c>
      <c r="CN34">
        <v>235.21418199999999</v>
      </c>
      <c r="CO34">
        <v>223.96966800000001</v>
      </c>
      <c r="CP34">
        <v>193.70886400000001</v>
      </c>
      <c r="CQ34">
        <v>400.18332500000002</v>
      </c>
      <c r="CR34">
        <v>278.31309099999999</v>
      </c>
      <c r="CS34" t="s">
        <v>273</v>
      </c>
      <c r="CT34">
        <v>309.248649</v>
      </c>
      <c r="CU34">
        <v>301.78279600000002</v>
      </c>
      <c r="CV34">
        <v>266.72153500000002</v>
      </c>
      <c r="CW34">
        <v>656.15299100000004</v>
      </c>
      <c r="CX34">
        <v>237.29834099999999</v>
      </c>
      <c r="CY34">
        <v>573.27098100000001</v>
      </c>
      <c r="CZ34" t="s">
        <v>273</v>
      </c>
      <c r="DA34">
        <v>3.6105510000000001</v>
      </c>
      <c r="DB34">
        <v>510.01</v>
      </c>
      <c r="DC34">
        <v>3.8893059999999999</v>
      </c>
      <c r="DD34">
        <v>864</v>
      </c>
      <c r="DE34">
        <v>3.610023</v>
      </c>
      <c r="DF34">
        <v>505</v>
      </c>
      <c r="DG34">
        <v>10.268257999999999</v>
      </c>
      <c r="DH34">
        <v>765</v>
      </c>
      <c r="DI34">
        <v>1.797533</v>
      </c>
      <c r="DJ34">
        <v>235</v>
      </c>
      <c r="DK34">
        <v>6.2440660000000001</v>
      </c>
      <c r="DL34">
        <v>365</v>
      </c>
      <c r="DM34" t="s">
        <v>273</v>
      </c>
      <c r="DN34">
        <v>3.4579909999999998</v>
      </c>
      <c r="DO34">
        <v>7.974469</v>
      </c>
      <c r="DP34">
        <v>4.2125690000000002</v>
      </c>
      <c r="DQ34" t="s">
        <v>282</v>
      </c>
      <c r="DR34">
        <v>4.8834030000000004</v>
      </c>
      <c r="DS34">
        <v>16.448782000000001</v>
      </c>
      <c r="DT34">
        <v>33.519224000000001</v>
      </c>
      <c r="DU34">
        <v>87.736024999999998</v>
      </c>
      <c r="DV34">
        <v>118.376425</v>
      </c>
      <c r="DW34" t="s">
        <v>283</v>
      </c>
      <c r="DX34" t="s">
        <v>273</v>
      </c>
      <c r="DY34">
        <v>24.158541</v>
      </c>
      <c r="DZ34">
        <v>4.1061E-2</v>
      </c>
      <c r="EA34">
        <v>0.86719599999999997</v>
      </c>
      <c r="EB34">
        <v>0.72918700000000003</v>
      </c>
      <c r="EC34">
        <v>84.085592000000005</v>
      </c>
      <c r="ED34">
        <v>19.995709000000002</v>
      </c>
      <c r="EE34">
        <v>444.70154700000001</v>
      </c>
      <c r="EF34">
        <v>5.0665500000000003</v>
      </c>
      <c r="EG34">
        <v>27</v>
      </c>
      <c r="EH34">
        <v>27</v>
      </c>
      <c r="EI34">
        <v>22</v>
      </c>
      <c r="EJ34">
        <v>25</v>
      </c>
      <c r="EK34" t="s">
        <v>273</v>
      </c>
      <c r="EL34" t="s">
        <v>273</v>
      </c>
      <c r="EM34">
        <v>21.663326999999999</v>
      </c>
      <c r="EN34">
        <v>1.9688000000000001E-2</v>
      </c>
      <c r="EO34">
        <v>0.75885400000000003</v>
      </c>
      <c r="EP34">
        <v>0.60087800000000002</v>
      </c>
      <c r="EQ34">
        <v>79.182293999999999</v>
      </c>
      <c r="ER34">
        <v>16.643813000000002</v>
      </c>
      <c r="ES34">
        <v>335.32962099999997</v>
      </c>
      <c r="ET34">
        <v>2.4292889999999998</v>
      </c>
      <c r="EU34">
        <v>27</v>
      </c>
      <c r="EV34">
        <v>27</v>
      </c>
      <c r="EW34">
        <v>27</v>
      </c>
      <c r="EX34">
        <v>27</v>
      </c>
      <c r="EY34" t="s">
        <v>273</v>
      </c>
      <c r="EZ34" t="s">
        <v>273</v>
      </c>
      <c r="FA34">
        <v>27.996912999999999</v>
      </c>
      <c r="FB34">
        <v>4.1466000000000003E-2</v>
      </c>
      <c r="FC34">
        <v>0.86677599999999999</v>
      </c>
      <c r="FD34">
        <v>0.72916199999999998</v>
      </c>
      <c r="FE34">
        <v>84.123406000000003</v>
      </c>
      <c r="FF34">
        <v>23.182796</v>
      </c>
      <c r="FG34">
        <v>444.74740300000002</v>
      </c>
      <c r="FH34">
        <v>5.1165940000000001</v>
      </c>
      <c r="FI34">
        <v>27</v>
      </c>
      <c r="FJ34">
        <v>27</v>
      </c>
      <c r="FK34">
        <v>22</v>
      </c>
      <c r="FL34">
        <v>25</v>
      </c>
      <c r="FM34" t="s">
        <v>273</v>
      </c>
      <c r="FN34" t="s">
        <v>273</v>
      </c>
      <c r="FO34">
        <v>30.673351</v>
      </c>
      <c r="FP34">
        <v>7.7980999999999995E-2</v>
      </c>
      <c r="FQ34">
        <v>2.3361730000000001</v>
      </c>
      <c r="FR34">
        <v>2.0553900000000001</v>
      </c>
      <c r="FS34">
        <v>87.981072999999995</v>
      </c>
      <c r="FT34">
        <v>26.846599000000001</v>
      </c>
      <c r="FU34">
        <v>445.44081899999998</v>
      </c>
      <c r="FV34">
        <v>9.6221960000000006</v>
      </c>
      <c r="FW34">
        <v>11</v>
      </c>
      <c r="FX34">
        <v>11</v>
      </c>
      <c r="FY34">
        <v>11</v>
      </c>
      <c r="FZ34">
        <v>10</v>
      </c>
      <c r="GA34" t="s">
        <v>273</v>
      </c>
      <c r="GB34" t="s">
        <v>273</v>
      </c>
      <c r="GC34">
        <v>30.279817000000001</v>
      </c>
      <c r="GD34">
        <v>8.3007999999999998E-2</v>
      </c>
      <c r="GE34">
        <v>0.83404</v>
      </c>
      <c r="GF34">
        <v>0.68866899999999998</v>
      </c>
      <c r="GG34">
        <v>82.570359999999994</v>
      </c>
      <c r="GH34">
        <v>24.273263</v>
      </c>
      <c r="GI34">
        <v>832.03928900000005</v>
      </c>
      <c r="GJ34">
        <v>10.242399000000001</v>
      </c>
      <c r="GK34">
        <v>27</v>
      </c>
      <c r="GL34">
        <v>27</v>
      </c>
      <c r="GM34">
        <v>15</v>
      </c>
      <c r="GN34">
        <v>25</v>
      </c>
      <c r="GO34" t="s">
        <v>273</v>
      </c>
      <c r="GP34" t="s">
        <v>273</v>
      </c>
      <c r="GQ34">
        <v>32.088890999999997</v>
      </c>
      <c r="GR34">
        <v>0.15110599999999999</v>
      </c>
      <c r="GS34">
        <v>2.1352730000000002</v>
      </c>
      <c r="GT34">
        <v>1.903702</v>
      </c>
      <c r="GU34">
        <v>89.154956999999996</v>
      </c>
      <c r="GV34">
        <v>28.409127000000002</v>
      </c>
      <c r="GW34">
        <v>677.24065399999995</v>
      </c>
      <c r="GX34">
        <v>18.645177</v>
      </c>
      <c r="GY34">
        <v>60</v>
      </c>
      <c r="GZ34">
        <v>60</v>
      </c>
      <c r="HA34">
        <v>40</v>
      </c>
      <c r="HB34">
        <v>42</v>
      </c>
      <c r="HC34" t="s">
        <v>273</v>
      </c>
      <c r="HD34" t="s">
        <v>273</v>
      </c>
      <c r="HE34">
        <v>18</v>
      </c>
      <c r="HF34">
        <v>5.0000000000000001E-4</v>
      </c>
      <c r="HG34">
        <v>6.4999999999999997E-3</v>
      </c>
      <c r="HH34">
        <v>5.5556000000000001E-2</v>
      </c>
      <c r="HI34">
        <v>3000</v>
      </c>
    </row>
    <row r="35" spans="1:217" x14ac:dyDescent="0.3">
      <c r="A35">
        <v>321</v>
      </c>
      <c r="B35" t="s">
        <v>269</v>
      </c>
      <c r="F35" t="s">
        <v>270</v>
      </c>
      <c r="G35" t="s">
        <v>271</v>
      </c>
      <c r="H35" t="s">
        <v>272</v>
      </c>
      <c r="I35">
        <v>3750</v>
      </c>
      <c r="J35">
        <v>1</v>
      </c>
      <c r="K35">
        <v>17.207812000000001</v>
      </c>
      <c r="L35">
        <v>0.22</v>
      </c>
      <c r="M35">
        <v>3.3870999999999998E-2</v>
      </c>
      <c r="N35">
        <v>0</v>
      </c>
      <c r="O35">
        <v>0</v>
      </c>
      <c r="P35">
        <v>0</v>
      </c>
      <c r="Q35">
        <v>15.05</v>
      </c>
      <c r="R35">
        <v>1</v>
      </c>
      <c r="S35">
        <v>1</v>
      </c>
      <c r="T35">
        <v>1</v>
      </c>
      <c r="U35">
        <v>1</v>
      </c>
      <c r="V35">
        <v>100</v>
      </c>
      <c r="W35" t="s">
        <v>273</v>
      </c>
      <c r="X35" t="s">
        <v>274</v>
      </c>
      <c r="Y35" t="s">
        <v>274</v>
      </c>
      <c r="Z35" t="s">
        <v>273</v>
      </c>
      <c r="AA35" t="s">
        <v>275</v>
      </c>
      <c r="AB35" t="s">
        <v>276</v>
      </c>
      <c r="AC35">
        <v>329</v>
      </c>
      <c r="AD35">
        <v>5</v>
      </c>
      <c r="AE35" t="s">
        <v>277</v>
      </c>
      <c r="AF35">
        <v>3.166026</v>
      </c>
      <c r="AG35">
        <v>100</v>
      </c>
      <c r="AH35">
        <v>28.5</v>
      </c>
      <c r="AI35">
        <v>1710</v>
      </c>
      <c r="AJ35">
        <v>800</v>
      </c>
      <c r="AK35">
        <v>1200</v>
      </c>
      <c r="AL35">
        <v>179.2</v>
      </c>
      <c r="AM35">
        <v>2.2000000000000002</v>
      </c>
      <c r="AN35" t="s">
        <v>273</v>
      </c>
      <c r="AO35" t="s">
        <v>278</v>
      </c>
      <c r="AP35" t="s">
        <v>286</v>
      </c>
      <c r="AQ35">
        <v>2.8</v>
      </c>
      <c r="AR35">
        <v>4</v>
      </c>
      <c r="AS35">
        <v>157.19999999999999</v>
      </c>
      <c r="AT35">
        <v>286</v>
      </c>
      <c r="AU35">
        <v>0.16279199999999999</v>
      </c>
      <c r="AV35">
        <v>36.9</v>
      </c>
      <c r="AW35">
        <v>233.8</v>
      </c>
      <c r="AX35" t="s">
        <v>280</v>
      </c>
      <c r="AY35">
        <v>0</v>
      </c>
      <c r="AZ35" t="s">
        <v>281</v>
      </c>
      <c r="BA35">
        <v>0.2</v>
      </c>
      <c r="BB35">
        <v>0.5</v>
      </c>
      <c r="BC35" t="s">
        <v>273</v>
      </c>
      <c r="BD35" t="s">
        <v>273</v>
      </c>
      <c r="BE35">
        <v>29.673902999999999</v>
      </c>
      <c r="BF35">
        <v>30.015581000000001</v>
      </c>
      <c r="BG35">
        <v>288.68670300000002</v>
      </c>
      <c r="BH35" t="s">
        <v>273</v>
      </c>
      <c r="BI35">
        <v>36.343491</v>
      </c>
      <c r="BJ35">
        <v>36.761966000000001</v>
      </c>
      <c r="BK35">
        <v>235.708268</v>
      </c>
      <c r="BL35" t="s">
        <v>273</v>
      </c>
      <c r="BM35">
        <v>36.345100000000002</v>
      </c>
      <c r="BN35">
        <v>36.763593</v>
      </c>
      <c r="BO35">
        <v>235.697835</v>
      </c>
      <c r="BP35" t="s">
        <v>273</v>
      </c>
      <c r="BQ35">
        <v>22.784693000000001</v>
      </c>
      <c r="BR35">
        <v>23.047046000000002</v>
      </c>
      <c r="BS35">
        <v>375.974401</v>
      </c>
      <c r="BT35" t="s">
        <v>273</v>
      </c>
      <c r="BU35">
        <v>8.2888000000000002</v>
      </c>
      <c r="BV35">
        <v>8.3842409999999994</v>
      </c>
      <c r="BW35">
        <v>1033.4983360000001</v>
      </c>
      <c r="BX35" t="s">
        <v>273</v>
      </c>
      <c r="BY35">
        <v>26.945364000000001</v>
      </c>
      <c r="BZ35">
        <v>30.094493</v>
      </c>
      <c r="CA35">
        <v>31.235043999999998</v>
      </c>
      <c r="CB35">
        <v>36.345100000000002</v>
      </c>
      <c r="CC35">
        <v>17.400185</v>
      </c>
      <c r="CD35">
        <v>25.013168</v>
      </c>
      <c r="CE35" t="s">
        <v>273</v>
      </c>
      <c r="CF35">
        <v>27.255624999999998</v>
      </c>
      <c r="CG35">
        <v>30.441013999999999</v>
      </c>
      <c r="CH35">
        <v>31.594698000000001</v>
      </c>
      <c r="CI35">
        <v>36.763593</v>
      </c>
      <c r="CJ35">
        <v>17.600538</v>
      </c>
      <c r="CK35">
        <v>25.301181</v>
      </c>
      <c r="CL35" t="s">
        <v>273</v>
      </c>
      <c r="CM35">
        <v>317.91967</v>
      </c>
      <c r="CN35">
        <v>284.65212200000002</v>
      </c>
      <c r="CO35">
        <v>274.25801799999999</v>
      </c>
      <c r="CP35">
        <v>235.697835</v>
      </c>
      <c r="CQ35">
        <v>492.32012400000002</v>
      </c>
      <c r="CR35">
        <v>342.47806000000003</v>
      </c>
      <c r="CS35" t="s">
        <v>273</v>
      </c>
      <c r="CT35">
        <v>378.69957599999998</v>
      </c>
      <c r="CU35">
        <v>365.267785</v>
      </c>
      <c r="CV35">
        <v>326.64204799999999</v>
      </c>
      <c r="CW35">
        <v>798.367255</v>
      </c>
      <c r="CX35">
        <v>291.97353900000002</v>
      </c>
      <c r="CY35">
        <v>705.47515499999997</v>
      </c>
      <c r="CZ35" t="s">
        <v>273</v>
      </c>
      <c r="DA35">
        <v>3.6109260000000001</v>
      </c>
      <c r="DB35">
        <v>510.01</v>
      </c>
      <c r="DC35">
        <v>3.8898969999999999</v>
      </c>
      <c r="DD35">
        <v>864</v>
      </c>
      <c r="DE35">
        <v>3.6103879999999999</v>
      </c>
      <c r="DF35">
        <v>505</v>
      </c>
      <c r="DG35">
        <v>10.268057000000001</v>
      </c>
      <c r="DH35">
        <v>765</v>
      </c>
      <c r="DI35">
        <v>1.797782</v>
      </c>
      <c r="DJ35">
        <v>235</v>
      </c>
      <c r="DK35">
        <v>6.2443910000000002</v>
      </c>
      <c r="DL35">
        <v>365</v>
      </c>
      <c r="DM35" t="s">
        <v>273</v>
      </c>
      <c r="DN35">
        <v>3.4566150000000002</v>
      </c>
      <c r="DO35">
        <v>7.9122640000000004</v>
      </c>
      <c r="DP35">
        <v>4.0166560000000002</v>
      </c>
      <c r="DQ35" t="s">
        <v>282</v>
      </c>
      <c r="DR35">
        <v>4.7379259999999999</v>
      </c>
      <c r="DS35">
        <v>16.388019</v>
      </c>
      <c r="DT35">
        <v>33.054864999999999</v>
      </c>
      <c r="DU35">
        <v>88.197075999999996</v>
      </c>
      <c r="DV35">
        <v>118.30834299999999</v>
      </c>
      <c r="DW35" t="s">
        <v>283</v>
      </c>
      <c r="DX35" t="s">
        <v>273</v>
      </c>
      <c r="DY35">
        <v>24.614735</v>
      </c>
      <c r="DZ35">
        <v>4.0253999999999998E-2</v>
      </c>
      <c r="EA35">
        <v>1.082004</v>
      </c>
      <c r="EB35">
        <v>0.91090099999999996</v>
      </c>
      <c r="EC35">
        <v>84.186553000000004</v>
      </c>
      <c r="ED35">
        <v>20.391556999999999</v>
      </c>
      <c r="EE35">
        <v>555.29549399999996</v>
      </c>
      <c r="EF35">
        <v>6.3272199999999996</v>
      </c>
      <c r="EG35">
        <v>26</v>
      </c>
      <c r="EH35">
        <v>26</v>
      </c>
      <c r="EI35">
        <v>21</v>
      </c>
      <c r="EJ35">
        <v>24</v>
      </c>
      <c r="EK35" t="s">
        <v>273</v>
      </c>
      <c r="EL35" t="s">
        <v>273</v>
      </c>
      <c r="EM35">
        <v>22.397144999999998</v>
      </c>
      <c r="EN35">
        <v>1.9310000000000001E-2</v>
      </c>
      <c r="EO35">
        <v>0.949604</v>
      </c>
      <c r="EP35">
        <v>0.75127100000000002</v>
      </c>
      <c r="EQ35">
        <v>79.114130000000003</v>
      </c>
      <c r="ER35">
        <v>17.180699000000001</v>
      </c>
      <c r="ES35">
        <v>418.90066100000001</v>
      </c>
      <c r="ET35">
        <v>3.0351789999999998</v>
      </c>
      <c r="EU35">
        <v>27</v>
      </c>
      <c r="EV35">
        <v>27</v>
      </c>
      <c r="EW35">
        <v>27</v>
      </c>
      <c r="EX35">
        <v>27</v>
      </c>
      <c r="EY35" t="s">
        <v>273</v>
      </c>
      <c r="EZ35" t="s">
        <v>273</v>
      </c>
      <c r="FA35">
        <v>28.527374999999999</v>
      </c>
      <c r="FB35">
        <v>4.0652000000000001E-2</v>
      </c>
      <c r="FC35">
        <v>1.081615</v>
      </c>
      <c r="FD35">
        <v>0.91086999999999996</v>
      </c>
      <c r="FE35">
        <v>84.213899999999995</v>
      </c>
      <c r="FF35">
        <v>23.640228</v>
      </c>
      <c r="FG35">
        <v>555.35343699999999</v>
      </c>
      <c r="FH35">
        <v>6.3897060000000003</v>
      </c>
      <c r="FI35">
        <v>26</v>
      </c>
      <c r="FJ35">
        <v>26</v>
      </c>
      <c r="FK35">
        <v>21</v>
      </c>
      <c r="FL35">
        <v>24</v>
      </c>
      <c r="FM35" t="s">
        <v>273</v>
      </c>
      <c r="FN35" t="s">
        <v>273</v>
      </c>
      <c r="FO35">
        <v>31.466944999999999</v>
      </c>
      <c r="FP35">
        <v>7.6425999999999994E-2</v>
      </c>
      <c r="FQ35">
        <v>2.9160569999999999</v>
      </c>
      <c r="FR35">
        <v>2.5665439999999999</v>
      </c>
      <c r="FS35">
        <v>88.014190999999997</v>
      </c>
      <c r="FT35">
        <v>27.546403999999999</v>
      </c>
      <c r="FU35">
        <v>556.12419899999998</v>
      </c>
      <c r="FV35">
        <v>12.012890000000001</v>
      </c>
      <c r="FW35">
        <v>17</v>
      </c>
      <c r="FX35">
        <v>17</v>
      </c>
      <c r="FY35">
        <v>17</v>
      </c>
      <c r="FZ35">
        <v>16</v>
      </c>
      <c r="GA35" t="s">
        <v>273</v>
      </c>
      <c r="GB35" t="s">
        <v>273</v>
      </c>
      <c r="GC35">
        <v>30.801964999999999</v>
      </c>
      <c r="GD35">
        <v>8.1434999999999994E-2</v>
      </c>
      <c r="GE35">
        <v>1.0439039999999999</v>
      </c>
      <c r="GF35">
        <v>0.86083699999999996</v>
      </c>
      <c r="GG35">
        <v>82.463247999999993</v>
      </c>
      <c r="GH35">
        <v>24.654440000000001</v>
      </c>
      <c r="GI35">
        <v>1039.678013</v>
      </c>
      <c r="GJ35">
        <v>12.800205</v>
      </c>
      <c r="GK35">
        <v>26</v>
      </c>
      <c r="GL35">
        <v>26</v>
      </c>
      <c r="GM35">
        <v>15</v>
      </c>
      <c r="GN35">
        <v>24</v>
      </c>
      <c r="GO35" t="s">
        <v>273</v>
      </c>
      <c r="GP35" t="s">
        <v>273</v>
      </c>
      <c r="GQ35">
        <v>32.637673999999997</v>
      </c>
      <c r="GR35">
        <v>0.148453</v>
      </c>
      <c r="GS35">
        <v>2.6726350000000001</v>
      </c>
      <c r="GT35">
        <v>2.3826109999999998</v>
      </c>
      <c r="GU35">
        <v>89.148404999999997</v>
      </c>
      <c r="GV35">
        <v>28.891017000000002</v>
      </c>
      <c r="GW35">
        <v>847.51451999999995</v>
      </c>
      <c r="GX35">
        <v>23.334219000000001</v>
      </c>
      <c r="GY35">
        <v>92</v>
      </c>
      <c r="GZ35">
        <v>92</v>
      </c>
      <c r="HA35">
        <v>38</v>
      </c>
      <c r="HB35">
        <v>40</v>
      </c>
      <c r="HC35" t="s">
        <v>273</v>
      </c>
      <c r="HD35" t="s">
        <v>273</v>
      </c>
      <c r="HE35">
        <v>18</v>
      </c>
      <c r="HF35">
        <v>5.0000000000000001E-4</v>
      </c>
      <c r="HG35">
        <v>6.4999999999999997E-3</v>
      </c>
      <c r="HH35">
        <v>5.5556000000000001E-2</v>
      </c>
      <c r="HI35">
        <v>3750</v>
      </c>
    </row>
    <row r="36" spans="1:217" x14ac:dyDescent="0.3">
      <c r="A36">
        <v>322</v>
      </c>
      <c r="B36" t="s">
        <v>269</v>
      </c>
      <c r="F36" t="s">
        <v>270</v>
      </c>
      <c r="G36" t="s">
        <v>271</v>
      </c>
      <c r="H36" t="s">
        <v>272</v>
      </c>
      <c r="I36">
        <v>3750</v>
      </c>
      <c r="J36">
        <v>1</v>
      </c>
      <c r="K36">
        <v>17.207812000000001</v>
      </c>
      <c r="L36">
        <v>0.22</v>
      </c>
      <c r="M36">
        <v>3.3870999999999998E-2</v>
      </c>
      <c r="N36">
        <v>0</v>
      </c>
      <c r="O36">
        <v>0</v>
      </c>
      <c r="P36">
        <v>0</v>
      </c>
      <c r="Q36">
        <v>15.05</v>
      </c>
      <c r="R36">
        <v>1</v>
      </c>
      <c r="S36">
        <v>1</v>
      </c>
      <c r="T36">
        <v>1</v>
      </c>
      <c r="U36">
        <v>1</v>
      </c>
      <c r="V36">
        <v>100</v>
      </c>
      <c r="W36" t="s">
        <v>273</v>
      </c>
      <c r="X36" t="s">
        <v>274</v>
      </c>
      <c r="Y36" t="s">
        <v>274</v>
      </c>
      <c r="Z36" t="s">
        <v>273</v>
      </c>
      <c r="AA36" t="s">
        <v>275</v>
      </c>
      <c r="AB36" t="s">
        <v>276</v>
      </c>
      <c r="AC36">
        <v>188</v>
      </c>
      <c r="AD36">
        <v>5</v>
      </c>
      <c r="AE36" t="s">
        <v>277</v>
      </c>
      <c r="AF36">
        <v>3.6103809999999998</v>
      </c>
      <c r="AG36">
        <v>100</v>
      </c>
      <c r="AH36">
        <v>32.5</v>
      </c>
      <c r="AI36">
        <v>1950</v>
      </c>
      <c r="AJ36">
        <v>800</v>
      </c>
      <c r="AK36">
        <v>1200</v>
      </c>
      <c r="AL36">
        <v>237.3</v>
      </c>
      <c r="AM36">
        <v>2.2000000000000002</v>
      </c>
      <c r="AN36" t="s">
        <v>273</v>
      </c>
      <c r="AO36" t="s">
        <v>278</v>
      </c>
      <c r="AP36" t="s">
        <v>287</v>
      </c>
      <c r="AQ36">
        <v>1.6</v>
      </c>
      <c r="AR36">
        <v>4</v>
      </c>
      <c r="AS36">
        <v>89.6</v>
      </c>
      <c r="AT36">
        <v>163.1</v>
      </c>
      <c r="AU36">
        <v>9.3023999999999996E-2</v>
      </c>
      <c r="AV36">
        <v>36</v>
      </c>
      <c r="AW36">
        <v>239.3</v>
      </c>
      <c r="AX36" t="s">
        <v>280</v>
      </c>
      <c r="AY36">
        <v>0</v>
      </c>
      <c r="AZ36" t="s">
        <v>281</v>
      </c>
      <c r="BA36">
        <v>0.2</v>
      </c>
      <c r="BB36">
        <v>0.5</v>
      </c>
      <c r="BC36" t="s">
        <v>273</v>
      </c>
      <c r="BD36" t="s">
        <v>273</v>
      </c>
      <c r="BE36">
        <v>32.516150000000003</v>
      </c>
      <c r="BF36">
        <v>32.890554999999999</v>
      </c>
      <c r="BG36">
        <v>263.45251100000002</v>
      </c>
      <c r="BH36" t="s">
        <v>273</v>
      </c>
      <c r="BI36">
        <v>36.720427000000001</v>
      </c>
      <c r="BJ36">
        <v>37.143242000000001</v>
      </c>
      <c r="BK36">
        <v>233.28871599999999</v>
      </c>
      <c r="BL36" t="s">
        <v>273</v>
      </c>
      <c r="BM36">
        <v>36.722757000000001</v>
      </c>
      <c r="BN36">
        <v>37.145598</v>
      </c>
      <c r="BO36">
        <v>233.27391700000001</v>
      </c>
      <c r="BP36" t="s">
        <v>273</v>
      </c>
      <c r="BQ36">
        <v>22.097752</v>
      </c>
      <c r="BR36">
        <v>22.352194999999998</v>
      </c>
      <c r="BS36">
        <v>387.66212000000002</v>
      </c>
      <c r="BT36" t="s">
        <v>273</v>
      </c>
      <c r="BU36">
        <v>11.538542</v>
      </c>
      <c r="BV36">
        <v>11.671402</v>
      </c>
      <c r="BW36">
        <v>742.42147899999998</v>
      </c>
      <c r="BX36" t="s">
        <v>273</v>
      </c>
      <c r="BY36">
        <v>28.416561999999999</v>
      </c>
      <c r="BZ36">
        <v>34.307254999999998</v>
      </c>
      <c r="CA36">
        <v>32.853974000000001</v>
      </c>
      <c r="CB36">
        <v>36.722757000000001</v>
      </c>
      <c r="CC36">
        <v>16.905194000000002</v>
      </c>
      <c r="CD36">
        <v>24.230927000000001</v>
      </c>
      <c r="CE36" t="s">
        <v>273</v>
      </c>
      <c r="CF36">
        <v>28.743762</v>
      </c>
      <c r="CG36">
        <v>34.702283999999999</v>
      </c>
      <c r="CH36">
        <v>33.232269000000002</v>
      </c>
      <c r="CI36">
        <v>37.145598</v>
      </c>
      <c r="CJ36">
        <v>17.099847</v>
      </c>
      <c r="CK36">
        <v>24.509931999999999</v>
      </c>
      <c r="CL36" t="s">
        <v>273</v>
      </c>
      <c r="CM36">
        <v>301.46015999999997</v>
      </c>
      <c r="CN36">
        <v>249.698241</v>
      </c>
      <c r="CO36">
        <v>260.74353200000002</v>
      </c>
      <c r="CP36">
        <v>233.27391700000001</v>
      </c>
      <c r="CQ36">
        <v>506.73546800000003</v>
      </c>
      <c r="CR36">
        <v>353.534199</v>
      </c>
      <c r="CS36" t="s">
        <v>273</v>
      </c>
      <c r="CT36">
        <v>358.56152400000002</v>
      </c>
      <c r="CU36">
        <v>319.54658000000001</v>
      </c>
      <c r="CV36">
        <v>310.08410199999997</v>
      </c>
      <c r="CW36">
        <v>790.019813</v>
      </c>
      <c r="CX36">
        <v>298.75257699999997</v>
      </c>
      <c r="CY36">
        <v>727.22117300000002</v>
      </c>
      <c r="CZ36" t="s">
        <v>273</v>
      </c>
      <c r="DA36">
        <v>3.6055779999999999</v>
      </c>
      <c r="DB36">
        <v>510.01</v>
      </c>
      <c r="DC36">
        <v>3.8793579999999999</v>
      </c>
      <c r="DD36">
        <v>864</v>
      </c>
      <c r="DE36">
        <v>3.6050149999999999</v>
      </c>
      <c r="DF36">
        <v>505</v>
      </c>
      <c r="DG36">
        <v>10.266276</v>
      </c>
      <c r="DH36">
        <v>765</v>
      </c>
      <c r="DI36">
        <v>1.787193</v>
      </c>
      <c r="DJ36">
        <v>235</v>
      </c>
      <c r="DK36">
        <v>6.2355710000000002</v>
      </c>
      <c r="DL36">
        <v>365</v>
      </c>
      <c r="DM36" t="s">
        <v>273</v>
      </c>
      <c r="DN36">
        <v>4.8128710000000003</v>
      </c>
      <c r="DO36">
        <v>12.873862000000001</v>
      </c>
      <c r="DP36">
        <v>6.1413399999999996</v>
      </c>
      <c r="DQ36" t="s">
        <v>282</v>
      </c>
      <c r="DR36">
        <v>11.438613999999999</v>
      </c>
      <c r="DS36">
        <v>19.769680999999999</v>
      </c>
      <c r="DT36">
        <v>50.223495999999997</v>
      </c>
      <c r="DU36">
        <v>72.277056999999999</v>
      </c>
      <c r="DV36">
        <v>92.852114999999998</v>
      </c>
      <c r="DW36" t="s">
        <v>283</v>
      </c>
      <c r="DX36" t="s">
        <v>273</v>
      </c>
      <c r="DY36">
        <v>26.012288999999999</v>
      </c>
      <c r="DZ36">
        <v>7.0583000000000007E-2</v>
      </c>
      <c r="EA36">
        <v>1.082632</v>
      </c>
      <c r="EB36">
        <v>0.90819300000000003</v>
      </c>
      <c r="EC36">
        <v>83.887457999999995</v>
      </c>
      <c r="ED36">
        <v>21.526737000000001</v>
      </c>
      <c r="EE36">
        <v>555.85940300000004</v>
      </c>
      <c r="EF36">
        <v>6.3242649999999996</v>
      </c>
      <c r="EG36">
        <v>32</v>
      </c>
      <c r="EH36">
        <v>32</v>
      </c>
      <c r="EI36">
        <v>26</v>
      </c>
      <c r="EJ36">
        <v>31</v>
      </c>
      <c r="EK36" t="s">
        <v>273</v>
      </c>
      <c r="EL36" t="s">
        <v>273</v>
      </c>
      <c r="EM36">
        <v>25.118677000000002</v>
      </c>
      <c r="EN36">
        <v>3.3796E-2</v>
      </c>
      <c r="EO36">
        <v>0.93168600000000001</v>
      </c>
      <c r="EP36">
        <v>0.74360400000000004</v>
      </c>
      <c r="EQ36">
        <v>79.812664999999996</v>
      </c>
      <c r="ER36">
        <v>19.593485999999999</v>
      </c>
      <c r="ES36">
        <v>419.06748900000002</v>
      </c>
      <c r="ET36">
        <v>3.0281609999999999</v>
      </c>
      <c r="EU36">
        <v>36</v>
      </c>
      <c r="EV36">
        <v>36</v>
      </c>
      <c r="EW36">
        <v>36</v>
      </c>
      <c r="EX36">
        <v>35</v>
      </c>
      <c r="EY36" t="s">
        <v>273</v>
      </c>
      <c r="EZ36" t="s">
        <v>273</v>
      </c>
      <c r="FA36">
        <v>30.072662000000001</v>
      </c>
      <c r="FB36">
        <v>7.1280999999999997E-2</v>
      </c>
      <c r="FC36">
        <v>1.082406</v>
      </c>
      <c r="FD36">
        <v>0.90815100000000004</v>
      </c>
      <c r="FE36">
        <v>83.901195000000001</v>
      </c>
      <c r="FF36">
        <v>24.890937999999998</v>
      </c>
      <c r="FG36">
        <v>555.922144</v>
      </c>
      <c r="FH36">
        <v>6.38673</v>
      </c>
      <c r="FI36">
        <v>32</v>
      </c>
      <c r="FJ36">
        <v>32</v>
      </c>
      <c r="FK36">
        <v>26</v>
      </c>
      <c r="FL36">
        <v>31</v>
      </c>
      <c r="FM36" t="s">
        <v>273</v>
      </c>
      <c r="FN36" t="s">
        <v>273</v>
      </c>
      <c r="FO36">
        <v>31.850852</v>
      </c>
      <c r="FP36">
        <v>0.13400500000000001</v>
      </c>
      <c r="FQ36">
        <v>2.9207719999999999</v>
      </c>
      <c r="FR36">
        <v>2.5636830000000002</v>
      </c>
      <c r="FS36">
        <v>87.774146000000002</v>
      </c>
      <c r="FT36">
        <v>27.823350999999999</v>
      </c>
      <c r="FU36">
        <v>555.93872499999998</v>
      </c>
      <c r="FV36">
        <v>12.006800999999999</v>
      </c>
      <c r="FW36">
        <v>29</v>
      </c>
      <c r="FX36">
        <v>29</v>
      </c>
      <c r="FY36">
        <v>29</v>
      </c>
      <c r="FZ36">
        <v>26</v>
      </c>
      <c r="GA36" t="s">
        <v>273</v>
      </c>
      <c r="GB36" t="s">
        <v>273</v>
      </c>
      <c r="GC36">
        <v>29.920418999999999</v>
      </c>
      <c r="GD36">
        <v>0.142647</v>
      </c>
      <c r="GE36">
        <v>1.037571</v>
      </c>
      <c r="GF36">
        <v>0.85575299999999999</v>
      </c>
      <c r="GG36">
        <v>82.476533000000003</v>
      </c>
      <c r="GH36">
        <v>24.059232000000002</v>
      </c>
      <c r="GI36">
        <v>1044.2850100000001</v>
      </c>
      <c r="GJ36">
        <v>12.781198</v>
      </c>
      <c r="GK36">
        <v>30</v>
      </c>
      <c r="GL36">
        <v>30</v>
      </c>
      <c r="GM36">
        <v>15</v>
      </c>
      <c r="GN36">
        <v>28</v>
      </c>
      <c r="GO36" t="s">
        <v>273</v>
      </c>
      <c r="GP36" t="s">
        <v>273</v>
      </c>
      <c r="GQ36">
        <v>32.180895</v>
      </c>
      <c r="GR36">
        <v>0.25939200000000001</v>
      </c>
      <c r="GS36">
        <v>2.7164600000000001</v>
      </c>
      <c r="GT36">
        <v>2.3710200000000001</v>
      </c>
      <c r="GU36">
        <v>87.283446999999995</v>
      </c>
      <c r="GV36">
        <v>27.915783000000001</v>
      </c>
      <c r="GW36">
        <v>845.34255599999995</v>
      </c>
      <c r="GX36">
        <v>23.241544000000001</v>
      </c>
      <c r="GY36">
        <v>51</v>
      </c>
      <c r="GZ36">
        <v>51</v>
      </c>
      <c r="HA36">
        <v>39</v>
      </c>
      <c r="HB36">
        <v>39</v>
      </c>
      <c r="HC36" t="s">
        <v>273</v>
      </c>
      <c r="HD36" t="s">
        <v>273</v>
      </c>
      <c r="HE36">
        <v>31</v>
      </c>
      <c r="HF36">
        <v>5.0000000000000001E-4</v>
      </c>
      <c r="HG36">
        <v>6.4999999999999997E-3</v>
      </c>
      <c r="HH36">
        <v>3.2258000000000002E-2</v>
      </c>
      <c r="HI36">
        <v>3750</v>
      </c>
    </row>
    <row r="37" spans="1:217" x14ac:dyDescent="0.3">
      <c r="A37">
        <v>323</v>
      </c>
      <c r="B37" t="s">
        <v>269</v>
      </c>
      <c r="F37" t="s">
        <v>270</v>
      </c>
      <c r="G37" t="s">
        <v>271</v>
      </c>
      <c r="H37" t="s">
        <v>272</v>
      </c>
      <c r="I37">
        <v>5250</v>
      </c>
      <c r="J37">
        <v>1</v>
      </c>
      <c r="K37">
        <v>25.410938000000002</v>
      </c>
      <c r="L37">
        <v>0.22</v>
      </c>
      <c r="M37">
        <v>4.8520000000000001E-2</v>
      </c>
      <c r="N37">
        <v>0</v>
      </c>
      <c r="O37">
        <v>0</v>
      </c>
      <c r="P37">
        <v>0</v>
      </c>
      <c r="Q37">
        <v>21.03</v>
      </c>
      <c r="R37">
        <v>1</v>
      </c>
      <c r="S37">
        <v>1</v>
      </c>
      <c r="T37">
        <v>1</v>
      </c>
      <c r="U37">
        <v>1</v>
      </c>
      <c r="V37">
        <v>100</v>
      </c>
      <c r="W37" t="s">
        <v>273</v>
      </c>
      <c r="X37" t="s">
        <v>274</v>
      </c>
      <c r="Y37" t="s">
        <v>274</v>
      </c>
      <c r="Z37" t="s">
        <v>273</v>
      </c>
      <c r="AA37" t="s">
        <v>275</v>
      </c>
      <c r="AB37" t="s">
        <v>276</v>
      </c>
      <c r="AC37">
        <v>258</v>
      </c>
      <c r="AD37">
        <v>5</v>
      </c>
      <c r="AE37" t="s">
        <v>277</v>
      </c>
      <c r="AF37">
        <v>3.221571</v>
      </c>
      <c r="AG37">
        <v>100</v>
      </c>
      <c r="AH37">
        <v>29</v>
      </c>
      <c r="AI37">
        <v>1740</v>
      </c>
      <c r="AJ37">
        <v>800</v>
      </c>
      <c r="AK37">
        <v>1200</v>
      </c>
      <c r="AL37">
        <v>202.3</v>
      </c>
      <c r="AM37">
        <v>2.2000000000000002</v>
      </c>
      <c r="AN37" t="s">
        <v>273</v>
      </c>
      <c r="AO37" t="s">
        <v>278</v>
      </c>
      <c r="AP37" t="s">
        <v>285</v>
      </c>
      <c r="AQ37">
        <v>2.2000000000000002</v>
      </c>
      <c r="AR37">
        <v>4</v>
      </c>
      <c r="AS37">
        <v>123.4</v>
      </c>
      <c r="AT37">
        <v>224.5</v>
      </c>
      <c r="AU37">
        <v>0.12790799999999999</v>
      </c>
      <c r="AV37">
        <v>36.5</v>
      </c>
      <c r="AW37">
        <v>236.1</v>
      </c>
      <c r="AX37" t="s">
        <v>280</v>
      </c>
      <c r="AY37">
        <v>0</v>
      </c>
      <c r="AZ37" t="s">
        <v>281</v>
      </c>
      <c r="BA37">
        <v>0.2</v>
      </c>
      <c r="BB37">
        <v>0.5</v>
      </c>
      <c r="BC37" t="s">
        <v>273</v>
      </c>
      <c r="BD37" t="s">
        <v>273</v>
      </c>
      <c r="BE37">
        <v>23.877199000000001</v>
      </c>
      <c r="BF37">
        <v>24.152131000000001</v>
      </c>
      <c r="BG37">
        <v>358.77161799999999</v>
      </c>
      <c r="BH37" t="s">
        <v>273</v>
      </c>
      <c r="BI37">
        <v>26.615441000000001</v>
      </c>
      <c r="BJ37">
        <v>26.921901999999999</v>
      </c>
      <c r="BK37">
        <v>321.86058600000001</v>
      </c>
      <c r="BL37" t="s">
        <v>273</v>
      </c>
      <c r="BM37">
        <v>26.616301</v>
      </c>
      <c r="BN37">
        <v>26.922772999999999</v>
      </c>
      <c r="BO37">
        <v>321.85017800000003</v>
      </c>
      <c r="BP37" t="s">
        <v>273</v>
      </c>
      <c r="BQ37">
        <v>15.705107999999999</v>
      </c>
      <c r="BR37">
        <v>15.885942999999999</v>
      </c>
      <c r="BS37">
        <v>545.45701799999995</v>
      </c>
      <c r="BT37" t="s">
        <v>273</v>
      </c>
      <c r="BU37">
        <v>7.5589599999999999</v>
      </c>
      <c r="BV37">
        <v>7.6459970000000004</v>
      </c>
      <c r="BW37">
        <v>1133.2857329999999</v>
      </c>
      <c r="BX37" t="s">
        <v>273</v>
      </c>
      <c r="BY37">
        <v>20.766427</v>
      </c>
      <c r="BZ37">
        <v>25.324534</v>
      </c>
      <c r="CA37">
        <v>24.000029999999999</v>
      </c>
      <c r="CB37">
        <v>26.616301</v>
      </c>
      <c r="CC37">
        <v>12.243717999999999</v>
      </c>
      <c r="CD37">
        <v>17.084150999999999</v>
      </c>
      <c r="CE37" t="s">
        <v>273</v>
      </c>
      <c r="CF37">
        <v>21.005541000000001</v>
      </c>
      <c r="CG37">
        <v>25.616132</v>
      </c>
      <c r="CH37">
        <v>24.276377</v>
      </c>
      <c r="CI37">
        <v>26.922772999999999</v>
      </c>
      <c r="CJ37">
        <v>12.384696999999999</v>
      </c>
      <c r="CK37">
        <v>17.280864999999999</v>
      </c>
      <c r="CL37" t="s">
        <v>273</v>
      </c>
      <c r="CM37">
        <v>412.51493599999998</v>
      </c>
      <c r="CN37">
        <v>338.26728300000002</v>
      </c>
      <c r="CO37">
        <v>356.93543799999998</v>
      </c>
      <c r="CP37">
        <v>321.85017800000003</v>
      </c>
      <c r="CQ37">
        <v>699.66178600000001</v>
      </c>
      <c r="CR37">
        <v>501.42740099999997</v>
      </c>
      <c r="CS37" t="s">
        <v>273</v>
      </c>
      <c r="CT37">
        <v>490.72583600000002</v>
      </c>
      <c r="CU37">
        <v>432.97378300000003</v>
      </c>
      <c r="CV37">
        <v>424.543814</v>
      </c>
      <c r="CW37">
        <v>1089.97478</v>
      </c>
      <c r="CX37">
        <v>410.79361999999998</v>
      </c>
      <c r="CY37">
        <v>1031.0898030000001</v>
      </c>
      <c r="CZ37" t="s">
        <v>273</v>
      </c>
      <c r="DA37">
        <v>3.606122</v>
      </c>
      <c r="DB37">
        <v>510.01</v>
      </c>
      <c r="DC37">
        <v>3.8800979999999998</v>
      </c>
      <c r="DD37">
        <v>864</v>
      </c>
      <c r="DE37">
        <v>3.6055700000000002</v>
      </c>
      <c r="DF37">
        <v>505</v>
      </c>
      <c r="DG37">
        <v>10.266061000000001</v>
      </c>
      <c r="DH37">
        <v>765</v>
      </c>
      <c r="DI37">
        <v>1.779822</v>
      </c>
      <c r="DJ37">
        <v>235</v>
      </c>
      <c r="DK37">
        <v>6.233466</v>
      </c>
      <c r="DL37">
        <v>365</v>
      </c>
      <c r="DM37" t="s">
        <v>273</v>
      </c>
      <c r="DN37">
        <v>5.1142750000000001</v>
      </c>
      <c r="DO37">
        <v>13.829151</v>
      </c>
      <c r="DP37">
        <v>7.0008990000000004</v>
      </c>
      <c r="DQ37" t="s">
        <v>282</v>
      </c>
      <c r="DR37">
        <v>9.4261219999999994</v>
      </c>
      <c r="DS37">
        <v>20.112703</v>
      </c>
      <c r="DT37">
        <v>50.368875000000003</v>
      </c>
      <c r="DU37">
        <v>71.608504999999994</v>
      </c>
      <c r="DV37">
        <v>98.974592000000001</v>
      </c>
      <c r="DW37" t="s">
        <v>283</v>
      </c>
      <c r="DX37" t="s">
        <v>273</v>
      </c>
      <c r="DY37">
        <v>26.922709999999999</v>
      </c>
      <c r="DZ37">
        <v>7.1697999999999998E-2</v>
      </c>
      <c r="EA37">
        <v>1.5335449999999999</v>
      </c>
      <c r="EB37">
        <v>1.2703599999999999</v>
      </c>
      <c r="EC37">
        <v>82.838148000000004</v>
      </c>
      <c r="ED37">
        <v>22.003229000000001</v>
      </c>
      <c r="EE37">
        <v>777.46807000000001</v>
      </c>
      <c r="EF37">
        <v>8.8469409999999993</v>
      </c>
      <c r="EG37">
        <v>31</v>
      </c>
      <c r="EH37">
        <v>31</v>
      </c>
      <c r="EI37">
        <v>26</v>
      </c>
      <c r="EJ37">
        <v>29</v>
      </c>
      <c r="EK37" t="s">
        <v>273</v>
      </c>
      <c r="EL37" t="s">
        <v>273</v>
      </c>
      <c r="EM37">
        <v>26.506920999999998</v>
      </c>
      <c r="EN37">
        <v>3.4344E-2</v>
      </c>
      <c r="EO37">
        <v>1.3321700000000001</v>
      </c>
      <c r="EP37">
        <v>1.041075</v>
      </c>
      <c r="EQ37">
        <v>78.148820000000001</v>
      </c>
      <c r="ER37">
        <v>20.236937000000001</v>
      </c>
      <c r="ES37">
        <v>586.35587299999997</v>
      </c>
      <c r="ET37">
        <v>4.237787</v>
      </c>
      <c r="EU37">
        <v>29</v>
      </c>
      <c r="EV37">
        <v>29</v>
      </c>
      <c r="EW37">
        <v>28</v>
      </c>
      <c r="EX37">
        <v>29</v>
      </c>
      <c r="EY37" t="s">
        <v>273</v>
      </c>
      <c r="EZ37" t="s">
        <v>273</v>
      </c>
      <c r="FA37">
        <v>31.113358000000002</v>
      </c>
      <c r="FB37">
        <v>7.2405999999999998E-2</v>
      </c>
      <c r="FC37">
        <v>1.5332330000000001</v>
      </c>
      <c r="FD37">
        <v>1.2702979999999999</v>
      </c>
      <c r="FE37">
        <v>82.850937000000002</v>
      </c>
      <c r="FF37">
        <v>25.431901</v>
      </c>
      <c r="FG37">
        <v>777.54847700000005</v>
      </c>
      <c r="FH37">
        <v>8.9342679999999994</v>
      </c>
      <c r="FI37">
        <v>31</v>
      </c>
      <c r="FJ37">
        <v>31</v>
      </c>
      <c r="FK37">
        <v>26</v>
      </c>
      <c r="FL37">
        <v>29</v>
      </c>
      <c r="FM37" t="s">
        <v>273</v>
      </c>
      <c r="FN37" t="s">
        <v>273</v>
      </c>
      <c r="FO37">
        <v>32.614719000000001</v>
      </c>
      <c r="FP37">
        <v>0.13603799999999999</v>
      </c>
      <c r="FQ37">
        <v>4.1263759999999996</v>
      </c>
      <c r="FR37">
        <v>3.5828389999999999</v>
      </c>
      <c r="FS37">
        <v>86.827732999999995</v>
      </c>
      <c r="FT37">
        <v>28.193342000000001</v>
      </c>
      <c r="FU37">
        <v>777.23373000000004</v>
      </c>
      <c r="FV37">
        <v>16.785834000000001</v>
      </c>
      <c r="FW37">
        <v>40</v>
      </c>
      <c r="FX37">
        <v>40</v>
      </c>
      <c r="FY37">
        <v>40</v>
      </c>
      <c r="FZ37">
        <v>37</v>
      </c>
      <c r="GA37" t="s">
        <v>273</v>
      </c>
      <c r="GB37" t="s">
        <v>273</v>
      </c>
      <c r="GC37">
        <v>30.688179999999999</v>
      </c>
      <c r="GD37">
        <v>0.143954</v>
      </c>
      <c r="GE37">
        <v>1.4633</v>
      </c>
      <c r="GF37">
        <v>1.1880630000000001</v>
      </c>
      <c r="GG37">
        <v>81.190625999999995</v>
      </c>
      <c r="GH37">
        <v>24.316669000000001</v>
      </c>
      <c r="GI37">
        <v>1457.299215</v>
      </c>
      <c r="GJ37">
        <v>17.762595999999998</v>
      </c>
      <c r="GK37">
        <v>26</v>
      </c>
      <c r="GL37">
        <v>26</v>
      </c>
      <c r="GM37">
        <v>16</v>
      </c>
      <c r="GN37">
        <v>25</v>
      </c>
      <c r="GO37" t="s">
        <v>273</v>
      </c>
      <c r="GP37" t="s">
        <v>273</v>
      </c>
      <c r="GQ37">
        <v>32.499110999999999</v>
      </c>
      <c r="GR37">
        <v>0.26394699999999999</v>
      </c>
      <c r="GS37">
        <v>3.889615</v>
      </c>
      <c r="GT37">
        <v>3.3216670000000001</v>
      </c>
      <c r="GU37">
        <v>85.398329000000004</v>
      </c>
      <c r="GV37">
        <v>27.590261999999999</v>
      </c>
      <c r="GW37">
        <v>1184.991518</v>
      </c>
      <c r="GX37">
        <v>32.568731</v>
      </c>
      <c r="GY37">
        <v>63</v>
      </c>
      <c r="GZ37">
        <v>63</v>
      </c>
      <c r="HA37">
        <v>50</v>
      </c>
      <c r="HB37">
        <v>47</v>
      </c>
      <c r="HC37" t="s">
        <v>273</v>
      </c>
      <c r="HD37" t="s">
        <v>273</v>
      </c>
      <c r="HE37">
        <v>31</v>
      </c>
      <c r="HF37">
        <v>5.0000000000000001E-4</v>
      </c>
      <c r="HG37">
        <v>6.4999999999999997E-3</v>
      </c>
      <c r="HH37">
        <v>3.2258000000000002E-2</v>
      </c>
      <c r="HI37">
        <v>5250</v>
      </c>
    </row>
    <row r="38" spans="1:217" x14ac:dyDescent="0.3">
      <c r="A38">
        <v>324</v>
      </c>
      <c r="B38" t="s">
        <v>269</v>
      </c>
      <c r="F38" t="s">
        <v>270</v>
      </c>
      <c r="G38" t="s">
        <v>271</v>
      </c>
      <c r="H38" t="s">
        <v>272</v>
      </c>
      <c r="I38">
        <v>6500</v>
      </c>
      <c r="J38">
        <v>1</v>
      </c>
      <c r="K38">
        <v>32.246875000000003</v>
      </c>
      <c r="L38">
        <v>0.22</v>
      </c>
      <c r="M38">
        <v>6.0727000000000003E-2</v>
      </c>
      <c r="N38">
        <v>0</v>
      </c>
      <c r="O38">
        <v>0</v>
      </c>
      <c r="P38">
        <v>0</v>
      </c>
      <c r="Q38">
        <v>26.01</v>
      </c>
      <c r="R38">
        <v>1</v>
      </c>
      <c r="S38">
        <v>1</v>
      </c>
      <c r="T38">
        <v>1</v>
      </c>
      <c r="U38">
        <v>1</v>
      </c>
      <c r="V38">
        <v>100</v>
      </c>
      <c r="W38" t="s">
        <v>273</v>
      </c>
      <c r="X38" t="s">
        <v>274</v>
      </c>
      <c r="Y38" t="s">
        <v>274</v>
      </c>
      <c r="Z38" t="s">
        <v>273</v>
      </c>
      <c r="AA38" t="s">
        <v>275</v>
      </c>
      <c r="AB38" t="s">
        <v>276</v>
      </c>
      <c r="AC38">
        <v>329</v>
      </c>
      <c r="AD38">
        <v>5</v>
      </c>
      <c r="AE38" t="s">
        <v>277</v>
      </c>
      <c r="AF38">
        <v>3.166026</v>
      </c>
      <c r="AG38">
        <v>100</v>
      </c>
      <c r="AH38">
        <v>28.5</v>
      </c>
      <c r="AI38">
        <v>1710</v>
      </c>
      <c r="AJ38">
        <v>800</v>
      </c>
      <c r="AK38">
        <v>1200</v>
      </c>
      <c r="AL38">
        <v>179.2</v>
      </c>
      <c r="AM38">
        <v>2.2000000000000002</v>
      </c>
      <c r="AN38" t="s">
        <v>273</v>
      </c>
      <c r="AO38" t="s">
        <v>278</v>
      </c>
      <c r="AP38" t="s">
        <v>286</v>
      </c>
      <c r="AQ38">
        <v>2.8</v>
      </c>
      <c r="AR38">
        <v>4</v>
      </c>
      <c r="AS38">
        <v>157.19999999999999</v>
      </c>
      <c r="AT38">
        <v>286</v>
      </c>
      <c r="AU38">
        <v>0.16279199999999999</v>
      </c>
      <c r="AV38">
        <v>36.9</v>
      </c>
      <c r="AW38">
        <v>233.8</v>
      </c>
      <c r="AX38" t="s">
        <v>280</v>
      </c>
      <c r="AY38">
        <v>0</v>
      </c>
      <c r="AZ38" t="s">
        <v>281</v>
      </c>
      <c r="BA38">
        <v>0.2</v>
      </c>
      <c r="BB38">
        <v>0.5</v>
      </c>
      <c r="BC38" t="s">
        <v>273</v>
      </c>
      <c r="BD38" t="s">
        <v>273</v>
      </c>
      <c r="BE38">
        <v>19.665098</v>
      </c>
      <c r="BF38">
        <v>19.891529999999999</v>
      </c>
      <c r="BG38">
        <v>435.61752999999999</v>
      </c>
      <c r="BH38" t="s">
        <v>273</v>
      </c>
      <c r="BI38">
        <v>21.742190999999998</v>
      </c>
      <c r="BJ38">
        <v>21.992540000000002</v>
      </c>
      <c r="BK38">
        <v>394.00175100000001</v>
      </c>
      <c r="BL38" t="s">
        <v>273</v>
      </c>
      <c r="BM38">
        <v>21.742804</v>
      </c>
      <c r="BN38">
        <v>21.99316</v>
      </c>
      <c r="BO38">
        <v>393.99063799999999</v>
      </c>
      <c r="BP38" t="s">
        <v>273</v>
      </c>
      <c r="BQ38">
        <v>12.809070999999999</v>
      </c>
      <c r="BR38">
        <v>12.95656</v>
      </c>
      <c r="BS38">
        <v>668.78084899999999</v>
      </c>
      <c r="BT38" t="s">
        <v>273</v>
      </c>
      <c r="BU38">
        <v>6.0508689999999996</v>
      </c>
      <c r="BV38">
        <v>6.1205410000000002</v>
      </c>
      <c r="BW38">
        <v>1415.740738</v>
      </c>
      <c r="BX38" t="s">
        <v>273</v>
      </c>
      <c r="BY38">
        <v>17.054926999999999</v>
      </c>
      <c r="BZ38">
        <v>20.921292999999999</v>
      </c>
      <c r="CA38">
        <v>19.706416000000001</v>
      </c>
      <c r="CB38">
        <v>21.742804</v>
      </c>
      <c r="CC38">
        <v>10.01027</v>
      </c>
      <c r="CD38">
        <v>13.920543</v>
      </c>
      <c r="CE38" t="s">
        <v>273</v>
      </c>
      <c r="CF38">
        <v>17.251304999999999</v>
      </c>
      <c r="CG38">
        <v>21.162189999999999</v>
      </c>
      <c r="CH38">
        <v>19.933323999999999</v>
      </c>
      <c r="CI38">
        <v>21.99316</v>
      </c>
      <c r="CJ38">
        <v>10.125533000000001</v>
      </c>
      <c r="CK38">
        <v>14.080830000000001</v>
      </c>
      <c r="CL38" t="s">
        <v>273</v>
      </c>
      <c r="CM38">
        <v>502.286586</v>
      </c>
      <c r="CN38">
        <v>409.46136200000001</v>
      </c>
      <c r="CO38">
        <v>434.70418100000001</v>
      </c>
      <c r="CP38">
        <v>393.99063799999999</v>
      </c>
      <c r="CQ38">
        <v>855.767246</v>
      </c>
      <c r="CR38">
        <v>615.38271499999996</v>
      </c>
      <c r="CS38" t="s">
        <v>273</v>
      </c>
      <c r="CT38">
        <v>597.57189400000004</v>
      </c>
      <c r="CU38">
        <v>524.19532900000002</v>
      </c>
      <c r="CV38">
        <v>517.08950600000003</v>
      </c>
      <c r="CW38">
        <v>1334.2677719999999</v>
      </c>
      <c r="CX38">
        <v>502.69786599999998</v>
      </c>
      <c r="CY38">
        <v>1265.8452150000001</v>
      </c>
      <c r="CZ38" t="s">
        <v>273</v>
      </c>
      <c r="DA38">
        <v>3.6064479999999999</v>
      </c>
      <c r="DB38">
        <v>510.01</v>
      </c>
      <c r="DC38">
        <v>3.8808009999999999</v>
      </c>
      <c r="DD38">
        <v>864</v>
      </c>
      <c r="DE38">
        <v>3.6058949999999999</v>
      </c>
      <c r="DF38">
        <v>505</v>
      </c>
      <c r="DG38">
        <v>10.265928000000001</v>
      </c>
      <c r="DH38">
        <v>765</v>
      </c>
      <c r="DI38">
        <v>1.780707</v>
      </c>
      <c r="DJ38">
        <v>235</v>
      </c>
      <c r="DK38">
        <v>6.2355739999999997</v>
      </c>
      <c r="DL38">
        <v>365</v>
      </c>
      <c r="DM38" t="s">
        <v>273</v>
      </c>
      <c r="DN38">
        <v>5.0641530000000001</v>
      </c>
      <c r="DO38">
        <v>13.543576</v>
      </c>
      <c r="DP38">
        <v>6.7251989999999999</v>
      </c>
      <c r="DQ38" t="s">
        <v>282</v>
      </c>
      <c r="DR38">
        <v>8.9011990000000001</v>
      </c>
      <c r="DS38">
        <v>19.957891</v>
      </c>
      <c r="DT38">
        <v>49.127865</v>
      </c>
      <c r="DU38">
        <v>72.362403999999998</v>
      </c>
      <c r="DV38">
        <v>100.080967</v>
      </c>
      <c r="DW38" t="s">
        <v>283</v>
      </c>
      <c r="DX38" t="s">
        <v>273</v>
      </c>
      <c r="DY38">
        <v>27.324376000000001</v>
      </c>
      <c r="DZ38">
        <v>6.9643999999999998E-2</v>
      </c>
      <c r="EA38">
        <v>1.895305</v>
      </c>
      <c r="EB38">
        <v>1.572174</v>
      </c>
      <c r="EC38">
        <v>82.950965999999994</v>
      </c>
      <c r="ED38">
        <v>22.357852000000001</v>
      </c>
      <c r="EE38">
        <v>961.918589</v>
      </c>
      <c r="EF38">
        <v>10.946826</v>
      </c>
      <c r="EG38">
        <v>32</v>
      </c>
      <c r="EH38">
        <v>32</v>
      </c>
      <c r="EI38">
        <v>29</v>
      </c>
      <c r="EJ38">
        <v>32</v>
      </c>
      <c r="EK38" t="s">
        <v>273</v>
      </c>
      <c r="EL38" t="s">
        <v>273</v>
      </c>
      <c r="EM38">
        <v>27.135919000000001</v>
      </c>
      <c r="EN38">
        <v>3.3371999999999999E-2</v>
      </c>
      <c r="EO38">
        <v>1.651111</v>
      </c>
      <c r="EP38">
        <v>1.289261</v>
      </c>
      <c r="EQ38">
        <v>78.084419999999994</v>
      </c>
      <c r="ER38">
        <v>20.689972000000001</v>
      </c>
      <c r="ES38">
        <v>725.65392599999996</v>
      </c>
      <c r="ET38">
        <v>5.2454900000000002</v>
      </c>
      <c r="EU38">
        <v>29</v>
      </c>
      <c r="EV38">
        <v>29</v>
      </c>
      <c r="EW38">
        <v>28</v>
      </c>
      <c r="EX38">
        <v>29</v>
      </c>
      <c r="EY38" t="s">
        <v>273</v>
      </c>
      <c r="EZ38" t="s">
        <v>273</v>
      </c>
      <c r="FA38">
        <v>31.575412</v>
      </c>
      <c r="FB38">
        <v>7.0332000000000006E-2</v>
      </c>
      <c r="FC38">
        <v>1.8951929999999999</v>
      </c>
      <c r="FD38">
        <v>1.572111</v>
      </c>
      <c r="FE38">
        <v>82.952556999999999</v>
      </c>
      <c r="FF38">
        <v>25.836524000000001</v>
      </c>
      <c r="FG38">
        <v>962.02636399999994</v>
      </c>
      <c r="FH38">
        <v>11.054969</v>
      </c>
      <c r="FI38">
        <v>32</v>
      </c>
      <c r="FJ38">
        <v>32</v>
      </c>
      <c r="FK38">
        <v>29</v>
      </c>
      <c r="FL38">
        <v>32</v>
      </c>
      <c r="FM38" t="s">
        <v>273</v>
      </c>
      <c r="FN38" t="s">
        <v>273</v>
      </c>
      <c r="FO38">
        <v>33.022395000000003</v>
      </c>
      <c r="FP38">
        <v>0.132129</v>
      </c>
      <c r="FQ38">
        <v>5.1143479999999997</v>
      </c>
      <c r="FR38">
        <v>4.4328139999999996</v>
      </c>
      <c r="FS38">
        <v>86.674080000000004</v>
      </c>
      <c r="FT38">
        <v>28.495639000000001</v>
      </c>
      <c r="FU38">
        <v>961.64683400000001</v>
      </c>
      <c r="FV38">
        <v>20.768315999999999</v>
      </c>
      <c r="FW38">
        <v>42</v>
      </c>
      <c r="FX38">
        <v>42</v>
      </c>
      <c r="FY38">
        <v>42</v>
      </c>
      <c r="FZ38">
        <v>38</v>
      </c>
      <c r="GA38" t="s">
        <v>273</v>
      </c>
      <c r="GB38" t="s">
        <v>273</v>
      </c>
      <c r="GC38">
        <v>31.145125</v>
      </c>
      <c r="GD38">
        <v>0.139955</v>
      </c>
      <c r="GE38">
        <v>1.8173379999999999</v>
      </c>
      <c r="GF38">
        <v>1.4713849999999999</v>
      </c>
      <c r="GG38">
        <v>80.963731999999993</v>
      </c>
      <c r="GH38">
        <v>24.609721</v>
      </c>
      <c r="GI38">
        <v>1803.9249600000001</v>
      </c>
      <c r="GJ38">
        <v>21.998446000000001</v>
      </c>
      <c r="GK38">
        <v>26</v>
      </c>
      <c r="GL38">
        <v>26</v>
      </c>
      <c r="GM38">
        <v>17</v>
      </c>
      <c r="GN38">
        <v>25</v>
      </c>
      <c r="GO38" t="s">
        <v>273</v>
      </c>
      <c r="GP38" t="s">
        <v>273</v>
      </c>
      <c r="GQ38">
        <v>32.802996</v>
      </c>
      <c r="GR38">
        <v>0.25687399999999999</v>
      </c>
      <c r="GS38">
        <v>4.8198420000000004</v>
      </c>
      <c r="GT38">
        <v>4.1183740000000002</v>
      </c>
      <c r="GU38">
        <v>85.446252999999999</v>
      </c>
      <c r="GV38">
        <v>27.860890000000001</v>
      </c>
      <c r="GW38">
        <v>1468.5595189999999</v>
      </c>
      <c r="GX38">
        <v>40.376067999999997</v>
      </c>
      <c r="GY38">
        <v>92</v>
      </c>
      <c r="GZ38">
        <v>92</v>
      </c>
      <c r="HA38">
        <v>51</v>
      </c>
      <c r="HB38">
        <v>47</v>
      </c>
      <c r="HC38" t="s">
        <v>273</v>
      </c>
      <c r="HD38" t="s">
        <v>273</v>
      </c>
      <c r="HE38">
        <v>31</v>
      </c>
      <c r="HF38">
        <v>5.0000000000000001E-4</v>
      </c>
      <c r="HG38">
        <v>6.4999999999999997E-3</v>
      </c>
      <c r="HH38">
        <v>3.2258000000000002E-2</v>
      </c>
      <c r="HI38">
        <v>6500</v>
      </c>
    </row>
    <row r="39" spans="1:217" x14ac:dyDescent="0.3">
      <c r="A39">
        <v>339</v>
      </c>
      <c r="B39" t="s">
        <v>269</v>
      </c>
      <c r="F39" t="s">
        <v>270</v>
      </c>
      <c r="G39" t="s">
        <v>271</v>
      </c>
      <c r="H39" t="s">
        <v>272</v>
      </c>
      <c r="I39">
        <v>3750</v>
      </c>
      <c r="J39">
        <v>1</v>
      </c>
      <c r="K39">
        <v>44.307422000000003</v>
      </c>
      <c r="L39">
        <v>0.22</v>
      </c>
      <c r="M39">
        <v>1.0067E-2</v>
      </c>
      <c r="N39">
        <v>0</v>
      </c>
      <c r="O39">
        <v>0</v>
      </c>
      <c r="P39">
        <v>0</v>
      </c>
      <c r="Q39">
        <v>10.73</v>
      </c>
      <c r="R39">
        <v>1</v>
      </c>
      <c r="S39">
        <v>1</v>
      </c>
      <c r="T39">
        <v>1</v>
      </c>
      <c r="U39">
        <v>1</v>
      </c>
      <c r="V39">
        <v>100</v>
      </c>
      <c r="W39" t="s">
        <v>273</v>
      </c>
      <c r="X39" t="s">
        <v>274</v>
      </c>
      <c r="Y39" t="s">
        <v>274</v>
      </c>
      <c r="Z39" t="s">
        <v>273</v>
      </c>
      <c r="AA39" t="s">
        <v>275</v>
      </c>
      <c r="AB39" t="s">
        <v>276</v>
      </c>
      <c r="AC39">
        <v>329</v>
      </c>
      <c r="AD39">
        <v>5</v>
      </c>
      <c r="AE39" t="s">
        <v>277</v>
      </c>
      <c r="AF39">
        <v>3.166026</v>
      </c>
      <c r="AG39">
        <v>100</v>
      </c>
      <c r="AH39">
        <v>28.5</v>
      </c>
      <c r="AI39">
        <v>1710</v>
      </c>
      <c r="AJ39">
        <v>800</v>
      </c>
      <c r="AK39">
        <v>1200</v>
      </c>
      <c r="AL39">
        <v>179.2</v>
      </c>
      <c r="AM39">
        <v>2.2000000000000002</v>
      </c>
      <c r="AN39" t="s">
        <v>273</v>
      </c>
      <c r="AO39" t="s">
        <v>278</v>
      </c>
      <c r="AP39" t="s">
        <v>286</v>
      </c>
      <c r="AQ39">
        <v>2.8</v>
      </c>
      <c r="AR39">
        <v>4</v>
      </c>
      <c r="AS39">
        <v>157.19999999999999</v>
      </c>
      <c r="AT39">
        <v>286</v>
      </c>
      <c r="AU39">
        <v>0.16279199999999999</v>
      </c>
      <c r="AV39">
        <v>36.9</v>
      </c>
      <c r="AW39">
        <v>233.8</v>
      </c>
      <c r="AX39" t="s">
        <v>280</v>
      </c>
      <c r="AY39">
        <v>0</v>
      </c>
      <c r="AZ39" t="s">
        <v>281</v>
      </c>
      <c r="BA39">
        <v>0.2</v>
      </c>
      <c r="BB39">
        <v>0.5</v>
      </c>
      <c r="BC39" t="s">
        <v>273</v>
      </c>
      <c r="BD39" t="s">
        <v>273</v>
      </c>
      <c r="BE39">
        <v>29.841073999999999</v>
      </c>
      <c r="BF39">
        <v>30.184677000000001</v>
      </c>
      <c r="BG39">
        <v>287.06947000000002</v>
      </c>
      <c r="BH39" t="s">
        <v>273</v>
      </c>
      <c r="BI39">
        <v>45.837983000000001</v>
      </c>
      <c r="BJ39">
        <v>46.365782000000003</v>
      </c>
      <c r="BK39">
        <v>186.88565</v>
      </c>
      <c r="BL39" t="s">
        <v>273</v>
      </c>
      <c r="BM39">
        <v>45.840437999999999</v>
      </c>
      <c r="BN39">
        <v>46.368265000000001</v>
      </c>
      <c r="BO39">
        <v>186.875641</v>
      </c>
      <c r="BP39" t="s">
        <v>273</v>
      </c>
      <c r="BQ39">
        <v>30.26905</v>
      </c>
      <c r="BR39">
        <v>30.617581000000001</v>
      </c>
      <c r="BS39">
        <v>283.01057700000001</v>
      </c>
      <c r="BT39" t="s">
        <v>273</v>
      </c>
      <c r="BU39">
        <v>9.6303009999999993</v>
      </c>
      <c r="BV39">
        <v>9.7411879999999993</v>
      </c>
      <c r="BW39">
        <v>889.53205700000001</v>
      </c>
      <c r="BX39" t="s">
        <v>273</v>
      </c>
      <c r="BY39">
        <v>29.171029999999998</v>
      </c>
      <c r="BZ39">
        <v>28.329785000000001</v>
      </c>
      <c r="CA39">
        <v>33.836818000000001</v>
      </c>
      <c r="CB39">
        <v>45.840437999999999</v>
      </c>
      <c r="CC39">
        <v>18.473227999999999</v>
      </c>
      <c r="CD39">
        <v>37.084983999999999</v>
      </c>
      <c r="CE39" t="s">
        <v>273</v>
      </c>
      <c r="CF39">
        <v>29.506917999999999</v>
      </c>
      <c r="CG39">
        <v>28.655985999999999</v>
      </c>
      <c r="CH39">
        <v>34.226430000000001</v>
      </c>
      <c r="CI39">
        <v>46.368265000000001</v>
      </c>
      <c r="CJ39">
        <v>18.685936999999999</v>
      </c>
      <c r="CK39">
        <v>37.511997000000001</v>
      </c>
      <c r="CL39" t="s">
        <v>273</v>
      </c>
      <c r="CM39">
        <v>293.66331400000001</v>
      </c>
      <c r="CN39">
        <v>302.38356399999998</v>
      </c>
      <c r="CO39">
        <v>253.169826</v>
      </c>
      <c r="CP39">
        <v>186.875641</v>
      </c>
      <c r="CQ39">
        <v>463.723029</v>
      </c>
      <c r="CR39">
        <v>230.99541300000001</v>
      </c>
      <c r="CS39" t="s">
        <v>273</v>
      </c>
      <c r="CT39">
        <v>349.78079000000002</v>
      </c>
      <c r="CU39">
        <v>387.71192100000002</v>
      </c>
      <c r="CV39">
        <v>301.50411300000002</v>
      </c>
      <c r="CW39">
        <v>633.041426</v>
      </c>
      <c r="CX39">
        <v>275.032646</v>
      </c>
      <c r="CY39">
        <v>475.978182</v>
      </c>
      <c r="CZ39" t="s">
        <v>273</v>
      </c>
      <c r="DA39">
        <v>3.6106669999999998</v>
      </c>
      <c r="DB39">
        <v>510.01</v>
      </c>
      <c r="DC39">
        <v>3.8867989999999999</v>
      </c>
      <c r="DD39">
        <v>864</v>
      </c>
      <c r="DE39">
        <v>3.6101269999999999</v>
      </c>
      <c r="DF39">
        <v>505</v>
      </c>
      <c r="DG39">
        <v>10.268821000000001</v>
      </c>
      <c r="DH39">
        <v>765</v>
      </c>
      <c r="DI39">
        <v>1.7979050000000001</v>
      </c>
      <c r="DJ39">
        <v>235</v>
      </c>
      <c r="DK39">
        <v>6.2463290000000002</v>
      </c>
      <c r="DL39">
        <v>365</v>
      </c>
      <c r="DM39" t="s">
        <v>273</v>
      </c>
      <c r="DN39">
        <v>3.4823029999999999</v>
      </c>
      <c r="DO39">
        <v>7.8239460000000003</v>
      </c>
      <c r="DP39">
        <v>3.9804889999999999</v>
      </c>
      <c r="DQ39" t="s">
        <v>282</v>
      </c>
      <c r="DR39">
        <v>4.4454419999999999</v>
      </c>
      <c r="DS39">
        <v>16.171617999999999</v>
      </c>
      <c r="DT39">
        <v>32.421495</v>
      </c>
      <c r="DU39">
        <v>92.527990000000003</v>
      </c>
      <c r="DV39">
        <v>161.919612</v>
      </c>
      <c r="DW39" t="s">
        <v>283</v>
      </c>
      <c r="DX39" t="s">
        <v>273</v>
      </c>
      <c r="DY39">
        <v>24.141874999999999</v>
      </c>
      <c r="DZ39">
        <v>3.6165000000000003E-2</v>
      </c>
      <c r="EA39">
        <v>0.98018000000000005</v>
      </c>
      <c r="EB39">
        <v>0.81981999999999999</v>
      </c>
      <c r="EC39">
        <v>83.639726999999993</v>
      </c>
      <c r="ED39">
        <v>19.834717999999999</v>
      </c>
      <c r="EE39">
        <v>498.92146600000001</v>
      </c>
      <c r="EF39">
        <v>5.6844669999999997</v>
      </c>
      <c r="EG39">
        <v>25</v>
      </c>
      <c r="EH39">
        <v>25</v>
      </c>
      <c r="EI39">
        <v>20</v>
      </c>
      <c r="EJ39">
        <v>24</v>
      </c>
      <c r="EK39" t="s">
        <v>273</v>
      </c>
      <c r="EL39" t="s">
        <v>273</v>
      </c>
      <c r="EM39">
        <v>23.094158</v>
      </c>
      <c r="EN39">
        <v>2.1196E-2</v>
      </c>
      <c r="EO39">
        <v>1.0393220000000001</v>
      </c>
      <c r="EP39">
        <v>0.821913</v>
      </c>
      <c r="EQ39">
        <v>79.081674000000007</v>
      </c>
      <c r="ER39">
        <v>17.766987</v>
      </c>
      <c r="ES39">
        <v>460.17971499999999</v>
      </c>
      <c r="ET39">
        <v>3.3316140000000001</v>
      </c>
      <c r="EU39">
        <v>27</v>
      </c>
      <c r="EV39">
        <v>27</v>
      </c>
      <c r="EW39">
        <v>27</v>
      </c>
      <c r="EX39">
        <v>27</v>
      </c>
      <c r="EY39" t="s">
        <v>273</v>
      </c>
      <c r="EZ39" t="s">
        <v>273</v>
      </c>
      <c r="FA39">
        <v>27.992923999999999</v>
      </c>
      <c r="FB39">
        <v>3.6520999999999998E-2</v>
      </c>
      <c r="FC39">
        <v>0.97967099999999996</v>
      </c>
      <c r="FD39">
        <v>0.81976000000000004</v>
      </c>
      <c r="FE39">
        <v>83.677070999999998</v>
      </c>
      <c r="FF39">
        <v>23.008649999999999</v>
      </c>
      <c r="FG39">
        <v>498.95429899999999</v>
      </c>
      <c r="FH39">
        <v>5.7403810000000002</v>
      </c>
      <c r="FI39">
        <v>25</v>
      </c>
      <c r="FJ39">
        <v>25</v>
      </c>
      <c r="FK39">
        <v>20</v>
      </c>
      <c r="FL39">
        <v>24</v>
      </c>
      <c r="FM39" t="s">
        <v>273</v>
      </c>
      <c r="FN39" t="s">
        <v>273</v>
      </c>
      <c r="FO39">
        <v>29.2622</v>
      </c>
      <c r="FP39">
        <v>5.6152000000000001E-2</v>
      </c>
      <c r="FQ39">
        <v>2.1501950000000001</v>
      </c>
      <c r="FR39">
        <v>1.889035</v>
      </c>
      <c r="FS39">
        <v>87.854129999999998</v>
      </c>
      <c r="FT39">
        <v>25.524357999999999</v>
      </c>
      <c r="FU39">
        <v>408.56276200000002</v>
      </c>
      <c r="FV39">
        <v>8.8260590000000008</v>
      </c>
      <c r="FW39">
        <v>10</v>
      </c>
      <c r="FX39">
        <v>10</v>
      </c>
      <c r="FY39">
        <v>10</v>
      </c>
      <c r="FZ39">
        <v>9</v>
      </c>
      <c r="GA39" t="s">
        <v>273</v>
      </c>
      <c r="GB39" t="s">
        <v>273</v>
      </c>
      <c r="GC39">
        <v>30.551171</v>
      </c>
      <c r="GD39">
        <v>7.5722999999999999E-2</v>
      </c>
      <c r="GE39">
        <v>0.97532799999999997</v>
      </c>
      <c r="GF39">
        <v>0.80284699999999998</v>
      </c>
      <c r="GG39">
        <v>82.315551999999997</v>
      </c>
      <c r="GH39">
        <v>24.336978999999999</v>
      </c>
      <c r="GI39">
        <v>966.67611599999998</v>
      </c>
      <c r="GJ39">
        <v>11.902241</v>
      </c>
      <c r="GK39">
        <v>26</v>
      </c>
      <c r="GL39">
        <v>26</v>
      </c>
      <c r="GM39">
        <v>15</v>
      </c>
      <c r="GN39">
        <v>24</v>
      </c>
      <c r="GO39" t="s">
        <v>273</v>
      </c>
      <c r="GP39" t="s">
        <v>273</v>
      </c>
      <c r="GQ39">
        <v>30.850496</v>
      </c>
      <c r="GR39">
        <v>9.3790999999999999E-2</v>
      </c>
      <c r="GS39">
        <v>1.704464</v>
      </c>
      <c r="GT39">
        <v>1.5128410000000001</v>
      </c>
      <c r="GU39">
        <v>88.757594999999995</v>
      </c>
      <c r="GV39">
        <v>27.053756</v>
      </c>
      <c r="GW39">
        <v>535.28177300000004</v>
      </c>
      <c r="GX39">
        <v>14.742234</v>
      </c>
      <c r="GY39">
        <v>31</v>
      </c>
      <c r="GZ39">
        <v>31</v>
      </c>
      <c r="HA39">
        <v>13</v>
      </c>
      <c r="HB39">
        <v>15</v>
      </c>
      <c r="HC39" t="s">
        <v>273</v>
      </c>
      <c r="HD39" t="s">
        <v>273</v>
      </c>
      <c r="HE39">
        <v>18</v>
      </c>
      <c r="HF39">
        <v>7.5000000000000002E-4</v>
      </c>
      <c r="HG39">
        <v>4.0000000000000001E-3</v>
      </c>
      <c r="HH39">
        <v>5.5556000000000001E-2</v>
      </c>
      <c r="HI39">
        <v>3750</v>
      </c>
    </row>
    <row r="40" spans="1:217" x14ac:dyDescent="0.3">
      <c r="A40">
        <v>340</v>
      </c>
      <c r="B40" t="s">
        <v>269</v>
      </c>
      <c r="F40" t="s">
        <v>270</v>
      </c>
      <c r="G40" t="s">
        <v>271</v>
      </c>
      <c r="H40" t="s">
        <v>272</v>
      </c>
      <c r="I40">
        <v>3750</v>
      </c>
      <c r="J40">
        <v>1</v>
      </c>
      <c r="K40">
        <v>44.307422000000003</v>
      </c>
      <c r="L40">
        <v>0.22</v>
      </c>
      <c r="M40">
        <v>1.0067E-2</v>
      </c>
      <c r="N40">
        <v>0</v>
      </c>
      <c r="O40">
        <v>0</v>
      </c>
      <c r="P40">
        <v>0</v>
      </c>
      <c r="Q40">
        <v>10.73</v>
      </c>
      <c r="R40">
        <v>1</v>
      </c>
      <c r="S40">
        <v>1</v>
      </c>
      <c r="T40">
        <v>1</v>
      </c>
      <c r="U40">
        <v>1</v>
      </c>
      <c r="V40">
        <v>100</v>
      </c>
      <c r="W40" t="s">
        <v>273</v>
      </c>
      <c r="X40" t="s">
        <v>274</v>
      </c>
      <c r="Y40" t="s">
        <v>274</v>
      </c>
      <c r="Z40" t="s">
        <v>273</v>
      </c>
      <c r="AA40" t="s">
        <v>275</v>
      </c>
      <c r="AB40" t="s">
        <v>276</v>
      </c>
      <c r="AC40">
        <v>188</v>
      </c>
      <c r="AD40">
        <v>5</v>
      </c>
      <c r="AE40" t="s">
        <v>277</v>
      </c>
      <c r="AF40">
        <v>3.6103809999999998</v>
      </c>
      <c r="AG40">
        <v>100</v>
      </c>
      <c r="AH40">
        <v>32.5</v>
      </c>
      <c r="AI40">
        <v>1950</v>
      </c>
      <c r="AJ40">
        <v>800</v>
      </c>
      <c r="AK40">
        <v>1200</v>
      </c>
      <c r="AL40">
        <v>237.3</v>
      </c>
      <c r="AM40">
        <v>2.2000000000000002</v>
      </c>
      <c r="AN40" t="s">
        <v>273</v>
      </c>
      <c r="AO40" t="s">
        <v>278</v>
      </c>
      <c r="AP40" t="s">
        <v>287</v>
      </c>
      <c r="AQ40">
        <v>1.6</v>
      </c>
      <c r="AR40">
        <v>4</v>
      </c>
      <c r="AS40">
        <v>89.6</v>
      </c>
      <c r="AT40">
        <v>163.1</v>
      </c>
      <c r="AU40">
        <v>9.3023999999999996E-2</v>
      </c>
      <c r="AV40">
        <v>36</v>
      </c>
      <c r="AW40">
        <v>239.3</v>
      </c>
      <c r="AX40" t="s">
        <v>280</v>
      </c>
      <c r="AY40">
        <v>0</v>
      </c>
      <c r="AZ40" t="s">
        <v>281</v>
      </c>
      <c r="BA40">
        <v>0.2</v>
      </c>
      <c r="BB40">
        <v>0.5</v>
      </c>
      <c r="BC40" t="s">
        <v>273</v>
      </c>
      <c r="BD40" t="s">
        <v>273</v>
      </c>
      <c r="BE40">
        <v>32.676502999999997</v>
      </c>
      <c r="BF40">
        <v>33.052754</v>
      </c>
      <c r="BG40">
        <v>262.159673</v>
      </c>
      <c r="BH40" t="s">
        <v>273</v>
      </c>
      <c r="BI40">
        <v>47.616439999999997</v>
      </c>
      <c r="BJ40">
        <v>48.164715999999999</v>
      </c>
      <c r="BK40">
        <v>179.905539</v>
      </c>
      <c r="BL40" t="s">
        <v>273</v>
      </c>
      <c r="BM40">
        <v>47.619025999999998</v>
      </c>
      <c r="BN40">
        <v>48.167332000000002</v>
      </c>
      <c r="BO40">
        <v>179.895769</v>
      </c>
      <c r="BP40" t="s">
        <v>273</v>
      </c>
      <c r="BQ40">
        <v>29.922425</v>
      </c>
      <c r="BR40">
        <v>30.266964000000002</v>
      </c>
      <c r="BS40">
        <v>286.28900900000002</v>
      </c>
      <c r="BT40" t="s">
        <v>273</v>
      </c>
      <c r="BU40">
        <v>12.780284999999999</v>
      </c>
      <c r="BV40">
        <v>12.927443</v>
      </c>
      <c r="BW40">
        <v>670.28716499999996</v>
      </c>
      <c r="BX40" t="s">
        <v>273</v>
      </c>
      <c r="BY40">
        <v>30.90259</v>
      </c>
      <c r="BZ40">
        <v>31.95495</v>
      </c>
      <c r="CA40">
        <v>35.747351000000002</v>
      </c>
      <c r="CB40">
        <v>47.619025999999998</v>
      </c>
      <c r="CC40">
        <v>18.110028</v>
      </c>
      <c r="CD40">
        <v>36.799399000000001</v>
      </c>
      <c r="CE40" t="s">
        <v>273</v>
      </c>
      <c r="CF40">
        <v>31.258416</v>
      </c>
      <c r="CG40">
        <v>32.322893000000001</v>
      </c>
      <c r="CH40">
        <v>36.158960999999998</v>
      </c>
      <c r="CI40">
        <v>48.167332000000002</v>
      </c>
      <c r="CJ40">
        <v>18.318555</v>
      </c>
      <c r="CK40">
        <v>37.223123999999999</v>
      </c>
      <c r="CL40" t="s">
        <v>273</v>
      </c>
      <c r="CM40">
        <v>277.20852100000002</v>
      </c>
      <c r="CN40">
        <v>268.07932299999999</v>
      </c>
      <c r="CO40">
        <v>239.63905199999999</v>
      </c>
      <c r="CP40">
        <v>179.895769</v>
      </c>
      <c r="CQ40">
        <v>473.02308799999997</v>
      </c>
      <c r="CR40">
        <v>232.788073</v>
      </c>
      <c r="CS40" t="s">
        <v>273</v>
      </c>
      <c r="CT40">
        <v>329.69771300000002</v>
      </c>
      <c r="CU40">
        <v>342.79593999999997</v>
      </c>
      <c r="CV40">
        <v>284.96951200000001</v>
      </c>
      <c r="CW40">
        <v>609.27385600000002</v>
      </c>
      <c r="CX40">
        <v>278.97249399999998</v>
      </c>
      <c r="CY40">
        <v>479.18363099999999</v>
      </c>
      <c r="CZ40" t="s">
        <v>273</v>
      </c>
      <c r="DA40">
        <v>3.605375</v>
      </c>
      <c r="DB40">
        <v>510.01</v>
      </c>
      <c r="DC40">
        <v>3.8762650000000001</v>
      </c>
      <c r="DD40">
        <v>864</v>
      </c>
      <c r="DE40">
        <v>3.604806</v>
      </c>
      <c r="DF40">
        <v>505</v>
      </c>
      <c r="DG40">
        <v>10.266743999999999</v>
      </c>
      <c r="DH40">
        <v>765</v>
      </c>
      <c r="DI40">
        <v>1.7878050000000001</v>
      </c>
      <c r="DJ40">
        <v>235</v>
      </c>
      <c r="DK40">
        <v>6.2399680000000002</v>
      </c>
      <c r="DL40">
        <v>365</v>
      </c>
      <c r="DM40" t="s">
        <v>273</v>
      </c>
      <c r="DN40">
        <v>4.871054</v>
      </c>
      <c r="DO40">
        <v>12.600317</v>
      </c>
      <c r="DP40">
        <v>6.0513719999999998</v>
      </c>
      <c r="DQ40" t="s">
        <v>282</v>
      </c>
      <c r="DR40">
        <v>9.7370020000000004</v>
      </c>
      <c r="DS40">
        <v>19.587408</v>
      </c>
      <c r="DT40">
        <v>47.976100000000002</v>
      </c>
      <c r="DU40">
        <v>75.420321999999999</v>
      </c>
      <c r="DV40">
        <v>131.86631</v>
      </c>
      <c r="DW40" t="s">
        <v>283</v>
      </c>
      <c r="DX40" t="s">
        <v>273</v>
      </c>
      <c r="DY40">
        <v>25.538902</v>
      </c>
      <c r="DZ40">
        <v>6.3406000000000004E-2</v>
      </c>
      <c r="EA40">
        <v>0.97736500000000004</v>
      </c>
      <c r="EB40">
        <v>0.81711400000000001</v>
      </c>
      <c r="EC40">
        <v>83.603798999999995</v>
      </c>
      <c r="ED40">
        <v>21.030652</v>
      </c>
      <c r="EE40">
        <v>499.362392</v>
      </c>
      <c r="EF40">
        <v>5.6811530000000001</v>
      </c>
      <c r="EG40">
        <v>28</v>
      </c>
      <c r="EH40">
        <v>28</v>
      </c>
      <c r="EI40">
        <v>23</v>
      </c>
      <c r="EJ40">
        <v>27</v>
      </c>
      <c r="EK40" t="s">
        <v>273</v>
      </c>
      <c r="EL40" t="s">
        <v>273</v>
      </c>
      <c r="EM40">
        <v>25.596298000000001</v>
      </c>
      <c r="EN40">
        <v>3.7109999999999997E-2</v>
      </c>
      <c r="EO40">
        <v>1.018478</v>
      </c>
      <c r="EP40">
        <v>0.81465399999999999</v>
      </c>
      <c r="EQ40">
        <v>79.987412000000006</v>
      </c>
      <c r="ER40">
        <v>20.055221</v>
      </c>
      <c r="ES40">
        <v>460.51841100000001</v>
      </c>
      <c r="ET40">
        <v>3.3250299999999999</v>
      </c>
      <c r="EU40">
        <v>36</v>
      </c>
      <c r="EV40">
        <v>36</v>
      </c>
      <c r="EW40">
        <v>36</v>
      </c>
      <c r="EX40">
        <v>35</v>
      </c>
      <c r="EY40" t="s">
        <v>273</v>
      </c>
      <c r="EZ40" t="s">
        <v>273</v>
      </c>
      <c r="FA40">
        <v>29.538374000000001</v>
      </c>
      <c r="FB40">
        <v>6.4029000000000003E-2</v>
      </c>
      <c r="FC40">
        <v>0.97706499999999996</v>
      </c>
      <c r="FD40">
        <v>0.81704399999999999</v>
      </c>
      <c r="FE40">
        <v>83.622219999999999</v>
      </c>
      <c r="FF40">
        <v>24.329301000000001</v>
      </c>
      <c r="FG40">
        <v>499.39632399999999</v>
      </c>
      <c r="FH40">
        <v>5.736999</v>
      </c>
      <c r="FI40">
        <v>28</v>
      </c>
      <c r="FJ40">
        <v>28</v>
      </c>
      <c r="FK40">
        <v>23</v>
      </c>
      <c r="FL40">
        <v>27</v>
      </c>
      <c r="FM40" t="s">
        <v>273</v>
      </c>
      <c r="FN40" t="s">
        <v>273</v>
      </c>
      <c r="FO40">
        <v>30.442387</v>
      </c>
      <c r="FP40">
        <v>9.8436999999999997E-2</v>
      </c>
      <c r="FQ40">
        <v>2.15293</v>
      </c>
      <c r="FR40">
        <v>1.885837</v>
      </c>
      <c r="FS40">
        <v>87.593956000000006</v>
      </c>
      <c r="FT40">
        <v>26.501607</v>
      </c>
      <c r="FU40">
        <v>408.36122899999998</v>
      </c>
      <c r="FV40">
        <v>8.8199210000000008</v>
      </c>
      <c r="FW40">
        <v>29</v>
      </c>
      <c r="FX40">
        <v>29</v>
      </c>
      <c r="FY40">
        <v>29</v>
      </c>
      <c r="FZ40">
        <v>27</v>
      </c>
      <c r="GA40" t="s">
        <v>273</v>
      </c>
      <c r="GB40" t="s">
        <v>273</v>
      </c>
      <c r="GC40">
        <v>29.935452000000002</v>
      </c>
      <c r="GD40">
        <v>0.13295000000000001</v>
      </c>
      <c r="GE40">
        <v>0.96936199999999995</v>
      </c>
      <c r="GF40">
        <v>0.79929300000000003</v>
      </c>
      <c r="GG40">
        <v>82.455575999999994</v>
      </c>
      <c r="GH40">
        <v>24.013494999999999</v>
      </c>
      <c r="GI40">
        <v>972.95633699999996</v>
      </c>
      <c r="GJ40">
        <v>11.912271</v>
      </c>
      <c r="GK40">
        <v>29</v>
      </c>
      <c r="GL40">
        <v>29</v>
      </c>
      <c r="GM40">
        <v>14</v>
      </c>
      <c r="GN40">
        <v>28</v>
      </c>
      <c r="GO40" t="s">
        <v>273</v>
      </c>
      <c r="GP40" t="s">
        <v>273</v>
      </c>
      <c r="GQ40">
        <v>31.030204999999999</v>
      </c>
      <c r="GR40">
        <v>0.163768</v>
      </c>
      <c r="GS40">
        <v>1.725938</v>
      </c>
      <c r="GT40">
        <v>1.5021789999999999</v>
      </c>
      <c r="GU40">
        <v>87.035464000000005</v>
      </c>
      <c r="GV40">
        <v>26.747734000000001</v>
      </c>
      <c r="GW40">
        <v>533.33401400000002</v>
      </c>
      <c r="GX40">
        <v>14.673634</v>
      </c>
      <c r="GY40">
        <v>49</v>
      </c>
      <c r="GZ40">
        <v>49</v>
      </c>
      <c r="HA40">
        <v>27</v>
      </c>
      <c r="HB40">
        <v>29</v>
      </c>
      <c r="HC40" t="s">
        <v>273</v>
      </c>
      <c r="HD40" t="s">
        <v>273</v>
      </c>
      <c r="HE40">
        <v>31</v>
      </c>
      <c r="HF40">
        <v>7.5000000000000002E-4</v>
      </c>
      <c r="HG40">
        <v>4.0000000000000001E-3</v>
      </c>
      <c r="HH40">
        <v>3.2258000000000002E-2</v>
      </c>
      <c r="HI40">
        <v>3750</v>
      </c>
    </row>
    <row r="41" spans="1:217" x14ac:dyDescent="0.3">
      <c r="A41">
        <v>341</v>
      </c>
      <c r="B41" t="s">
        <v>269</v>
      </c>
      <c r="F41" t="s">
        <v>270</v>
      </c>
      <c r="G41" t="s">
        <v>271</v>
      </c>
      <c r="H41" t="s">
        <v>272</v>
      </c>
      <c r="I41">
        <v>5250</v>
      </c>
      <c r="J41">
        <v>1</v>
      </c>
      <c r="K41">
        <v>63.350391000000002</v>
      </c>
      <c r="L41">
        <v>0.22</v>
      </c>
      <c r="M41">
        <v>1.5193999999999999E-2</v>
      </c>
      <c r="N41">
        <v>0</v>
      </c>
      <c r="O41">
        <v>0</v>
      </c>
      <c r="P41">
        <v>0</v>
      </c>
      <c r="Q41">
        <v>14.98</v>
      </c>
      <c r="R41">
        <v>1</v>
      </c>
      <c r="S41">
        <v>1</v>
      </c>
      <c r="T41">
        <v>1</v>
      </c>
      <c r="U41">
        <v>1</v>
      </c>
      <c r="V41">
        <v>100</v>
      </c>
      <c r="W41" t="s">
        <v>273</v>
      </c>
      <c r="X41" t="s">
        <v>274</v>
      </c>
      <c r="Y41" t="s">
        <v>274</v>
      </c>
      <c r="Z41" t="s">
        <v>273</v>
      </c>
      <c r="AA41" t="s">
        <v>275</v>
      </c>
      <c r="AB41" t="s">
        <v>276</v>
      </c>
      <c r="AC41">
        <v>258</v>
      </c>
      <c r="AD41">
        <v>5</v>
      </c>
      <c r="AE41" t="s">
        <v>277</v>
      </c>
      <c r="AF41">
        <v>3.221571</v>
      </c>
      <c r="AG41">
        <v>100</v>
      </c>
      <c r="AH41">
        <v>29</v>
      </c>
      <c r="AI41">
        <v>1740</v>
      </c>
      <c r="AJ41">
        <v>800</v>
      </c>
      <c r="AK41">
        <v>1200</v>
      </c>
      <c r="AL41">
        <v>202.3</v>
      </c>
      <c r="AM41">
        <v>2.2000000000000002</v>
      </c>
      <c r="AN41" t="s">
        <v>273</v>
      </c>
      <c r="AO41" t="s">
        <v>278</v>
      </c>
      <c r="AP41" t="s">
        <v>285</v>
      </c>
      <c r="AQ41">
        <v>2.2000000000000002</v>
      </c>
      <c r="AR41">
        <v>4</v>
      </c>
      <c r="AS41">
        <v>123.4</v>
      </c>
      <c r="AT41">
        <v>224.5</v>
      </c>
      <c r="AU41">
        <v>0.12790799999999999</v>
      </c>
      <c r="AV41">
        <v>36.5</v>
      </c>
      <c r="AW41">
        <v>236.1</v>
      </c>
      <c r="AX41" t="s">
        <v>280</v>
      </c>
      <c r="AY41">
        <v>0</v>
      </c>
      <c r="AZ41" t="s">
        <v>281</v>
      </c>
      <c r="BA41">
        <v>0.2</v>
      </c>
      <c r="BB41">
        <v>0.5</v>
      </c>
      <c r="BC41" t="s">
        <v>273</v>
      </c>
      <c r="BD41" t="s">
        <v>273</v>
      </c>
      <c r="BE41">
        <v>24.056801</v>
      </c>
      <c r="BF41">
        <v>24.333801999999999</v>
      </c>
      <c r="BG41">
        <v>356.09311600000001</v>
      </c>
      <c r="BH41" t="s">
        <v>273</v>
      </c>
      <c r="BI41">
        <v>35.293219999999998</v>
      </c>
      <c r="BJ41">
        <v>35.699601000000001</v>
      </c>
      <c r="BK41">
        <v>242.722576</v>
      </c>
      <c r="BL41" t="s">
        <v>273</v>
      </c>
      <c r="BM41">
        <v>35.294829999999997</v>
      </c>
      <c r="BN41">
        <v>35.701230000000002</v>
      </c>
      <c r="BO41">
        <v>242.711502</v>
      </c>
      <c r="BP41" t="s">
        <v>273</v>
      </c>
      <c r="BQ41">
        <v>21.769411000000002</v>
      </c>
      <c r="BR41">
        <v>22.020073</v>
      </c>
      <c r="BS41">
        <v>393.50910399999998</v>
      </c>
      <c r="BT41" t="s">
        <v>273</v>
      </c>
      <c r="BU41">
        <v>9.4951910000000002</v>
      </c>
      <c r="BV41">
        <v>9.6045230000000004</v>
      </c>
      <c r="BW41">
        <v>902.18942000000004</v>
      </c>
      <c r="BX41" t="s">
        <v>273</v>
      </c>
      <c r="BY41">
        <v>22.718986999999998</v>
      </c>
      <c r="BZ41">
        <v>23.560207999999999</v>
      </c>
      <c r="CA41">
        <v>26.268263000000001</v>
      </c>
      <c r="CB41">
        <v>35.294829999999997</v>
      </c>
      <c r="CC41">
        <v>13.068714</v>
      </c>
      <c r="CD41">
        <v>26.891169999999999</v>
      </c>
      <c r="CE41" t="s">
        <v>273</v>
      </c>
      <c r="CF41">
        <v>22.980582999999999</v>
      </c>
      <c r="CG41">
        <v>23.831489999999999</v>
      </c>
      <c r="CH41">
        <v>26.570727000000002</v>
      </c>
      <c r="CI41">
        <v>35.701230000000002</v>
      </c>
      <c r="CJ41">
        <v>13.219193000000001</v>
      </c>
      <c r="CK41">
        <v>27.200807000000001</v>
      </c>
      <c r="CL41" t="s">
        <v>273</v>
      </c>
      <c r="CM41">
        <v>377.06175999999999</v>
      </c>
      <c r="CN41">
        <v>363.59871299999998</v>
      </c>
      <c r="CO41">
        <v>326.11449699999997</v>
      </c>
      <c r="CP41">
        <v>242.711502</v>
      </c>
      <c r="CQ41">
        <v>655.49382700000001</v>
      </c>
      <c r="CR41">
        <v>318.56037800000001</v>
      </c>
      <c r="CS41" t="s">
        <v>273</v>
      </c>
      <c r="CT41">
        <v>448.51272499999999</v>
      </c>
      <c r="CU41">
        <v>464.998875</v>
      </c>
      <c r="CV41">
        <v>387.85217699999998</v>
      </c>
      <c r="CW41">
        <v>822.04269299999999</v>
      </c>
      <c r="CX41">
        <v>385.864035</v>
      </c>
      <c r="CY41">
        <v>655.49466199999995</v>
      </c>
      <c r="CZ41" t="s">
        <v>273</v>
      </c>
      <c r="DA41">
        <v>3.6058150000000002</v>
      </c>
      <c r="DB41">
        <v>510.01</v>
      </c>
      <c r="DC41">
        <v>3.876776</v>
      </c>
      <c r="DD41">
        <v>864</v>
      </c>
      <c r="DE41">
        <v>3.6052659999999999</v>
      </c>
      <c r="DF41">
        <v>505</v>
      </c>
      <c r="DG41">
        <v>10.267037999999999</v>
      </c>
      <c r="DH41">
        <v>765</v>
      </c>
      <c r="DI41">
        <v>1.7844599999999999</v>
      </c>
      <c r="DJ41">
        <v>235</v>
      </c>
      <c r="DK41">
        <v>6.2376149999999999</v>
      </c>
      <c r="DL41">
        <v>365</v>
      </c>
      <c r="DM41" t="s">
        <v>273</v>
      </c>
      <c r="DN41">
        <v>5.1827730000000001</v>
      </c>
      <c r="DO41">
        <v>13.492015</v>
      </c>
      <c r="DP41">
        <v>6.8832389999999997</v>
      </c>
      <c r="DQ41" t="s">
        <v>282</v>
      </c>
      <c r="DR41">
        <v>8.0740490000000005</v>
      </c>
      <c r="DS41">
        <v>19.953558000000001</v>
      </c>
      <c r="DT41">
        <v>48.402861000000001</v>
      </c>
      <c r="DU41">
        <v>74.450294999999997</v>
      </c>
      <c r="DV41">
        <v>128.21228600000001</v>
      </c>
      <c r="DW41" t="s">
        <v>283</v>
      </c>
      <c r="DX41" t="s">
        <v>273</v>
      </c>
      <c r="DY41">
        <v>26.570209999999999</v>
      </c>
      <c r="DZ41">
        <v>6.4407000000000006E-2</v>
      </c>
      <c r="EA41">
        <v>1.383275</v>
      </c>
      <c r="EB41">
        <v>1.14314</v>
      </c>
      <c r="EC41">
        <v>82.640154999999993</v>
      </c>
      <c r="ED41">
        <v>21.626078</v>
      </c>
      <c r="EE41">
        <v>698.46812899999998</v>
      </c>
      <c r="EF41">
        <v>7.947311</v>
      </c>
      <c r="EG41">
        <v>29</v>
      </c>
      <c r="EH41">
        <v>29</v>
      </c>
      <c r="EI41">
        <v>24</v>
      </c>
      <c r="EJ41">
        <v>28</v>
      </c>
      <c r="EK41" t="s">
        <v>273</v>
      </c>
      <c r="EL41" t="s">
        <v>273</v>
      </c>
      <c r="EM41">
        <v>27.067291000000001</v>
      </c>
      <c r="EN41">
        <v>3.7721999999999999E-2</v>
      </c>
      <c r="EO41">
        <v>1.46095</v>
      </c>
      <c r="EP41">
        <v>1.140841</v>
      </c>
      <c r="EQ41">
        <v>78.088952000000006</v>
      </c>
      <c r="ER41">
        <v>20.696121999999999</v>
      </c>
      <c r="ES41">
        <v>644.56606399999998</v>
      </c>
      <c r="ET41">
        <v>4.6545030000000001</v>
      </c>
      <c r="EU41">
        <v>29</v>
      </c>
      <c r="EV41">
        <v>29</v>
      </c>
      <c r="EW41">
        <v>28</v>
      </c>
      <c r="EX41">
        <v>29</v>
      </c>
      <c r="EY41" t="s">
        <v>273</v>
      </c>
      <c r="EZ41" t="s">
        <v>273</v>
      </c>
      <c r="FA41">
        <v>30.718602000000001</v>
      </c>
      <c r="FB41">
        <v>6.5041000000000002E-2</v>
      </c>
      <c r="FC41">
        <v>1.3829499999999999</v>
      </c>
      <c r="FD41">
        <v>1.143046</v>
      </c>
      <c r="FE41">
        <v>82.652753000000004</v>
      </c>
      <c r="FF41">
        <v>25.006173</v>
      </c>
      <c r="FG41">
        <v>698.51422100000002</v>
      </c>
      <c r="FH41">
        <v>8.0254619999999992</v>
      </c>
      <c r="FI41">
        <v>29</v>
      </c>
      <c r="FJ41">
        <v>29</v>
      </c>
      <c r="FK41">
        <v>24</v>
      </c>
      <c r="FL41">
        <v>28</v>
      </c>
      <c r="FM41" t="s">
        <v>273</v>
      </c>
      <c r="FN41" t="s">
        <v>273</v>
      </c>
      <c r="FO41">
        <v>31.671522</v>
      </c>
      <c r="FP41">
        <v>9.9894999999999998E-2</v>
      </c>
      <c r="FQ41">
        <v>3.022052</v>
      </c>
      <c r="FR41">
        <v>2.6352250000000002</v>
      </c>
      <c r="FS41">
        <v>87.199847000000005</v>
      </c>
      <c r="FT41">
        <v>27.450641999999998</v>
      </c>
      <c r="FU41">
        <v>570.68199500000003</v>
      </c>
      <c r="FV41">
        <v>12.326131</v>
      </c>
      <c r="FW41">
        <v>42</v>
      </c>
      <c r="FX41">
        <v>42</v>
      </c>
      <c r="FY41">
        <v>30</v>
      </c>
      <c r="FZ41">
        <v>28</v>
      </c>
      <c r="GA41" t="s">
        <v>273</v>
      </c>
      <c r="GB41" t="s">
        <v>273</v>
      </c>
      <c r="GC41">
        <v>30.746576999999998</v>
      </c>
      <c r="GD41">
        <v>0.134853</v>
      </c>
      <c r="GE41">
        <v>1.3771139999999999</v>
      </c>
      <c r="GF41">
        <v>1.1153150000000001</v>
      </c>
      <c r="GG41">
        <v>80.989354000000006</v>
      </c>
      <c r="GH41">
        <v>24.251131999999998</v>
      </c>
      <c r="GI41">
        <v>1361.620776</v>
      </c>
      <c r="GJ41">
        <v>16.639644000000001</v>
      </c>
      <c r="GK41">
        <v>25</v>
      </c>
      <c r="GL41">
        <v>25</v>
      </c>
      <c r="GM41">
        <v>15</v>
      </c>
      <c r="GN41">
        <v>25</v>
      </c>
      <c r="GO41" t="s">
        <v>273</v>
      </c>
      <c r="GP41" t="s">
        <v>273</v>
      </c>
      <c r="GQ41">
        <v>31.942150000000002</v>
      </c>
      <c r="GR41">
        <v>0.166768</v>
      </c>
      <c r="GS41">
        <v>2.4303680000000001</v>
      </c>
      <c r="GT41">
        <v>2.1061139999999998</v>
      </c>
      <c r="GU41">
        <v>86.658238999999995</v>
      </c>
      <c r="GV41">
        <v>27.420760999999999</v>
      </c>
      <c r="GW41">
        <v>748.20874000000003</v>
      </c>
      <c r="GX41">
        <v>20.577724</v>
      </c>
      <c r="GY41">
        <v>83</v>
      </c>
      <c r="GZ41">
        <v>83</v>
      </c>
      <c r="HA41">
        <v>38</v>
      </c>
      <c r="HB41">
        <v>39</v>
      </c>
      <c r="HC41" t="s">
        <v>273</v>
      </c>
      <c r="HD41" t="s">
        <v>273</v>
      </c>
      <c r="HE41">
        <v>31</v>
      </c>
      <c r="HF41">
        <v>7.5000000000000002E-4</v>
      </c>
      <c r="HG41">
        <v>4.0000000000000001E-3</v>
      </c>
      <c r="HH41">
        <v>3.2258000000000002E-2</v>
      </c>
      <c r="HI41">
        <v>5250</v>
      </c>
    </row>
    <row r="42" spans="1:217" x14ac:dyDescent="0.3">
      <c r="A42">
        <v>342</v>
      </c>
      <c r="B42" t="s">
        <v>269</v>
      </c>
      <c r="F42" t="s">
        <v>270</v>
      </c>
      <c r="G42" t="s">
        <v>271</v>
      </c>
      <c r="H42" t="s">
        <v>272</v>
      </c>
      <c r="I42">
        <v>6500</v>
      </c>
      <c r="J42">
        <v>1</v>
      </c>
      <c r="K42">
        <v>79.219531000000003</v>
      </c>
      <c r="L42">
        <v>0.22</v>
      </c>
      <c r="M42">
        <v>1.9467000000000002E-2</v>
      </c>
      <c r="N42">
        <v>0</v>
      </c>
      <c r="O42">
        <v>0</v>
      </c>
      <c r="P42">
        <v>0</v>
      </c>
      <c r="Q42">
        <v>18.52</v>
      </c>
      <c r="R42">
        <v>1</v>
      </c>
      <c r="S42">
        <v>1</v>
      </c>
      <c r="T42">
        <v>1</v>
      </c>
      <c r="U42">
        <v>1</v>
      </c>
      <c r="V42">
        <v>100</v>
      </c>
      <c r="W42" t="s">
        <v>273</v>
      </c>
      <c r="X42" t="s">
        <v>274</v>
      </c>
      <c r="Y42" t="s">
        <v>274</v>
      </c>
      <c r="Z42" t="s">
        <v>273</v>
      </c>
      <c r="AA42" t="s">
        <v>275</v>
      </c>
      <c r="AB42" t="s">
        <v>276</v>
      </c>
      <c r="AC42">
        <v>329</v>
      </c>
      <c r="AD42">
        <v>5</v>
      </c>
      <c r="AE42" t="s">
        <v>277</v>
      </c>
      <c r="AF42">
        <v>3.166026</v>
      </c>
      <c r="AG42">
        <v>100</v>
      </c>
      <c r="AH42">
        <v>28.5</v>
      </c>
      <c r="AI42">
        <v>1710</v>
      </c>
      <c r="AJ42">
        <v>800</v>
      </c>
      <c r="AK42">
        <v>1200</v>
      </c>
      <c r="AL42">
        <v>179.2</v>
      </c>
      <c r="AM42">
        <v>2.2000000000000002</v>
      </c>
      <c r="AN42" t="s">
        <v>273</v>
      </c>
      <c r="AO42" t="s">
        <v>278</v>
      </c>
      <c r="AP42" t="s">
        <v>286</v>
      </c>
      <c r="AQ42">
        <v>2.8</v>
      </c>
      <c r="AR42">
        <v>4</v>
      </c>
      <c r="AS42">
        <v>157.19999999999999</v>
      </c>
      <c r="AT42">
        <v>286</v>
      </c>
      <c r="AU42">
        <v>0.16279199999999999</v>
      </c>
      <c r="AV42">
        <v>36.9</v>
      </c>
      <c r="AW42">
        <v>233.8</v>
      </c>
      <c r="AX42" t="s">
        <v>280</v>
      </c>
      <c r="AY42">
        <v>0</v>
      </c>
      <c r="AZ42" t="s">
        <v>281</v>
      </c>
      <c r="BA42">
        <v>0.2</v>
      </c>
      <c r="BB42">
        <v>0.5</v>
      </c>
      <c r="BC42" t="s">
        <v>273</v>
      </c>
      <c r="BD42" t="s">
        <v>273</v>
      </c>
      <c r="BE42">
        <v>19.800598000000001</v>
      </c>
      <c r="BF42">
        <v>20.028590000000001</v>
      </c>
      <c r="BG42">
        <v>432.63649900000001</v>
      </c>
      <c r="BH42" t="s">
        <v>273</v>
      </c>
      <c r="BI42">
        <v>29.118725999999999</v>
      </c>
      <c r="BJ42">
        <v>29.454011000000001</v>
      </c>
      <c r="BK42">
        <v>294.19080200000002</v>
      </c>
      <c r="BL42" t="s">
        <v>273</v>
      </c>
      <c r="BM42">
        <v>29.120107999999998</v>
      </c>
      <c r="BN42">
        <v>29.455409</v>
      </c>
      <c r="BO42">
        <v>294.17684000000003</v>
      </c>
      <c r="BP42" t="s">
        <v>273</v>
      </c>
      <c r="BQ42">
        <v>17.794754000000001</v>
      </c>
      <c r="BR42">
        <v>17.999651</v>
      </c>
      <c r="BS42">
        <v>481.40373499999998</v>
      </c>
      <c r="BT42" t="s">
        <v>273</v>
      </c>
      <c r="BU42">
        <v>7.5962719999999999</v>
      </c>
      <c r="BV42">
        <v>7.683738</v>
      </c>
      <c r="BW42">
        <v>1127.7191769999999</v>
      </c>
      <c r="BX42" t="s">
        <v>273</v>
      </c>
      <c r="BY42">
        <v>18.641815999999999</v>
      </c>
      <c r="BZ42">
        <v>19.446514000000001</v>
      </c>
      <c r="CA42">
        <v>21.551591999999999</v>
      </c>
      <c r="CB42">
        <v>29.120107999999998</v>
      </c>
      <c r="CC42">
        <v>10.69759</v>
      </c>
      <c r="CD42">
        <v>21.965198999999998</v>
      </c>
      <c r="CE42" t="s">
        <v>273</v>
      </c>
      <c r="CF42">
        <v>18.856466000000001</v>
      </c>
      <c r="CG42">
        <v>19.67043</v>
      </c>
      <c r="CH42">
        <v>21.799745999999999</v>
      </c>
      <c r="CI42">
        <v>29.455409</v>
      </c>
      <c r="CJ42">
        <v>10.820767</v>
      </c>
      <c r="CK42">
        <v>22.218115999999998</v>
      </c>
      <c r="CL42" t="s">
        <v>273</v>
      </c>
      <c r="CM42">
        <v>459.52932800000002</v>
      </c>
      <c r="CN42">
        <v>440.51397900000001</v>
      </c>
      <c r="CO42">
        <v>397.48624799999999</v>
      </c>
      <c r="CP42">
        <v>294.17684000000003</v>
      </c>
      <c r="CQ42">
        <v>800.78420900000003</v>
      </c>
      <c r="CR42">
        <v>390.00152800000001</v>
      </c>
      <c r="CS42" t="s">
        <v>273</v>
      </c>
      <c r="CT42">
        <v>546.68728399999998</v>
      </c>
      <c r="CU42">
        <v>563.469562</v>
      </c>
      <c r="CV42">
        <v>472.80432500000001</v>
      </c>
      <c r="CW42">
        <v>996.37861399999997</v>
      </c>
      <c r="CX42">
        <v>471.65441499999997</v>
      </c>
      <c r="CY42">
        <v>802.65033500000004</v>
      </c>
      <c r="CZ42" t="s">
        <v>273</v>
      </c>
      <c r="DA42">
        <v>3.6063420000000002</v>
      </c>
      <c r="DB42">
        <v>510.01</v>
      </c>
      <c r="DC42">
        <v>3.8775010000000001</v>
      </c>
      <c r="DD42">
        <v>864</v>
      </c>
      <c r="DE42">
        <v>3.6057899999999998</v>
      </c>
      <c r="DF42">
        <v>505</v>
      </c>
      <c r="DG42">
        <v>10.267319000000001</v>
      </c>
      <c r="DH42">
        <v>765</v>
      </c>
      <c r="DI42">
        <v>1.785458</v>
      </c>
      <c r="DJ42">
        <v>235</v>
      </c>
      <c r="DK42">
        <v>6.2388019999999997</v>
      </c>
      <c r="DL42">
        <v>365</v>
      </c>
      <c r="DM42" t="s">
        <v>273</v>
      </c>
      <c r="DN42">
        <v>5.1306919999999998</v>
      </c>
      <c r="DO42">
        <v>13.223542</v>
      </c>
      <c r="DP42">
        <v>6.6071720000000003</v>
      </c>
      <c r="DQ42" t="s">
        <v>282</v>
      </c>
      <c r="DR42">
        <v>7.7140560000000002</v>
      </c>
      <c r="DS42">
        <v>19.797383</v>
      </c>
      <c r="DT42">
        <v>47.342154000000001</v>
      </c>
      <c r="DU42">
        <v>75.226467</v>
      </c>
      <c r="DV42">
        <v>129.22545500000001</v>
      </c>
      <c r="DW42" t="s">
        <v>283</v>
      </c>
      <c r="DX42" t="s">
        <v>273</v>
      </c>
      <c r="DY42">
        <v>26.981066999999999</v>
      </c>
      <c r="DZ42">
        <v>6.2563999999999995E-2</v>
      </c>
      <c r="EA42">
        <v>1.7121299999999999</v>
      </c>
      <c r="EB42">
        <v>1.4147559999999999</v>
      </c>
      <c r="EC42">
        <v>82.631336000000005</v>
      </c>
      <c r="ED42">
        <v>21.954225999999998</v>
      </c>
      <c r="EE42">
        <v>864.14718500000004</v>
      </c>
      <c r="EF42">
        <v>9.8338769999999993</v>
      </c>
      <c r="EG42">
        <v>29</v>
      </c>
      <c r="EH42">
        <v>29</v>
      </c>
      <c r="EI42">
        <v>26</v>
      </c>
      <c r="EJ42">
        <v>29</v>
      </c>
      <c r="EK42" t="s">
        <v>273</v>
      </c>
      <c r="EL42" t="s">
        <v>273</v>
      </c>
      <c r="EM42">
        <v>27.686264999999999</v>
      </c>
      <c r="EN42">
        <v>3.6655E-2</v>
      </c>
      <c r="EO42">
        <v>1.810813</v>
      </c>
      <c r="EP42">
        <v>1.412763</v>
      </c>
      <c r="EQ42">
        <v>78.018176999999994</v>
      </c>
      <c r="ER42">
        <v>21.141134000000001</v>
      </c>
      <c r="ES42">
        <v>797.70826199999999</v>
      </c>
      <c r="ET42">
        <v>5.7614409999999996</v>
      </c>
      <c r="EU42">
        <v>29</v>
      </c>
      <c r="EV42">
        <v>29</v>
      </c>
      <c r="EW42">
        <v>28</v>
      </c>
      <c r="EX42">
        <v>29</v>
      </c>
      <c r="EY42" t="s">
        <v>273</v>
      </c>
      <c r="EZ42" t="s">
        <v>273</v>
      </c>
      <c r="FA42">
        <v>31.191668</v>
      </c>
      <c r="FB42">
        <v>6.3178999999999999E-2</v>
      </c>
      <c r="FC42">
        <v>1.7118230000000001</v>
      </c>
      <c r="FD42">
        <v>1.4146460000000001</v>
      </c>
      <c r="FE42">
        <v>82.639768000000004</v>
      </c>
      <c r="FF42">
        <v>25.382709999999999</v>
      </c>
      <c r="FG42">
        <v>864.207447</v>
      </c>
      <c r="FH42">
        <v>9.9306110000000007</v>
      </c>
      <c r="FI42">
        <v>29</v>
      </c>
      <c r="FJ42">
        <v>29</v>
      </c>
      <c r="FK42">
        <v>26</v>
      </c>
      <c r="FL42">
        <v>29</v>
      </c>
      <c r="FM42" t="s">
        <v>273</v>
      </c>
      <c r="FN42" t="s">
        <v>273</v>
      </c>
      <c r="FO42">
        <v>32.307217999999999</v>
      </c>
      <c r="FP42">
        <v>9.7015000000000004E-2</v>
      </c>
      <c r="FQ42">
        <v>3.7364799999999998</v>
      </c>
      <c r="FR42">
        <v>3.260392</v>
      </c>
      <c r="FS42">
        <v>87.258376999999996</v>
      </c>
      <c r="FT42">
        <v>28.017948000000001</v>
      </c>
      <c r="FU42">
        <v>705.98610399999995</v>
      </c>
      <c r="FV42">
        <v>15.248975</v>
      </c>
      <c r="FW42">
        <v>29</v>
      </c>
      <c r="FX42">
        <v>29</v>
      </c>
      <c r="FY42">
        <v>29</v>
      </c>
      <c r="FZ42">
        <v>28</v>
      </c>
      <c r="GA42" t="s">
        <v>273</v>
      </c>
      <c r="GB42" t="s">
        <v>273</v>
      </c>
      <c r="GC42">
        <v>31.215478000000001</v>
      </c>
      <c r="GD42">
        <v>0.13109799999999999</v>
      </c>
      <c r="GE42">
        <v>1.708963</v>
      </c>
      <c r="GF42">
        <v>1.381202</v>
      </c>
      <c r="GG42">
        <v>80.821095</v>
      </c>
      <c r="GH42">
        <v>24.569593999999999</v>
      </c>
      <c r="GI42">
        <v>1685.268605</v>
      </c>
      <c r="GJ42">
        <v>20.606285</v>
      </c>
      <c r="GK42">
        <v>24</v>
      </c>
      <c r="GL42">
        <v>24</v>
      </c>
      <c r="GM42">
        <v>15</v>
      </c>
      <c r="GN42">
        <v>24</v>
      </c>
      <c r="GO42" t="s">
        <v>273</v>
      </c>
      <c r="GP42" t="s">
        <v>273</v>
      </c>
      <c r="GQ42">
        <v>32.251541000000003</v>
      </c>
      <c r="GR42">
        <v>0.16228600000000001</v>
      </c>
      <c r="GS42">
        <v>3.0047999999999999</v>
      </c>
      <c r="GT42">
        <v>2.6120320000000001</v>
      </c>
      <c r="GU42">
        <v>86.928635</v>
      </c>
      <c r="GV42">
        <v>27.759433999999999</v>
      </c>
      <c r="GW42">
        <v>927.31735100000003</v>
      </c>
      <c r="GX42">
        <v>25.508541999999998</v>
      </c>
      <c r="GY42">
        <v>65</v>
      </c>
      <c r="GZ42">
        <v>65</v>
      </c>
      <c r="HA42">
        <v>40</v>
      </c>
      <c r="HB42">
        <v>41</v>
      </c>
      <c r="HC42" t="s">
        <v>273</v>
      </c>
      <c r="HD42" t="s">
        <v>273</v>
      </c>
      <c r="HE42">
        <v>31</v>
      </c>
      <c r="HF42">
        <v>7.5000000000000002E-4</v>
      </c>
      <c r="HG42">
        <v>4.0000000000000001E-3</v>
      </c>
      <c r="HH42">
        <v>3.2258000000000002E-2</v>
      </c>
      <c r="HI42">
        <v>6500</v>
      </c>
    </row>
    <row r="43" spans="1:217" x14ac:dyDescent="0.3">
      <c r="A43">
        <v>356</v>
      </c>
      <c r="B43" t="s">
        <v>269</v>
      </c>
      <c r="F43" t="s">
        <v>270</v>
      </c>
      <c r="G43" t="s">
        <v>271</v>
      </c>
      <c r="H43" t="s">
        <v>272</v>
      </c>
      <c r="I43">
        <v>3000</v>
      </c>
      <c r="J43">
        <v>1</v>
      </c>
      <c r="K43">
        <v>30.098437000000001</v>
      </c>
      <c r="L43">
        <v>0.22</v>
      </c>
      <c r="M43">
        <v>1.9223000000000001E-2</v>
      </c>
      <c r="N43">
        <v>0</v>
      </c>
      <c r="O43">
        <v>0</v>
      </c>
      <c r="P43">
        <v>0</v>
      </c>
      <c r="Q43">
        <v>11.89</v>
      </c>
      <c r="R43">
        <v>1</v>
      </c>
      <c r="S43">
        <v>1</v>
      </c>
      <c r="T43">
        <v>1</v>
      </c>
      <c r="U43">
        <v>1</v>
      </c>
      <c r="V43">
        <v>100</v>
      </c>
      <c r="W43" t="s">
        <v>273</v>
      </c>
      <c r="X43" t="s">
        <v>274</v>
      </c>
      <c r="Y43" t="s">
        <v>274</v>
      </c>
      <c r="Z43" t="s">
        <v>273</v>
      </c>
      <c r="AA43" t="s">
        <v>275</v>
      </c>
      <c r="AB43" t="s">
        <v>276</v>
      </c>
      <c r="AC43">
        <v>258</v>
      </c>
      <c r="AD43">
        <v>5</v>
      </c>
      <c r="AE43" t="s">
        <v>277</v>
      </c>
      <c r="AF43">
        <v>3.221571</v>
      </c>
      <c r="AG43">
        <v>100</v>
      </c>
      <c r="AH43">
        <v>29</v>
      </c>
      <c r="AI43">
        <v>1740</v>
      </c>
      <c r="AJ43">
        <v>800</v>
      </c>
      <c r="AK43">
        <v>1200</v>
      </c>
      <c r="AL43">
        <v>202.3</v>
      </c>
      <c r="AM43">
        <v>2.2000000000000002</v>
      </c>
      <c r="AN43" t="s">
        <v>273</v>
      </c>
      <c r="AO43" t="s">
        <v>278</v>
      </c>
      <c r="AP43" t="s">
        <v>285</v>
      </c>
      <c r="AQ43">
        <v>2.2000000000000002</v>
      </c>
      <c r="AR43">
        <v>4</v>
      </c>
      <c r="AS43">
        <v>123.4</v>
      </c>
      <c r="AT43">
        <v>224.5</v>
      </c>
      <c r="AU43">
        <v>0.12790799999999999</v>
      </c>
      <c r="AV43">
        <v>36.5</v>
      </c>
      <c r="AW43">
        <v>236.1</v>
      </c>
      <c r="AX43" t="s">
        <v>280</v>
      </c>
      <c r="AY43">
        <v>0</v>
      </c>
      <c r="AZ43" t="s">
        <v>281</v>
      </c>
      <c r="BA43">
        <v>0.2</v>
      </c>
      <c r="BB43">
        <v>0.5</v>
      </c>
      <c r="BC43" t="s">
        <v>273</v>
      </c>
      <c r="BD43" t="s">
        <v>273</v>
      </c>
      <c r="BE43">
        <v>34.386035</v>
      </c>
      <c r="BF43">
        <v>34.781970000000001</v>
      </c>
      <c r="BG43">
        <v>249.12617499999999</v>
      </c>
      <c r="BH43" t="s">
        <v>273</v>
      </c>
      <c r="BI43">
        <v>45.015841000000002</v>
      </c>
      <c r="BJ43">
        <v>45.534173000000003</v>
      </c>
      <c r="BK43">
        <v>190.29881499999999</v>
      </c>
      <c r="BL43" t="s">
        <v>273</v>
      </c>
      <c r="BM43">
        <v>45.018343000000002</v>
      </c>
      <c r="BN43">
        <v>45.536704</v>
      </c>
      <c r="BO43">
        <v>190.28824</v>
      </c>
      <c r="BP43" t="s">
        <v>273</v>
      </c>
      <c r="BQ43">
        <v>29.846461999999999</v>
      </c>
      <c r="BR43">
        <v>30.190127</v>
      </c>
      <c r="BS43">
        <v>287.01764800000001</v>
      </c>
      <c r="BT43" t="s">
        <v>273</v>
      </c>
      <c r="BU43">
        <v>10.589012</v>
      </c>
      <c r="BV43">
        <v>10.710939</v>
      </c>
      <c r="BW43">
        <v>808.99529399999994</v>
      </c>
      <c r="BX43" t="s">
        <v>273</v>
      </c>
      <c r="BY43">
        <v>32.211360999999997</v>
      </c>
      <c r="BZ43">
        <v>33.883440999999998</v>
      </c>
      <c r="CA43">
        <v>37.333748</v>
      </c>
      <c r="CB43">
        <v>45.018343000000002</v>
      </c>
      <c r="CC43">
        <v>21.367728</v>
      </c>
      <c r="CD43">
        <v>33.693401000000001</v>
      </c>
      <c r="CE43" t="s">
        <v>273</v>
      </c>
      <c r="CF43">
        <v>32.582256999999998</v>
      </c>
      <c r="CG43">
        <v>34.273589999999999</v>
      </c>
      <c r="CH43">
        <v>37.763624999999998</v>
      </c>
      <c r="CI43">
        <v>45.536704</v>
      </c>
      <c r="CJ43">
        <v>21.613765999999998</v>
      </c>
      <c r="CK43">
        <v>34.081361000000001</v>
      </c>
      <c r="CL43" t="s">
        <v>273</v>
      </c>
      <c r="CM43">
        <v>265.94533300000001</v>
      </c>
      <c r="CN43">
        <v>252.82146700000001</v>
      </c>
      <c r="CO43">
        <v>229.45623499999999</v>
      </c>
      <c r="CP43">
        <v>190.28824</v>
      </c>
      <c r="CQ43">
        <v>400.90650199999999</v>
      </c>
      <c r="CR43">
        <v>254.24744999999999</v>
      </c>
      <c r="CS43" t="s">
        <v>273</v>
      </c>
      <c r="CT43">
        <v>316.66629699999999</v>
      </c>
      <c r="CU43">
        <v>324.11989899999998</v>
      </c>
      <c r="CV43">
        <v>273.17763600000001</v>
      </c>
      <c r="CW43">
        <v>644.56034099999999</v>
      </c>
      <c r="CX43">
        <v>237.63169099999999</v>
      </c>
      <c r="CY43">
        <v>523.74514999999997</v>
      </c>
      <c r="CZ43" t="s">
        <v>273</v>
      </c>
      <c r="DA43">
        <v>3.6095299999999999</v>
      </c>
      <c r="DB43">
        <v>510.01</v>
      </c>
      <c r="DC43">
        <v>3.886269</v>
      </c>
      <c r="DD43">
        <v>864</v>
      </c>
      <c r="DE43">
        <v>3.6089959999999999</v>
      </c>
      <c r="DF43">
        <v>505</v>
      </c>
      <c r="DG43">
        <v>10.268162999999999</v>
      </c>
      <c r="DH43">
        <v>765</v>
      </c>
      <c r="DI43">
        <v>1.7968109999999999</v>
      </c>
      <c r="DJ43">
        <v>235</v>
      </c>
      <c r="DK43">
        <v>6.244599</v>
      </c>
      <c r="DL43">
        <v>365</v>
      </c>
      <c r="DM43" t="s">
        <v>273</v>
      </c>
      <c r="DN43">
        <v>3.4827780000000002</v>
      </c>
      <c r="DO43">
        <v>8.0055130000000005</v>
      </c>
      <c r="DP43">
        <v>4.2401790000000004</v>
      </c>
      <c r="DQ43" t="s">
        <v>282</v>
      </c>
      <c r="DR43">
        <v>4.813142</v>
      </c>
      <c r="DS43">
        <v>16.423898000000001</v>
      </c>
      <c r="DT43">
        <v>33.482731999999999</v>
      </c>
      <c r="DU43">
        <v>88.890386000000007</v>
      </c>
      <c r="DV43">
        <v>131.37393</v>
      </c>
      <c r="DW43" t="s">
        <v>283</v>
      </c>
      <c r="DX43" t="s">
        <v>273</v>
      </c>
      <c r="DY43">
        <v>24.311713999999998</v>
      </c>
      <c r="DZ43">
        <v>4.224E-2</v>
      </c>
      <c r="EA43">
        <v>0.89362699999999995</v>
      </c>
      <c r="EB43">
        <v>0.74963500000000005</v>
      </c>
      <c r="EC43">
        <v>83.886802000000003</v>
      </c>
      <c r="ED43">
        <v>20.087826</v>
      </c>
      <c r="EE43">
        <v>457.59565800000001</v>
      </c>
      <c r="EF43">
        <v>5.2119790000000004</v>
      </c>
      <c r="EG43">
        <v>27</v>
      </c>
      <c r="EH43">
        <v>27</v>
      </c>
      <c r="EI43">
        <v>22</v>
      </c>
      <c r="EJ43">
        <v>25</v>
      </c>
      <c r="EK43" t="s">
        <v>273</v>
      </c>
      <c r="EL43" t="s">
        <v>273</v>
      </c>
      <c r="EM43">
        <v>22.498937999999999</v>
      </c>
      <c r="EN43">
        <v>2.2054000000000001E-2</v>
      </c>
      <c r="EO43">
        <v>0.84645999999999999</v>
      </c>
      <c r="EP43">
        <v>0.67050399999999999</v>
      </c>
      <c r="EQ43">
        <v>79.212671</v>
      </c>
      <c r="ER43">
        <v>17.359558</v>
      </c>
      <c r="ES43">
        <v>375.93090699999999</v>
      </c>
      <c r="ET43">
        <v>2.721298</v>
      </c>
      <c r="EU43">
        <v>27</v>
      </c>
      <c r="EV43">
        <v>27</v>
      </c>
      <c r="EW43">
        <v>27</v>
      </c>
      <c r="EX43">
        <v>27</v>
      </c>
      <c r="EY43" t="s">
        <v>273</v>
      </c>
      <c r="EZ43" t="s">
        <v>273</v>
      </c>
      <c r="FA43">
        <v>28.170918</v>
      </c>
      <c r="FB43">
        <v>4.2655999999999999E-2</v>
      </c>
      <c r="FC43">
        <v>0.89327400000000001</v>
      </c>
      <c r="FD43">
        <v>0.74959500000000001</v>
      </c>
      <c r="FE43">
        <v>83.915436</v>
      </c>
      <c r="FF43">
        <v>23.284057000000001</v>
      </c>
      <c r="FG43">
        <v>457.632091</v>
      </c>
      <c r="FH43">
        <v>5.2633279999999996</v>
      </c>
      <c r="FI43">
        <v>27</v>
      </c>
      <c r="FJ43">
        <v>27</v>
      </c>
      <c r="FK43">
        <v>22</v>
      </c>
      <c r="FL43">
        <v>25</v>
      </c>
      <c r="FM43" t="s">
        <v>273</v>
      </c>
      <c r="FN43" t="s">
        <v>273</v>
      </c>
      <c r="FO43">
        <v>30.544398000000001</v>
      </c>
      <c r="FP43">
        <v>7.6255000000000003E-2</v>
      </c>
      <c r="FQ43">
        <v>2.2852510000000001</v>
      </c>
      <c r="FR43">
        <v>2.0099860000000001</v>
      </c>
      <c r="FS43">
        <v>87.954745000000003</v>
      </c>
      <c r="FT43">
        <v>26.724615</v>
      </c>
      <c r="FU43">
        <v>435.586795</v>
      </c>
      <c r="FV43">
        <v>9.4092479999999998</v>
      </c>
      <c r="FW43">
        <v>11</v>
      </c>
      <c r="FX43">
        <v>11</v>
      </c>
      <c r="FY43">
        <v>11</v>
      </c>
      <c r="FZ43">
        <v>10</v>
      </c>
      <c r="GA43" t="s">
        <v>273</v>
      </c>
      <c r="GB43" t="s">
        <v>273</v>
      </c>
      <c r="GC43">
        <v>30.266694000000001</v>
      </c>
      <c r="GD43">
        <v>8.2934999999999995E-2</v>
      </c>
      <c r="GE43">
        <v>0.83484899999999995</v>
      </c>
      <c r="GF43">
        <v>0.68841399999999997</v>
      </c>
      <c r="GG43">
        <v>82.459649999999996</v>
      </c>
      <c r="GH43">
        <v>24.217943999999999</v>
      </c>
      <c r="GI43">
        <v>831.64379599999995</v>
      </c>
      <c r="GJ43">
        <v>10.233419</v>
      </c>
      <c r="GK43">
        <v>30</v>
      </c>
      <c r="GL43">
        <v>30</v>
      </c>
      <c r="GM43">
        <v>15</v>
      </c>
      <c r="GN43">
        <v>25</v>
      </c>
      <c r="GO43" t="s">
        <v>273</v>
      </c>
      <c r="GP43" t="s">
        <v>273</v>
      </c>
      <c r="GQ43">
        <v>31.901223999999999</v>
      </c>
      <c r="GR43">
        <v>0.137235</v>
      </c>
      <c r="GS43">
        <v>1.9393940000000001</v>
      </c>
      <c r="GT43">
        <v>1.7298880000000001</v>
      </c>
      <c r="GU43">
        <v>89.197338000000002</v>
      </c>
      <c r="GV43">
        <v>28.240912999999999</v>
      </c>
      <c r="GW43">
        <v>615.01645699999995</v>
      </c>
      <c r="GX43">
        <v>16.933522</v>
      </c>
      <c r="GY43">
        <v>54</v>
      </c>
      <c r="GZ43">
        <v>54</v>
      </c>
      <c r="HA43">
        <v>30</v>
      </c>
      <c r="HB43">
        <v>31</v>
      </c>
      <c r="HC43" t="s">
        <v>273</v>
      </c>
      <c r="HD43" t="s">
        <v>273</v>
      </c>
      <c r="HE43">
        <v>18</v>
      </c>
      <c r="HF43">
        <v>7.5000000000000002E-4</v>
      </c>
      <c r="HG43">
        <v>6.0000000000000001E-3</v>
      </c>
      <c r="HH43">
        <v>5.5556000000000001E-2</v>
      </c>
      <c r="HI43">
        <v>3000</v>
      </c>
    </row>
    <row r="44" spans="1:217" x14ac:dyDescent="0.3">
      <c r="A44">
        <v>357</v>
      </c>
      <c r="B44" t="s">
        <v>269</v>
      </c>
      <c r="F44" t="s">
        <v>270</v>
      </c>
      <c r="G44" t="s">
        <v>271</v>
      </c>
      <c r="H44" t="s">
        <v>272</v>
      </c>
      <c r="I44">
        <v>3750</v>
      </c>
      <c r="J44">
        <v>1</v>
      </c>
      <c r="K44">
        <v>38.448047000000003</v>
      </c>
      <c r="L44">
        <v>0.22</v>
      </c>
      <c r="M44">
        <v>2.4715999999999998E-2</v>
      </c>
      <c r="N44">
        <v>0</v>
      </c>
      <c r="O44">
        <v>0</v>
      </c>
      <c r="P44">
        <v>0</v>
      </c>
      <c r="Q44">
        <v>14.83</v>
      </c>
      <c r="R44">
        <v>1</v>
      </c>
      <c r="S44">
        <v>1</v>
      </c>
      <c r="T44">
        <v>1</v>
      </c>
      <c r="U44">
        <v>1</v>
      </c>
      <c r="V44">
        <v>100</v>
      </c>
      <c r="W44" t="s">
        <v>273</v>
      </c>
      <c r="X44" t="s">
        <v>274</v>
      </c>
      <c r="Y44" t="s">
        <v>274</v>
      </c>
      <c r="Z44" t="s">
        <v>273</v>
      </c>
      <c r="AA44" t="s">
        <v>275</v>
      </c>
      <c r="AB44" t="s">
        <v>276</v>
      </c>
      <c r="AC44">
        <v>329</v>
      </c>
      <c r="AD44">
        <v>5</v>
      </c>
      <c r="AE44" t="s">
        <v>277</v>
      </c>
      <c r="AF44">
        <v>3.166026</v>
      </c>
      <c r="AG44">
        <v>100</v>
      </c>
      <c r="AH44">
        <v>28.5</v>
      </c>
      <c r="AI44">
        <v>1710</v>
      </c>
      <c r="AJ44">
        <v>800</v>
      </c>
      <c r="AK44">
        <v>1200</v>
      </c>
      <c r="AL44">
        <v>179.2</v>
      </c>
      <c r="AM44">
        <v>2.2000000000000002</v>
      </c>
      <c r="AN44" t="s">
        <v>273</v>
      </c>
      <c r="AO44" t="s">
        <v>278</v>
      </c>
      <c r="AP44" t="s">
        <v>286</v>
      </c>
      <c r="AQ44">
        <v>2.8</v>
      </c>
      <c r="AR44">
        <v>4</v>
      </c>
      <c r="AS44">
        <v>157.19999999999999</v>
      </c>
      <c r="AT44">
        <v>286</v>
      </c>
      <c r="AU44">
        <v>0.16279199999999999</v>
      </c>
      <c r="AV44">
        <v>36.9</v>
      </c>
      <c r="AW44">
        <v>233.8</v>
      </c>
      <c r="AX44" t="s">
        <v>280</v>
      </c>
      <c r="AY44">
        <v>0</v>
      </c>
      <c r="AZ44" t="s">
        <v>281</v>
      </c>
      <c r="BA44">
        <v>0.2</v>
      </c>
      <c r="BB44">
        <v>0.5</v>
      </c>
      <c r="BC44" t="s">
        <v>273</v>
      </c>
      <c r="BD44" t="s">
        <v>273</v>
      </c>
      <c r="BE44">
        <v>28.268227</v>
      </c>
      <c r="BF44">
        <v>28.593720000000001</v>
      </c>
      <c r="BG44">
        <v>303.04203899999999</v>
      </c>
      <c r="BH44" t="s">
        <v>273</v>
      </c>
      <c r="BI44">
        <v>37.004071000000003</v>
      </c>
      <c r="BJ44">
        <v>37.430152</v>
      </c>
      <c r="BK44">
        <v>231.50050899999999</v>
      </c>
      <c r="BL44" t="s">
        <v>273</v>
      </c>
      <c r="BM44">
        <v>37.006115000000001</v>
      </c>
      <c r="BN44">
        <v>37.432220000000001</v>
      </c>
      <c r="BO44">
        <v>231.48772199999999</v>
      </c>
      <c r="BP44" t="s">
        <v>273</v>
      </c>
      <c r="BQ44">
        <v>24.101095000000001</v>
      </c>
      <c r="BR44">
        <v>24.378606000000001</v>
      </c>
      <c r="BS44">
        <v>355.438672</v>
      </c>
      <c r="BT44" t="s">
        <v>273</v>
      </c>
      <c r="BU44">
        <v>8.4589850000000002</v>
      </c>
      <c r="BV44">
        <v>8.5563850000000006</v>
      </c>
      <c r="BW44">
        <v>1012.705627</v>
      </c>
      <c r="BX44" t="s">
        <v>273</v>
      </c>
      <c r="BY44">
        <v>26.366906</v>
      </c>
      <c r="BZ44">
        <v>27.964174</v>
      </c>
      <c r="CA44">
        <v>30.558395999999998</v>
      </c>
      <c r="CB44">
        <v>37.006115000000001</v>
      </c>
      <c r="CC44">
        <v>17.375845000000002</v>
      </c>
      <c r="CD44">
        <v>27.122057000000002</v>
      </c>
      <c r="CE44" t="s">
        <v>273</v>
      </c>
      <c r="CF44">
        <v>26.670506</v>
      </c>
      <c r="CG44">
        <v>28.286166000000001</v>
      </c>
      <c r="CH44">
        <v>30.910259</v>
      </c>
      <c r="CI44">
        <v>37.432220000000001</v>
      </c>
      <c r="CJ44">
        <v>17.575918000000001</v>
      </c>
      <c r="CK44">
        <v>27.434352000000001</v>
      </c>
      <c r="CL44" t="s">
        <v>273</v>
      </c>
      <c r="CM44">
        <v>324.89443999999997</v>
      </c>
      <c r="CN44">
        <v>306.33700199999998</v>
      </c>
      <c r="CO44">
        <v>280.33085299999999</v>
      </c>
      <c r="CP44">
        <v>231.48772199999999</v>
      </c>
      <c r="CQ44">
        <v>493.00977899999998</v>
      </c>
      <c r="CR44">
        <v>315.84851500000002</v>
      </c>
      <c r="CS44" t="s">
        <v>273</v>
      </c>
      <c r="CT44">
        <v>386.90483599999999</v>
      </c>
      <c r="CU44">
        <v>392.78660500000001</v>
      </c>
      <c r="CV44">
        <v>333.78569499999998</v>
      </c>
      <c r="CW44">
        <v>784.10230300000001</v>
      </c>
      <c r="CX44">
        <v>292.26426500000002</v>
      </c>
      <c r="CY44">
        <v>650.63740600000006</v>
      </c>
      <c r="CZ44" t="s">
        <v>273</v>
      </c>
      <c r="DA44">
        <v>3.6099649999999999</v>
      </c>
      <c r="DB44">
        <v>510.01</v>
      </c>
      <c r="DC44">
        <v>3.8868550000000002</v>
      </c>
      <c r="DD44">
        <v>864</v>
      </c>
      <c r="DE44">
        <v>3.6094240000000002</v>
      </c>
      <c r="DF44">
        <v>505</v>
      </c>
      <c r="DG44">
        <v>10.268001</v>
      </c>
      <c r="DH44">
        <v>765</v>
      </c>
      <c r="DI44">
        <v>1.7970550000000001</v>
      </c>
      <c r="DJ44">
        <v>235</v>
      </c>
      <c r="DK44">
        <v>6.2445529999999998</v>
      </c>
      <c r="DL44">
        <v>365</v>
      </c>
      <c r="DM44" t="s">
        <v>273</v>
      </c>
      <c r="DN44">
        <v>3.4812090000000002</v>
      </c>
      <c r="DO44">
        <v>7.9345800000000004</v>
      </c>
      <c r="DP44">
        <v>4.0403169999999999</v>
      </c>
      <c r="DQ44" t="s">
        <v>282</v>
      </c>
      <c r="DR44">
        <v>4.6721370000000002</v>
      </c>
      <c r="DS44">
        <v>16.357969000000001</v>
      </c>
      <c r="DT44">
        <v>33.005003000000002</v>
      </c>
      <c r="DU44">
        <v>89.379795000000001</v>
      </c>
      <c r="DV44">
        <v>131.49800300000001</v>
      </c>
      <c r="DW44" t="s">
        <v>283</v>
      </c>
      <c r="DX44" t="s">
        <v>273</v>
      </c>
      <c r="DY44">
        <v>24.795596</v>
      </c>
      <c r="DZ44">
        <v>4.1411999999999997E-2</v>
      </c>
      <c r="EA44">
        <v>1.1135699999999999</v>
      </c>
      <c r="EB44">
        <v>0.93650199999999995</v>
      </c>
      <c r="EC44">
        <v>84.099092999999996</v>
      </c>
      <c r="ED44">
        <v>20.533028999999999</v>
      </c>
      <c r="EE44">
        <v>571.41549799999996</v>
      </c>
      <c r="EF44">
        <v>6.5091640000000002</v>
      </c>
      <c r="EG44">
        <v>25</v>
      </c>
      <c r="EH44">
        <v>25</v>
      </c>
      <c r="EI44">
        <v>20</v>
      </c>
      <c r="EJ44">
        <v>24</v>
      </c>
      <c r="EK44" t="s">
        <v>273</v>
      </c>
      <c r="EL44" t="s">
        <v>273</v>
      </c>
      <c r="EM44">
        <v>23.230993999999999</v>
      </c>
      <c r="EN44">
        <v>2.1631999999999998E-2</v>
      </c>
      <c r="EO44">
        <v>1.059164</v>
      </c>
      <c r="EP44">
        <v>0.83824200000000004</v>
      </c>
      <c r="EQ44">
        <v>79.141879000000003</v>
      </c>
      <c r="ER44">
        <v>17.898028</v>
      </c>
      <c r="ES44">
        <v>469.63446800000003</v>
      </c>
      <c r="ET44">
        <v>3.4001139999999999</v>
      </c>
      <c r="EU44">
        <v>27</v>
      </c>
      <c r="EV44">
        <v>27</v>
      </c>
      <c r="EW44">
        <v>27</v>
      </c>
      <c r="EX44">
        <v>27</v>
      </c>
      <c r="EY44" t="s">
        <v>273</v>
      </c>
      <c r="EZ44" t="s">
        <v>273</v>
      </c>
      <c r="FA44">
        <v>28.729154999999999</v>
      </c>
      <c r="FB44">
        <v>4.1819000000000002E-2</v>
      </c>
      <c r="FC44">
        <v>1.1130869999999999</v>
      </c>
      <c r="FD44">
        <v>0.93644799999999995</v>
      </c>
      <c r="FE44">
        <v>84.130701000000002</v>
      </c>
      <c r="FF44">
        <v>23.798908000000001</v>
      </c>
      <c r="FG44">
        <v>571.46009600000002</v>
      </c>
      <c r="FH44">
        <v>6.5732689999999998</v>
      </c>
      <c r="FI44">
        <v>25</v>
      </c>
      <c r="FJ44">
        <v>25</v>
      </c>
      <c r="FK44">
        <v>20</v>
      </c>
      <c r="FL44">
        <v>24</v>
      </c>
      <c r="FM44" t="s">
        <v>273</v>
      </c>
      <c r="FN44" t="s">
        <v>273</v>
      </c>
      <c r="FO44">
        <v>31.341141</v>
      </c>
      <c r="FP44">
        <v>7.4735999999999997E-2</v>
      </c>
      <c r="FQ44">
        <v>2.8525040000000002</v>
      </c>
      <c r="FR44">
        <v>2.5098370000000001</v>
      </c>
      <c r="FS44">
        <v>87.987150999999997</v>
      </c>
      <c r="FT44">
        <v>27.427042</v>
      </c>
      <c r="FU44">
        <v>543.82377799999995</v>
      </c>
      <c r="FV44">
        <v>11.747123999999999</v>
      </c>
      <c r="FW44">
        <v>16</v>
      </c>
      <c r="FX44">
        <v>16</v>
      </c>
      <c r="FY44">
        <v>16</v>
      </c>
      <c r="FZ44">
        <v>15</v>
      </c>
      <c r="GA44" t="s">
        <v>273</v>
      </c>
      <c r="GB44" t="s">
        <v>273</v>
      </c>
      <c r="GC44">
        <v>30.788727000000002</v>
      </c>
      <c r="GD44">
        <v>8.1361000000000003E-2</v>
      </c>
      <c r="GE44">
        <v>1.044494</v>
      </c>
      <c r="GF44">
        <v>0.86063599999999996</v>
      </c>
      <c r="GG44">
        <v>82.397327000000004</v>
      </c>
      <c r="GH44">
        <v>24.607365000000001</v>
      </c>
      <c r="GI44">
        <v>1039.147189</v>
      </c>
      <c r="GJ44">
        <v>12.788494</v>
      </c>
      <c r="GK44">
        <v>29</v>
      </c>
      <c r="GL44">
        <v>29</v>
      </c>
      <c r="GM44">
        <v>15</v>
      </c>
      <c r="GN44">
        <v>24</v>
      </c>
      <c r="GO44" t="s">
        <v>273</v>
      </c>
      <c r="GP44" t="s">
        <v>273</v>
      </c>
      <c r="GQ44">
        <v>32.368758999999997</v>
      </c>
      <c r="GR44">
        <v>0.134825</v>
      </c>
      <c r="GS44">
        <v>2.4445770000000002</v>
      </c>
      <c r="GT44">
        <v>2.164272</v>
      </c>
      <c r="GU44">
        <v>88.533578000000006</v>
      </c>
      <c r="GV44">
        <v>28.450271000000001</v>
      </c>
      <c r="GW44">
        <v>769.69156599999997</v>
      </c>
      <c r="GX44">
        <v>21.192104</v>
      </c>
      <c r="GY44">
        <v>55</v>
      </c>
      <c r="GZ44">
        <v>55</v>
      </c>
      <c r="HA44">
        <v>33</v>
      </c>
      <c r="HB44">
        <v>34</v>
      </c>
      <c r="HC44" t="s">
        <v>273</v>
      </c>
      <c r="HD44" t="s">
        <v>273</v>
      </c>
      <c r="HE44">
        <v>18</v>
      </c>
      <c r="HF44">
        <v>7.5000000000000002E-4</v>
      </c>
      <c r="HG44">
        <v>6.0000000000000001E-3</v>
      </c>
      <c r="HH44">
        <v>5.5556000000000001E-2</v>
      </c>
      <c r="HI44">
        <v>3750</v>
      </c>
    </row>
    <row r="45" spans="1:217" x14ac:dyDescent="0.3">
      <c r="A45">
        <v>358</v>
      </c>
      <c r="B45" t="s">
        <v>269</v>
      </c>
      <c r="F45" t="s">
        <v>270</v>
      </c>
      <c r="G45" t="s">
        <v>271</v>
      </c>
      <c r="H45" t="s">
        <v>272</v>
      </c>
      <c r="I45">
        <v>3750</v>
      </c>
      <c r="J45">
        <v>1</v>
      </c>
      <c r="K45">
        <v>38.448047000000003</v>
      </c>
      <c r="L45">
        <v>0.22</v>
      </c>
      <c r="M45">
        <v>2.4715999999999998E-2</v>
      </c>
      <c r="N45">
        <v>0</v>
      </c>
      <c r="O45">
        <v>0</v>
      </c>
      <c r="P45">
        <v>0</v>
      </c>
      <c r="Q45">
        <v>14.83</v>
      </c>
      <c r="R45">
        <v>1</v>
      </c>
      <c r="S45">
        <v>1</v>
      </c>
      <c r="T45">
        <v>1</v>
      </c>
      <c r="U45">
        <v>1</v>
      </c>
      <c r="V45">
        <v>100</v>
      </c>
      <c r="W45" t="s">
        <v>273</v>
      </c>
      <c r="X45" t="s">
        <v>274</v>
      </c>
      <c r="Y45" t="s">
        <v>274</v>
      </c>
      <c r="Z45" t="s">
        <v>273</v>
      </c>
      <c r="AA45" t="s">
        <v>275</v>
      </c>
      <c r="AB45" t="s">
        <v>276</v>
      </c>
      <c r="AC45">
        <v>188</v>
      </c>
      <c r="AD45">
        <v>5</v>
      </c>
      <c r="AE45" t="s">
        <v>277</v>
      </c>
      <c r="AF45">
        <v>3.6103809999999998</v>
      </c>
      <c r="AG45">
        <v>100</v>
      </c>
      <c r="AH45">
        <v>32.5</v>
      </c>
      <c r="AI45">
        <v>1950</v>
      </c>
      <c r="AJ45">
        <v>800</v>
      </c>
      <c r="AK45">
        <v>1200</v>
      </c>
      <c r="AL45">
        <v>237.3</v>
      </c>
      <c r="AM45">
        <v>2.2000000000000002</v>
      </c>
      <c r="AN45" t="s">
        <v>273</v>
      </c>
      <c r="AO45" t="s">
        <v>278</v>
      </c>
      <c r="AP45" t="s">
        <v>287</v>
      </c>
      <c r="AQ45">
        <v>1.6</v>
      </c>
      <c r="AR45">
        <v>4</v>
      </c>
      <c r="AS45">
        <v>89.6</v>
      </c>
      <c r="AT45">
        <v>163.1</v>
      </c>
      <c r="AU45">
        <v>9.3023999999999996E-2</v>
      </c>
      <c r="AV45">
        <v>36</v>
      </c>
      <c r="AW45">
        <v>239.3</v>
      </c>
      <c r="AX45" t="s">
        <v>280</v>
      </c>
      <c r="AY45">
        <v>0</v>
      </c>
      <c r="AZ45" t="s">
        <v>281</v>
      </c>
      <c r="BA45">
        <v>0.2</v>
      </c>
      <c r="BB45">
        <v>0.5</v>
      </c>
      <c r="BC45" t="s">
        <v>273</v>
      </c>
      <c r="BD45" t="s">
        <v>273</v>
      </c>
      <c r="BE45">
        <v>30.739383</v>
      </c>
      <c r="BF45">
        <v>31.093330000000002</v>
      </c>
      <c r="BG45">
        <v>278.68032399999998</v>
      </c>
      <c r="BH45" t="s">
        <v>273</v>
      </c>
      <c r="BI45">
        <v>37.490341000000001</v>
      </c>
      <c r="BJ45">
        <v>37.922021000000001</v>
      </c>
      <c r="BK45">
        <v>228.49782400000001</v>
      </c>
      <c r="BL45" t="s">
        <v>273</v>
      </c>
      <c r="BM45">
        <v>37.492317999999997</v>
      </c>
      <c r="BN45">
        <v>37.924021000000003</v>
      </c>
      <c r="BO45">
        <v>228.48577499999999</v>
      </c>
      <c r="BP45" t="s">
        <v>273</v>
      </c>
      <c r="BQ45">
        <v>23.587876000000001</v>
      </c>
      <c r="BR45">
        <v>23.859476999999998</v>
      </c>
      <c r="BS45">
        <v>363.17221899999998</v>
      </c>
      <c r="BT45" t="s">
        <v>273</v>
      </c>
      <c r="BU45">
        <v>11.889222999999999</v>
      </c>
      <c r="BV45">
        <v>12.026121</v>
      </c>
      <c r="BW45">
        <v>720.52319999999997</v>
      </c>
      <c r="BX45" t="s">
        <v>273</v>
      </c>
      <c r="BY45">
        <v>27.670400000000001</v>
      </c>
      <c r="BZ45">
        <v>31.484016</v>
      </c>
      <c r="CA45">
        <v>31.988403999999999</v>
      </c>
      <c r="CB45">
        <v>37.492317999999997</v>
      </c>
      <c r="CC45">
        <v>16.924873999999999</v>
      </c>
      <c r="CD45">
        <v>26.586003999999999</v>
      </c>
      <c r="CE45" t="s">
        <v>273</v>
      </c>
      <c r="CF45">
        <v>27.989008999999999</v>
      </c>
      <c r="CG45">
        <v>31.846536</v>
      </c>
      <c r="CH45">
        <v>32.356732999999998</v>
      </c>
      <c r="CI45">
        <v>37.924021000000003</v>
      </c>
      <c r="CJ45">
        <v>17.119754</v>
      </c>
      <c r="CK45">
        <v>26.892126999999999</v>
      </c>
      <c r="CL45" t="s">
        <v>273</v>
      </c>
      <c r="CM45">
        <v>309.58935500000001</v>
      </c>
      <c r="CN45">
        <v>272.08921900000001</v>
      </c>
      <c r="CO45">
        <v>267.79895399999998</v>
      </c>
      <c r="CP45">
        <v>228.48577499999999</v>
      </c>
      <c r="CQ45">
        <v>506.14624099999997</v>
      </c>
      <c r="CR45">
        <v>322.21695399999999</v>
      </c>
      <c r="CS45" t="s">
        <v>273</v>
      </c>
      <c r="CT45">
        <v>368.08176700000001</v>
      </c>
      <c r="CU45">
        <v>347.91890000000001</v>
      </c>
      <c r="CV45">
        <v>318.345933</v>
      </c>
      <c r="CW45">
        <v>773.79832199999998</v>
      </c>
      <c r="CX45">
        <v>298.28850199999999</v>
      </c>
      <c r="CY45">
        <v>662.91261599999996</v>
      </c>
      <c r="CZ45" t="s">
        <v>273</v>
      </c>
      <c r="DA45">
        <v>3.6041219999999998</v>
      </c>
      <c r="DB45">
        <v>510.01</v>
      </c>
      <c r="DC45">
        <v>3.8762150000000002</v>
      </c>
      <c r="DD45">
        <v>864</v>
      </c>
      <c r="DE45">
        <v>3.603558</v>
      </c>
      <c r="DF45">
        <v>505</v>
      </c>
      <c r="DG45">
        <v>10.266201000000001</v>
      </c>
      <c r="DH45">
        <v>765</v>
      </c>
      <c r="DI45">
        <v>1.786494</v>
      </c>
      <c r="DJ45">
        <v>235</v>
      </c>
      <c r="DK45">
        <v>6.2366159999999997</v>
      </c>
      <c r="DL45">
        <v>365</v>
      </c>
      <c r="DM45" t="s">
        <v>273</v>
      </c>
      <c r="DN45">
        <v>4.8674189999999999</v>
      </c>
      <c r="DO45">
        <v>12.940946</v>
      </c>
      <c r="DP45">
        <v>6.2025810000000003</v>
      </c>
      <c r="DQ45" t="s">
        <v>282</v>
      </c>
      <c r="DR45">
        <v>11.042503999999999</v>
      </c>
      <c r="DS45">
        <v>19.798876</v>
      </c>
      <c r="DT45">
        <v>49.984907999999997</v>
      </c>
      <c r="DU45">
        <v>72.921555999999995</v>
      </c>
      <c r="DV45">
        <v>103.53404</v>
      </c>
      <c r="DW45" t="s">
        <v>283</v>
      </c>
      <c r="DX45" t="s">
        <v>273</v>
      </c>
      <c r="DY45">
        <v>26.092866999999998</v>
      </c>
      <c r="DZ45">
        <v>7.2596999999999995E-2</v>
      </c>
      <c r="EA45">
        <v>1.1148199999999999</v>
      </c>
      <c r="EB45">
        <v>0.93366099999999996</v>
      </c>
      <c r="EC45">
        <v>83.749911999999995</v>
      </c>
      <c r="ED45">
        <v>21.568138999999999</v>
      </c>
      <c r="EE45">
        <v>571.94622100000004</v>
      </c>
      <c r="EF45">
        <v>6.5046629999999999</v>
      </c>
      <c r="EG45">
        <v>35</v>
      </c>
      <c r="EH45">
        <v>35</v>
      </c>
      <c r="EI45">
        <v>28</v>
      </c>
      <c r="EJ45">
        <v>33</v>
      </c>
      <c r="EK45" t="s">
        <v>273</v>
      </c>
      <c r="EL45" t="s">
        <v>273</v>
      </c>
      <c r="EM45">
        <v>25.68929</v>
      </c>
      <c r="EN45">
        <v>3.7867999999999999E-2</v>
      </c>
      <c r="EO45">
        <v>1.0374540000000001</v>
      </c>
      <c r="EP45">
        <v>0.83083300000000004</v>
      </c>
      <c r="EQ45">
        <v>80.083806999999993</v>
      </c>
      <c r="ER45">
        <v>20.163720999999999</v>
      </c>
      <c r="ES45">
        <v>469.93502899999999</v>
      </c>
      <c r="ET45">
        <v>3.392976</v>
      </c>
      <c r="EU45">
        <v>36</v>
      </c>
      <c r="EV45">
        <v>36</v>
      </c>
      <c r="EW45">
        <v>36</v>
      </c>
      <c r="EX45">
        <v>35</v>
      </c>
      <c r="EY45" t="s">
        <v>273</v>
      </c>
      <c r="EZ45" t="s">
        <v>273</v>
      </c>
      <c r="FA45">
        <v>30.161149999999999</v>
      </c>
      <c r="FB45">
        <v>7.3312000000000002E-2</v>
      </c>
      <c r="FC45">
        <v>1.1145149999999999</v>
      </c>
      <c r="FD45">
        <v>0.93359499999999995</v>
      </c>
      <c r="FE45">
        <v>83.766903999999997</v>
      </c>
      <c r="FF45">
        <v>24.935896</v>
      </c>
      <c r="FG45">
        <v>571.99489500000004</v>
      </c>
      <c r="FH45">
        <v>6.568727</v>
      </c>
      <c r="FI45">
        <v>35</v>
      </c>
      <c r="FJ45">
        <v>35</v>
      </c>
      <c r="FK45">
        <v>28</v>
      </c>
      <c r="FL45">
        <v>33</v>
      </c>
      <c r="FM45" t="s">
        <v>273</v>
      </c>
      <c r="FN45" t="s">
        <v>273</v>
      </c>
      <c r="FO45">
        <v>31.819071999999998</v>
      </c>
      <c r="FP45">
        <v>0.13104099999999999</v>
      </c>
      <c r="FQ45">
        <v>2.8579460000000001</v>
      </c>
      <c r="FR45">
        <v>2.5070540000000001</v>
      </c>
      <c r="FS45">
        <v>87.722245999999998</v>
      </c>
      <c r="FT45">
        <v>27.778293999999999</v>
      </c>
      <c r="FU45">
        <v>543.64585599999998</v>
      </c>
      <c r="FV45">
        <v>11.741222</v>
      </c>
      <c r="FW45">
        <v>29</v>
      </c>
      <c r="FX45">
        <v>29</v>
      </c>
      <c r="FY45">
        <v>29</v>
      </c>
      <c r="FZ45">
        <v>26</v>
      </c>
      <c r="GA45" t="s">
        <v>273</v>
      </c>
      <c r="GB45" t="s">
        <v>273</v>
      </c>
      <c r="GC45">
        <v>29.960139000000002</v>
      </c>
      <c r="GD45">
        <v>0.14260600000000001</v>
      </c>
      <c r="GE45">
        <v>1.0373349999999999</v>
      </c>
      <c r="GF45">
        <v>0.85544500000000001</v>
      </c>
      <c r="GG45">
        <v>82.465676999999999</v>
      </c>
      <c r="GH45">
        <v>24.089618000000002</v>
      </c>
      <c r="GI45">
        <v>1044.3880979999999</v>
      </c>
      <c r="GJ45">
        <v>12.777461000000001</v>
      </c>
      <c r="GK45">
        <v>28</v>
      </c>
      <c r="GL45">
        <v>28</v>
      </c>
      <c r="GM45">
        <v>14</v>
      </c>
      <c r="GN45">
        <v>27</v>
      </c>
      <c r="GO45" t="s">
        <v>273</v>
      </c>
      <c r="GP45" t="s">
        <v>273</v>
      </c>
      <c r="GQ45">
        <v>32.013787000000001</v>
      </c>
      <c r="GR45">
        <v>0.23573</v>
      </c>
      <c r="GS45">
        <v>2.4633829999999999</v>
      </c>
      <c r="GT45">
        <v>2.1558920000000001</v>
      </c>
      <c r="GU45">
        <v>87.517506999999995</v>
      </c>
      <c r="GV45">
        <v>27.830317000000001</v>
      </c>
      <c r="GW45">
        <v>768.10055499999999</v>
      </c>
      <c r="GX45">
        <v>21.121421000000002</v>
      </c>
      <c r="GY45">
        <v>120</v>
      </c>
      <c r="GZ45">
        <v>120</v>
      </c>
      <c r="HA45">
        <v>42</v>
      </c>
      <c r="HB45">
        <v>42</v>
      </c>
      <c r="HC45" t="s">
        <v>273</v>
      </c>
      <c r="HD45" t="s">
        <v>273</v>
      </c>
      <c r="HE45">
        <v>31</v>
      </c>
      <c r="HF45">
        <v>7.5000000000000002E-4</v>
      </c>
      <c r="HG45">
        <v>6.0000000000000001E-3</v>
      </c>
      <c r="HH45">
        <v>3.2258000000000002E-2</v>
      </c>
      <c r="HI45">
        <v>3750</v>
      </c>
    </row>
    <row r="46" spans="1:217" x14ac:dyDescent="0.3">
      <c r="A46">
        <v>359</v>
      </c>
      <c r="B46" t="s">
        <v>269</v>
      </c>
      <c r="F46" t="s">
        <v>270</v>
      </c>
      <c r="G46" t="s">
        <v>271</v>
      </c>
      <c r="H46" t="s">
        <v>272</v>
      </c>
      <c r="I46">
        <v>5250</v>
      </c>
      <c r="J46">
        <v>1</v>
      </c>
      <c r="K46">
        <v>55.147266000000002</v>
      </c>
      <c r="L46">
        <v>0.22</v>
      </c>
      <c r="M46">
        <v>3.5701999999999998E-2</v>
      </c>
      <c r="N46">
        <v>0</v>
      </c>
      <c r="O46">
        <v>0</v>
      </c>
      <c r="P46">
        <v>0</v>
      </c>
      <c r="Q46">
        <v>20.72</v>
      </c>
      <c r="R46">
        <v>1</v>
      </c>
      <c r="S46">
        <v>1</v>
      </c>
      <c r="T46">
        <v>1</v>
      </c>
      <c r="U46">
        <v>1</v>
      </c>
      <c r="V46">
        <v>100</v>
      </c>
      <c r="W46" t="s">
        <v>273</v>
      </c>
      <c r="X46" t="s">
        <v>274</v>
      </c>
      <c r="Y46" t="s">
        <v>274</v>
      </c>
      <c r="Z46" t="s">
        <v>273</v>
      </c>
      <c r="AA46" t="s">
        <v>275</v>
      </c>
      <c r="AB46" t="s">
        <v>276</v>
      </c>
      <c r="AC46">
        <v>258</v>
      </c>
      <c r="AD46">
        <v>5</v>
      </c>
      <c r="AE46" t="s">
        <v>277</v>
      </c>
      <c r="AF46">
        <v>3.221571</v>
      </c>
      <c r="AG46">
        <v>100</v>
      </c>
      <c r="AH46">
        <v>29</v>
      </c>
      <c r="AI46">
        <v>1740</v>
      </c>
      <c r="AJ46">
        <v>800</v>
      </c>
      <c r="AK46">
        <v>1200</v>
      </c>
      <c r="AL46">
        <v>202.3</v>
      </c>
      <c r="AM46">
        <v>2.2000000000000002</v>
      </c>
      <c r="AN46" t="s">
        <v>273</v>
      </c>
      <c r="AO46" t="s">
        <v>278</v>
      </c>
      <c r="AP46" t="s">
        <v>285</v>
      </c>
      <c r="AQ46">
        <v>2.2000000000000002</v>
      </c>
      <c r="AR46">
        <v>4</v>
      </c>
      <c r="AS46">
        <v>123.4</v>
      </c>
      <c r="AT46">
        <v>224.5</v>
      </c>
      <c r="AU46">
        <v>0.12790799999999999</v>
      </c>
      <c r="AV46">
        <v>36.5</v>
      </c>
      <c r="AW46">
        <v>236.1</v>
      </c>
      <c r="AX46" t="s">
        <v>280</v>
      </c>
      <c r="AY46">
        <v>0</v>
      </c>
      <c r="AZ46" t="s">
        <v>281</v>
      </c>
      <c r="BA46">
        <v>0.2</v>
      </c>
      <c r="BB46">
        <v>0.5</v>
      </c>
      <c r="BC46" t="s">
        <v>273</v>
      </c>
      <c r="BD46" t="s">
        <v>273</v>
      </c>
      <c r="BE46">
        <v>22.575665999999998</v>
      </c>
      <c r="BF46">
        <v>22.835612000000001</v>
      </c>
      <c r="BG46">
        <v>379.45553000000001</v>
      </c>
      <c r="BH46" t="s">
        <v>273</v>
      </c>
      <c r="BI46">
        <v>27.164449000000001</v>
      </c>
      <c r="BJ46">
        <v>27.477232999999998</v>
      </c>
      <c r="BK46">
        <v>315.35560099999998</v>
      </c>
      <c r="BL46" t="s">
        <v>273</v>
      </c>
      <c r="BM46">
        <v>27.165538000000002</v>
      </c>
      <c r="BN46">
        <v>27.478334</v>
      </c>
      <c r="BO46">
        <v>315.34296699999999</v>
      </c>
      <c r="BP46" t="s">
        <v>273</v>
      </c>
      <c r="BQ46">
        <v>16.927688</v>
      </c>
      <c r="BR46">
        <v>17.122601</v>
      </c>
      <c r="BS46">
        <v>506.06210099999998</v>
      </c>
      <c r="BT46" t="s">
        <v>273</v>
      </c>
      <c r="BU46">
        <v>8.2665170000000003</v>
      </c>
      <c r="BV46">
        <v>8.3617010000000001</v>
      </c>
      <c r="BW46">
        <v>1036.284222</v>
      </c>
      <c r="BX46" t="s">
        <v>273</v>
      </c>
      <c r="BY46">
        <v>20.246012</v>
      </c>
      <c r="BZ46">
        <v>23.213394999999998</v>
      </c>
      <c r="CA46">
        <v>23.393787</v>
      </c>
      <c r="CB46">
        <v>27.165538000000002</v>
      </c>
      <c r="CC46">
        <v>12.215445000000001</v>
      </c>
      <c r="CD46">
        <v>19.022570999999999</v>
      </c>
      <c r="CE46" t="s">
        <v>273</v>
      </c>
      <c r="CF46">
        <v>20.479133000000001</v>
      </c>
      <c r="CG46">
        <v>23.480684</v>
      </c>
      <c r="CH46">
        <v>23.663153000000001</v>
      </c>
      <c r="CI46">
        <v>27.478334</v>
      </c>
      <c r="CJ46">
        <v>12.356099</v>
      </c>
      <c r="CK46">
        <v>19.241605</v>
      </c>
      <c r="CL46" t="s">
        <v>273</v>
      </c>
      <c r="CM46">
        <v>423.11845199999999</v>
      </c>
      <c r="CN46">
        <v>369.03095300000001</v>
      </c>
      <c r="CO46">
        <v>366.18531100000001</v>
      </c>
      <c r="CP46">
        <v>315.34296699999999</v>
      </c>
      <c r="CQ46">
        <v>701.28115500000001</v>
      </c>
      <c r="CR46">
        <v>450.33141499999999</v>
      </c>
      <c r="CS46" t="s">
        <v>273</v>
      </c>
      <c r="CT46">
        <v>503.14605999999998</v>
      </c>
      <c r="CU46">
        <v>471.94019800000001</v>
      </c>
      <c r="CV46">
        <v>435.37844699999999</v>
      </c>
      <c r="CW46">
        <v>1067.9372209999999</v>
      </c>
      <c r="CX46">
        <v>411.74943000000002</v>
      </c>
      <c r="CY46">
        <v>926.19173799999999</v>
      </c>
      <c r="CZ46" t="s">
        <v>273</v>
      </c>
      <c r="DA46">
        <v>3.6047340000000001</v>
      </c>
      <c r="DB46">
        <v>510.01</v>
      </c>
      <c r="DC46">
        <v>3.876728</v>
      </c>
      <c r="DD46">
        <v>864</v>
      </c>
      <c r="DE46">
        <v>3.6041859999999999</v>
      </c>
      <c r="DF46">
        <v>505</v>
      </c>
      <c r="DG46">
        <v>10.266057999999999</v>
      </c>
      <c r="DH46">
        <v>765</v>
      </c>
      <c r="DI46">
        <v>1.779844</v>
      </c>
      <c r="DJ46">
        <v>235</v>
      </c>
      <c r="DK46">
        <v>6.2346170000000001</v>
      </c>
      <c r="DL46">
        <v>365</v>
      </c>
      <c r="DM46" t="s">
        <v>273</v>
      </c>
      <c r="DN46">
        <v>5.1806029999999996</v>
      </c>
      <c r="DO46">
        <v>13.896902000000001</v>
      </c>
      <c r="DP46">
        <v>7.0829120000000003</v>
      </c>
      <c r="DQ46" t="s">
        <v>282</v>
      </c>
      <c r="DR46">
        <v>9.0689080000000004</v>
      </c>
      <c r="DS46">
        <v>20.154769000000002</v>
      </c>
      <c r="DT46">
        <v>50.203491</v>
      </c>
      <c r="DU46">
        <v>72.179496999999998</v>
      </c>
      <c r="DV46">
        <v>101.998192</v>
      </c>
      <c r="DW46" t="s">
        <v>283</v>
      </c>
      <c r="DX46" t="s">
        <v>273</v>
      </c>
      <c r="DY46">
        <v>26.974781</v>
      </c>
      <c r="DZ46">
        <v>7.3769000000000001E-2</v>
      </c>
      <c r="EA46">
        <v>1.575399</v>
      </c>
      <c r="EB46">
        <v>1.3066789999999999</v>
      </c>
      <c r="EC46">
        <v>82.942682000000005</v>
      </c>
      <c r="ED46">
        <v>22.079891</v>
      </c>
      <c r="EE46">
        <v>800.23136799999997</v>
      </c>
      <c r="EF46">
        <v>9.1024650000000005</v>
      </c>
      <c r="EG46">
        <v>30</v>
      </c>
      <c r="EH46">
        <v>30</v>
      </c>
      <c r="EI46">
        <v>27</v>
      </c>
      <c r="EJ46">
        <v>30</v>
      </c>
      <c r="EK46" t="s">
        <v>273</v>
      </c>
      <c r="EL46" t="s">
        <v>273</v>
      </c>
      <c r="EM46">
        <v>27.173856000000001</v>
      </c>
      <c r="EN46">
        <v>3.8490000000000003E-2</v>
      </c>
      <c r="EO46">
        <v>1.488596</v>
      </c>
      <c r="EP46">
        <v>1.1634180000000001</v>
      </c>
      <c r="EQ46">
        <v>78.155373999999995</v>
      </c>
      <c r="ER46">
        <v>20.807061000000001</v>
      </c>
      <c r="ES46">
        <v>657.70232999999996</v>
      </c>
      <c r="ET46">
        <v>4.7493030000000003</v>
      </c>
      <c r="EU46">
        <v>29</v>
      </c>
      <c r="EV46">
        <v>29</v>
      </c>
      <c r="EW46">
        <v>28</v>
      </c>
      <c r="EX46">
        <v>29</v>
      </c>
      <c r="EY46" t="s">
        <v>273</v>
      </c>
      <c r="EZ46" t="s">
        <v>273</v>
      </c>
      <c r="FA46">
        <v>31.168828999999999</v>
      </c>
      <c r="FB46">
        <v>7.4496000000000007E-2</v>
      </c>
      <c r="FC46">
        <v>1.5751649999999999</v>
      </c>
      <c r="FD46">
        <v>1.306592</v>
      </c>
      <c r="FE46">
        <v>82.949494999999999</v>
      </c>
      <c r="FF46">
        <v>25.514793000000001</v>
      </c>
      <c r="FG46">
        <v>800.29703099999995</v>
      </c>
      <c r="FH46">
        <v>9.1921239999999997</v>
      </c>
      <c r="FI46">
        <v>30</v>
      </c>
      <c r="FJ46">
        <v>30</v>
      </c>
      <c r="FK46">
        <v>27</v>
      </c>
      <c r="FL46">
        <v>30</v>
      </c>
      <c r="FM46" t="s">
        <v>273</v>
      </c>
      <c r="FN46" t="s">
        <v>273</v>
      </c>
      <c r="FO46">
        <v>32.564503000000002</v>
      </c>
      <c r="FP46">
        <v>0.13302700000000001</v>
      </c>
      <c r="FQ46">
        <v>4.0367220000000001</v>
      </c>
      <c r="FR46">
        <v>3.5036900000000002</v>
      </c>
      <c r="FS46">
        <v>86.795410000000004</v>
      </c>
      <c r="FT46">
        <v>28.138227000000001</v>
      </c>
      <c r="FU46">
        <v>760.03078900000003</v>
      </c>
      <c r="FV46">
        <v>16.414299</v>
      </c>
      <c r="FW46">
        <v>39</v>
      </c>
      <c r="FX46">
        <v>39</v>
      </c>
      <c r="FY46">
        <v>39</v>
      </c>
      <c r="FZ46">
        <v>36</v>
      </c>
      <c r="GA46" t="s">
        <v>273</v>
      </c>
      <c r="GB46" t="s">
        <v>273</v>
      </c>
      <c r="GC46">
        <v>30.684079000000001</v>
      </c>
      <c r="GD46">
        <v>0.14416100000000001</v>
      </c>
      <c r="GE46">
        <v>1.4665090000000001</v>
      </c>
      <c r="GF46">
        <v>1.1897960000000001</v>
      </c>
      <c r="GG46">
        <v>81.131130999999996</v>
      </c>
      <c r="GH46">
        <v>24.295173999999999</v>
      </c>
      <c r="GI46">
        <v>1459.377765</v>
      </c>
      <c r="GJ46">
        <v>17.788148</v>
      </c>
      <c r="GK46">
        <v>26</v>
      </c>
      <c r="GL46">
        <v>26</v>
      </c>
      <c r="GM46">
        <v>16</v>
      </c>
      <c r="GN46">
        <v>25</v>
      </c>
      <c r="GO46" t="s">
        <v>273</v>
      </c>
      <c r="GP46" t="s">
        <v>273</v>
      </c>
      <c r="GQ46">
        <v>32.643492000000002</v>
      </c>
      <c r="GR46">
        <v>0.23991299999999999</v>
      </c>
      <c r="GS46">
        <v>3.5094270000000001</v>
      </c>
      <c r="GT46">
        <v>3.0206849999999998</v>
      </c>
      <c r="GU46">
        <v>86.073463000000004</v>
      </c>
      <c r="GV46">
        <v>27.918244000000001</v>
      </c>
      <c r="GW46">
        <v>1076.891153</v>
      </c>
      <c r="GX46">
        <v>29.60313</v>
      </c>
      <c r="GY46">
        <v>54</v>
      </c>
      <c r="GZ46">
        <v>54</v>
      </c>
      <c r="HA46">
        <v>45</v>
      </c>
      <c r="HB46">
        <v>43</v>
      </c>
      <c r="HC46" t="s">
        <v>273</v>
      </c>
      <c r="HD46" t="s">
        <v>273</v>
      </c>
      <c r="HE46">
        <v>31</v>
      </c>
      <c r="HF46">
        <v>7.5000000000000002E-4</v>
      </c>
      <c r="HG46">
        <v>6.0000000000000001E-3</v>
      </c>
      <c r="HH46">
        <v>3.2258000000000002E-2</v>
      </c>
      <c r="HI46">
        <v>5250</v>
      </c>
    </row>
    <row r="47" spans="1:217" x14ac:dyDescent="0.3">
      <c r="A47">
        <v>360</v>
      </c>
      <c r="B47" t="s">
        <v>269</v>
      </c>
      <c r="F47" t="s">
        <v>270</v>
      </c>
      <c r="G47" t="s">
        <v>271</v>
      </c>
      <c r="H47" t="s">
        <v>272</v>
      </c>
      <c r="I47">
        <v>6500</v>
      </c>
      <c r="J47">
        <v>1</v>
      </c>
      <c r="K47">
        <v>69.063281000000003</v>
      </c>
      <c r="L47">
        <v>0.22</v>
      </c>
      <c r="M47">
        <v>4.4857000000000001E-2</v>
      </c>
      <c r="N47">
        <v>0</v>
      </c>
      <c r="O47">
        <v>0</v>
      </c>
      <c r="P47">
        <v>0</v>
      </c>
      <c r="Q47">
        <v>25.63</v>
      </c>
      <c r="R47">
        <v>1</v>
      </c>
      <c r="S47">
        <v>1</v>
      </c>
      <c r="T47">
        <v>1</v>
      </c>
      <c r="U47">
        <v>1</v>
      </c>
      <c r="V47">
        <v>100</v>
      </c>
      <c r="W47" t="s">
        <v>273</v>
      </c>
      <c r="X47" t="s">
        <v>274</v>
      </c>
      <c r="Y47" t="s">
        <v>274</v>
      </c>
      <c r="Z47" t="s">
        <v>273</v>
      </c>
      <c r="AA47" t="s">
        <v>275</v>
      </c>
      <c r="AB47" t="s">
        <v>276</v>
      </c>
      <c r="AC47">
        <v>329</v>
      </c>
      <c r="AD47">
        <v>5</v>
      </c>
      <c r="AE47" t="s">
        <v>277</v>
      </c>
      <c r="AF47">
        <v>3.166026</v>
      </c>
      <c r="AG47">
        <v>100</v>
      </c>
      <c r="AH47">
        <v>28.5</v>
      </c>
      <c r="AI47">
        <v>1710</v>
      </c>
      <c r="AJ47">
        <v>800</v>
      </c>
      <c r="AK47">
        <v>1200</v>
      </c>
      <c r="AL47">
        <v>179.2</v>
      </c>
      <c r="AM47">
        <v>2.2000000000000002</v>
      </c>
      <c r="AN47" t="s">
        <v>273</v>
      </c>
      <c r="AO47" t="s">
        <v>278</v>
      </c>
      <c r="AP47" t="s">
        <v>286</v>
      </c>
      <c r="AQ47">
        <v>2.8</v>
      </c>
      <c r="AR47">
        <v>4</v>
      </c>
      <c r="AS47">
        <v>157.19999999999999</v>
      </c>
      <c r="AT47">
        <v>286</v>
      </c>
      <c r="AU47">
        <v>0.16279199999999999</v>
      </c>
      <c r="AV47">
        <v>36.9</v>
      </c>
      <c r="AW47">
        <v>233.8</v>
      </c>
      <c r="AX47" t="s">
        <v>280</v>
      </c>
      <c r="AY47">
        <v>0</v>
      </c>
      <c r="AZ47" t="s">
        <v>281</v>
      </c>
      <c r="BA47">
        <v>0.2</v>
      </c>
      <c r="BB47">
        <v>0.5</v>
      </c>
      <c r="BC47" t="s">
        <v>273</v>
      </c>
      <c r="BD47" t="s">
        <v>273</v>
      </c>
      <c r="BE47">
        <v>18.561868</v>
      </c>
      <c r="BF47">
        <v>18.775597000000001</v>
      </c>
      <c r="BG47">
        <v>461.50857600000001</v>
      </c>
      <c r="BH47" t="s">
        <v>273</v>
      </c>
      <c r="BI47">
        <v>22.185572000000001</v>
      </c>
      <c r="BJ47">
        <v>22.441026000000001</v>
      </c>
      <c r="BK47">
        <v>386.12757900000003</v>
      </c>
      <c r="BL47" t="s">
        <v>273</v>
      </c>
      <c r="BM47">
        <v>22.186491</v>
      </c>
      <c r="BN47">
        <v>22.441956000000001</v>
      </c>
      <c r="BO47">
        <v>386.111582</v>
      </c>
      <c r="BP47" t="s">
        <v>273</v>
      </c>
      <c r="BQ47">
        <v>13.802192</v>
      </c>
      <c r="BR47">
        <v>13.961117</v>
      </c>
      <c r="BS47">
        <v>620.65945499999998</v>
      </c>
      <c r="BT47" t="s">
        <v>273</v>
      </c>
      <c r="BU47">
        <v>6.5396219999999996</v>
      </c>
      <c r="BV47">
        <v>6.614922</v>
      </c>
      <c r="BW47">
        <v>1309.9320869999999</v>
      </c>
      <c r="BX47" t="s">
        <v>273</v>
      </c>
      <c r="BY47">
        <v>16.583580000000001</v>
      </c>
      <c r="BZ47">
        <v>19.158425000000001</v>
      </c>
      <c r="CA47">
        <v>19.16046</v>
      </c>
      <c r="CB47">
        <v>22.186491</v>
      </c>
      <c r="CC47">
        <v>9.9892109999999992</v>
      </c>
      <c r="CD47">
        <v>15.490786999999999</v>
      </c>
      <c r="CE47" t="s">
        <v>273</v>
      </c>
      <c r="CF47">
        <v>16.774529999999999</v>
      </c>
      <c r="CG47">
        <v>19.379024000000001</v>
      </c>
      <c r="CH47">
        <v>19.381081999999999</v>
      </c>
      <c r="CI47">
        <v>22.441956000000001</v>
      </c>
      <c r="CJ47">
        <v>10.104231</v>
      </c>
      <c r="CK47">
        <v>15.669155</v>
      </c>
      <c r="CL47" t="s">
        <v>273</v>
      </c>
      <c r="CM47">
        <v>516.56284700000003</v>
      </c>
      <c r="CN47">
        <v>447.13806699999998</v>
      </c>
      <c r="CO47">
        <v>447.09058900000002</v>
      </c>
      <c r="CP47">
        <v>386.111582</v>
      </c>
      <c r="CQ47">
        <v>857.57134599999995</v>
      </c>
      <c r="CR47">
        <v>553.00362399999995</v>
      </c>
      <c r="CS47" t="s">
        <v>273</v>
      </c>
      <c r="CT47">
        <v>614.36910799999998</v>
      </c>
      <c r="CU47">
        <v>571.93563300000005</v>
      </c>
      <c r="CV47">
        <v>531.66175799999996</v>
      </c>
      <c r="CW47">
        <v>1307.5959339999999</v>
      </c>
      <c r="CX47">
        <v>503.847104</v>
      </c>
      <c r="CY47">
        <v>1137.7271149999999</v>
      </c>
      <c r="CZ47" t="s">
        <v>273</v>
      </c>
      <c r="DA47">
        <v>3.6053489999999999</v>
      </c>
      <c r="DB47">
        <v>510.01</v>
      </c>
      <c r="DC47">
        <v>3.8774540000000002</v>
      </c>
      <c r="DD47">
        <v>864</v>
      </c>
      <c r="DE47">
        <v>3.6047989999999999</v>
      </c>
      <c r="DF47">
        <v>505</v>
      </c>
      <c r="DG47">
        <v>10.266014</v>
      </c>
      <c r="DH47">
        <v>765</v>
      </c>
      <c r="DI47">
        <v>1.781023</v>
      </c>
      <c r="DJ47">
        <v>235</v>
      </c>
      <c r="DK47">
        <v>6.2366489999999999</v>
      </c>
      <c r="DL47">
        <v>365</v>
      </c>
      <c r="DM47" t="s">
        <v>273</v>
      </c>
      <c r="DN47">
        <v>5.1286019999999999</v>
      </c>
      <c r="DO47">
        <v>13.610673</v>
      </c>
      <c r="DP47">
        <v>6.7978969999999999</v>
      </c>
      <c r="DQ47" t="s">
        <v>282</v>
      </c>
      <c r="DR47">
        <v>8.6004930000000002</v>
      </c>
      <c r="DS47">
        <v>19.997553</v>
      </c>
      <c r="DT47">
        <v>49.006616000000001</v>
      </c>
      <c r="DU47">
        <v>72.952521000000004</v>
      </c>
      <c r="DV47">
        <v>103.755242</v>
      </c>
      <c r="DW47" t="s">
        <v>283</v>
      </c>
      <c r="DX47" t="s">
        <v>273</v>
      </c>
      <c r="DY47">
        <v>27.370069000000001</v>
      </c>
      <c r="DZ47">
        <v>7.1667999999999996E-2</v>
      </c>
      <c r="EA47">
        <v>1.9518390000000001</v>
      </c>
      <c r="EB47">
        <v>1.6173550000000001</v>
      </c>
      <c r="EC47">
        <v>82.863122000000004</v>
      </c>
      <c r="ED47">
        <v>22.378681</v>
      </c>
      <c r="EE47">
        <v>990.18044299999997</v>
      </c>
      <c r="EF47">
        <v>11.265018</v>
      </c>
      <c r="EG47">
        <v>31</v>
      </c>
      <c r="EH47">
        <v>31</v>
      </c>
      <c r="EI47">
        <v>29</v>
      </c>
      <c r="EJ47">
        <v>31</v>
      </c>
      <c r="EK47" t="s">
        <v>273</v>
      </c>
      <c r="EL47" t="s">
        <v>273</v>
      </c>
      <c r="EM47">
        <v>27.790400999999999</v>
      </c>
      <c r="EN47">
        <v>3.7402999999999999E-2</v>
      </c>
      <c r="EO47">
        <v>1.8449329999999999</v>
      </c>
      <c r="EP47">
        <v>1.4407909999999999</v>
      </c>
      <c r="EQ47">
        <v>78.094470000000001</v>
      </c>
      <c r="ER47">
        <v>21.253287</v>
      </c>
      <c r="ES47">
        <v>813.99846400000001</v>
      </c>
      <c r="ET47">
        <v>5.8790259999999996</v>
      </c>
      <c r="EU47">
        <v>29</v>
      </c>
      <c r="EV47">
        <v>29</v>
      </c>
      <c r="EW47">
        <v>28</v>
      </c>
      <c r="EX47">
        <v>29</v>
      </c>
      <c r="EY47" t="s">
        <v>273</v>
      </c>
      <c r="EZ47" t="s">
        <v>273</v>
      </c>
      <c r="FA47">
        <v>31.623228000000001</v>
      </c>
      <c r="FB47">
        <v>7.2374999999999995E-2</v>
      </c>
      <c r="FC47">
        <v>1.9515530000000001</v>
      </c>
      <c r="FD47">
        <v>1.6172500000000001</v>
      </c>
      <c r="FE47">
        <v>82.869928000000002</v>
      </c>
      <c r="FF47">
        <v>25.858236999999999</v>
      </c>
      <c r="FG47">
        <v>990.26772500000004</v>
      </c>
      <c r="FH47">
        <v>11.376041000000001</v>
      </c>
      <c r="FI47">
        <v>31</v>
      </c>
      <c r="FJ47">
        <v>31</v>
      </c>
      <c r="FK47">
        <v>29</v>
      </c>
      <c r="FL47">
        <v>31</v>
      </c>
      <c r="FM47" t="s">
        <v>273</v>
      </c>
      <c r="FN47" t="s">
        <v>273</v>
      </c>
      <c r="FO47">
        <v>32.92503</v>
      </c>
      <c r="FP47">
        <v>0.12920699999999999</v>
      </c>
      <c r="FQ47">
        <v>4.9973349999999996</v>
      </c>
      <c r="FR47">
        <v>4.3351519999999999</v>
      </c>
      <c r="FS47">
        <v>86.749273000000002</v>
      </c>
      <c r="FT47">
        <v>28.433924999999999</v>
      </c>
      <c r="FU47">
        <v>940.37472200000002</v>
      </c>
      <c r="FV47">
        <v>20.309080999999999</v>
      </c>
      <c r="FW47">
        <v>46</v>
      </c>
      <c r="FX47">
        <v>46</v>
      </c>
      <c r="FY47">
        <v>40</v>
      </c>
      <c r="FZ47">
        <v>37</v>
      </c>
      <c r="GA47" t="s">
        <v>273</v>
      </c>
      <c r="GB47" t="s">
        <v>273</v>
      </c>
      <c r="GC47">
        <v>31.117951999999999</v>
      </c>
      <c r="GD47">
        <v>0.14016999999999999</v>
      </c>
      <c r="GE47">
        <v>1.819904</v>
      </c>
      <c r="GF47">
        <v>1.473738</v>
      </c>
      <c r="GG47">
        <v>80.978894999999994</v>
      </c>
      <c r="GH47">
        <v>24.591383</v>
      </c>
      <c r="GI47">
        <v>1806.379543</v>
      </c>
      <c r="GJ47">
        <v>22.032292000000002</v>
      </c>
      <c r="GK47">
        <v>25</v>
      </c>
      <c r="GL47">
        <v>25</v>
      </c>
      <c r="GM47">
        <v>16</v>
      </c>
      <c r="GN47">
        <v>24</v>
      </c>
      <c r="GO47" t="s">
        <v>273</v>
      </c>
      <c r="GP47" t="s">
        <v>273</v>
      </c>
      <c r="GQ47">
        <v>32.921635999999999</v>
      </c>
      <c r="GR47">
        <v>0.23347200000000001</v>
      </c>
      <c r="GS47">
        <v>4.3476860000000004</v>
      </c>
      <c r="GT47">
        <v>3.745034</v>
      </c>
      <c r="GU47">
        <v>86.138558000000003</v>
      </c>
      <c r="GV47">
        <v>28.174205000000001</v>
      </c>
      <c r="GW47">
        <v>1334.538706</v>
      </c>
      <c r="GX47">
        <v>36.697668</v>
      </c>
      <c r="GY47">
        <v>55</v>
      </c>
      <c r="GZ47">
        <v>55</v>
      </c>
      <c r="HA47">
        <v>45</v>
      </c>
      <c r="HB47">
        <v>43</v>
      </c>
      <c r="HC47" t="s">
        <v>273</v>
      </c>
      <c r="HD47" t="s">
        <v>273</v>
      </c>
      <c r="HE47">
        <v>31</v>
      </c>
      <c r="HF47">
        <v>7.5000000000000002E-4</v>
      </c>
      <c r="HG47">
        <v>6.0000000000000001E-3</v>
      </c>
      <c r="HH47">
        <v>3.2258000000000002E-2</v>
      </c>
      <c r="HI47">
        <v>6500</v>
      </c>
    </row>
    <row r="48" spans="1:217" x14ac:dyDescent="0.3">
      <c r="A48">
        <v>377</v>
      </c>
      <c r="B48" t="s">
        <v>269</v>
      </c>
      <c r="F48" t="s">
        <v>270</v>
      </c>
      <c r="G48" t="s">
        <v>271</v>
      </c>
      <c r="H48" t="s">
        <v>272</v>
      </c>
      <c r="I48">
        <v>5250</v>
      </c>
      <c r="J48">
        <v>1</v>
      </c>
      <c r="K48">
        <v>46.944141000000002</v>
      </c>
      <c r="L48">
        <v>0.22</v>
      </c>
      <c r="M48">
        <v>5.6210000000000003E-2</v>
      </c>
      <c r="N48">
        <v>0</v>
      </c>
      <c r="O48">
        <v>0</v>
      </c>
      <c r="P48">
        <v>0</v>
      </c>
      <c r="Q48">
        <v>26.46</v>
      </c>
      <c r="R48">
        <v>1</v>
      </c>
      <c r="S48">
        <v>1</v>
      </c>
      <c r="T48">
        <v>1</v>
      </c>
      <c r="U48">
        <v>1</v>
      </c>
      <c r="V48">
        <v>100</v>
      </c>
      <c r="W48" t="s">
        <v>273</v>
      </c>
      <c r="X48" t="s">
        <v>274</v>
      </c>
      <c r="Y48" t="s">
        <v>274</v>
      </c>
      <c r="Z48" t="s">
        <v>273</v>
      </c>
      <c r="AA48" t="s">
        <v>275</v>
      </c>
      <c r="AB48" t="s">
        <v>276</v>
      </c>
      <c r="AC48">
        <v>258</v>
      </c>
      <c r="AD48">
        <v>5</v>
      </c>
      <c r="AE48" t="s">
        <v>277</v>
      </c>
      <c r="AF48">
        <v>3.221571</v>
      </c>
      <c r="AG48">
        <v>100</v>
      </c>
      <c r="AH48">
        <v>29</v>
      </c>
      <c r="AI48">
        <v>1740</v>
      </c>
      <c r="AJ48">
        <v>800</v>
      </c>
      <c r="AK48">
        <v>1200</v>
      </c>
      <c r="AL48">
        <v>202.3</v>
      </c>
      <c r="AM48">
        <v>2.2000000000000002</v>
      </c>
      <c r="AN48" t="s">
        <v>273</v>
      </c>
      <c r="AO48" t="s">
        <v>278</v>
      </c>
      <c r="AP48" t="s">
        <v>285</v>
      </c>
      <c r="AQ48">
        <v>2.2000000000000002</v>
      </c>
      <c r="AR48">
        <v>4</v>
      </c>
      <c r="AS48">
        <v>123.4</v>
      </c>
      <c r="AT48">
        <v>224.5</v>
      </c>
      <c r="AU48">
        <v>0.12790799999999999</v>
      </c>
      <c r="AV48">
        <v>36.5</v>
      </c>
      <c r="AW48">
        <v>236.1</v>
      </c>
      <c r="AX48" t="s">
        <v>280</v>
      </c>
      <c r="AY48">
        <v>0</v>
      </c>
      <c r="AZ48" t="s">
        <v>281</v>
      </c>
      <c r="BA48">
        <v>0.2</v>
      </c>
      <c r="BB48">
        <v>0.5</v>
      </c>
      <c r="BC48" t="s">
        <v>273</v>
      </c>
      <c r="BD48" t="s">
        <v>273</v>
      </c>
      <c r="BE48">
        <v>21.185092000000001</v>
      </c>
      <c r="BF48">
        <v>21.429026</v>
      </c>
      <c r="BG48">
        <v>404.36271699999998</v>
      </c>
      <c r="BH48" t="s">
        <v>273</v>
      </c>
      <c r="BI48">
        <v>22.129441</v>
      </c>
      <c r="BJ48">
        <v>22.384249000000001</v>
      </c>
      <c r="BK48">
        <v>387.10699399999999</v>
      </c>
      <c r="BL48" t="s">
        <v>273</v>
      </c>
      <c r="BM48">
        <v>22.130299000000001</v>
      </c>
      <c r="BN48">
        <v>22.385117000000001</v>
      </c>
      <c r="BO48">
        <v>387.09198500000002</v>
      </c>
      <c r="BP48" t="s">
        <v>273</v>
      </c>
      <c r="BQ48">
        <v>13.448604</v>
      </c>
      <c r="BR48">
        <v>13.603457000000001</v>
      </c>
      <c r="BS48">
        <v>636.97773400000005</v>
      </c>
      <c r="BT48" t="s">
        <v>273</v>
      </c>
      <c r="BU48">
        <v>7.2823339999999996</v>
      </c>
      <c r="BV48">
        <v>7.3661859999999999</v>
      </c>
      <c r="BW48">
        <v>1176.3345629999999</v>
      </c>
      <c r="BX48" t="s">
        <v>273</v>
      </c>
      <c r="BY48">
        <v>18.125240000000002</v>
      </c>
      <c r="BZ48">
        <v>22.874606</v>
      </c>
      <c r="CA48">
        <v>20.932677000000002</v>
      </c>
      <c r="CB48">
        <v>22.130299000000001</v>
      </c>
      <c r="CC48">
        <v>11.497828</v>
      </c>
      <c r="CD48">
        <v>14.131225000000001</v>
      </c>
      <c r="CE48" t="s">
        <v>273</v>
      </c>
      <c r="CF48">
        <v>18.333942</v>
      </c>
      <c r="CG48">
        <v>23.137993999999999</v>
      </c>
      <c r="CH48">
        <v>21.173705000000002</v>
      </c>
      <c r="CI48">
        <v>22.385117000000001</v>
      </c>
      <c r="CJ48">
        <v>11.630219</v>
      </c>
      <c r="CK48">
        <v>14.293938000000001</v>
      </c>
      <c r="CL48" t="s">
        <v>273</v>
      </c>
      <c r="CM48">
        <v>472.62609600000002</v>
      </c>
      <c r="CN48">
        <v>374.49655899999999</v>
      </c>
      <c r="CO48">
        <v>409.23869000000002</v>
      </c>
      <c r="CP48">
        <v>387.09198500000002</v>
      </c>
      <c r="CQ48">
        <v>745.05038000000002</v>
      </c>
      <c r="CR48">
        <v>606.20795799999996</v>
      </c>
      <c r="CS48" t="s">
        <v>273</v>
      </c>
      <c r="CT48">
        <v>561.81823099999997</v>
      </c>
      <c r="CU48">
        <v>478.92855800000001</v>
      </c>
      <c r="CV48">
        <v>486.39433200000002</v>
      </c>
      <c r="CW48">
        <v>1310.8040639999999</v>
      </c>
      <c r="CX48">
        <v>435.86802899999998</v>
      </c>
      <c r="CY48">
        <v>1245.6110450000001</v>
      </c>
      <c r="CZ48" t="s">
        <v>273</v>
      </c>
      <c r="DA48">
        <v>3.603456</v>
      </c>
      <c r="DB48">
        <v>510.01</v>
      </c>
      <c r="DC48">
        <v>3.8767160000000001</v>
      </c>
      <c r="DD48">
        <v>864</v>
      </c>
      <c r="DE48">
        <v>3.6029059999999999</v>
      </c>
      <c r="DF48">
        <v>505</v>
      </c>
      <c r="DG48">
        <v>10.265136999999999</v>
      </c>
      <c r="DH48">
        <v>765</v>
      </c>
      <c r="DI48">
        <v>1.7734160000000001</v>
      </c>
      <c r="DJ48">
        <v>235</v>
      </c>
      <c r="DK48">
        <v>6.2287650000000001</v>
      </c>
      <c r="DL48">
        <v>365</v>
      </c>
      <c r="DM48" t="s">
        <v>273</v>
      </c>
      <c r="DN48">
        <v>5.178515</v>
      </c>
      <c r="DO48">
        <v>14.354832</v>
      </c>
      <c r="DP48">
        <v>7.2968359999999999</v>
      </c>
      <c r="DQ48" t="s">
        <v>282</v>
      </c>
      <c r="DR48">
        <v>10.377374</v>
      </c>
      <c r="DS48">
        <v>20.352340999999999</v>
      </c>
      <c r="DT48">
        <v>52.381383</v>
      </c>
      <c r="DU48">
        <v>70.136125000000007</v>
      </c>
      <c r="DV48">
        <v>92.757941000000002</v>
      </c>
      <c r="DW48" t="s">
        <v>283</v>
      </c>
      <c r="DX48" t="s">
        <v>273</v>
      </c>
      <c r="DY48">
        <v>27.384992</v>
      </c>
      <c r="DZ48">
        <v>8.3361000000000005E-2</v>
      </c>
      <c r="EA48">
        <v>1.7858590000000001</v>
      </c>
      <c r="EB48">
        <v>1.474237</v>
      </c>
      <c r="EC48">
        <v>82.550606000000002</v>
      </c>
      <c r="ED48">
        <v>22.345189999999999</v>
      </c>
      <c r="EE48">
        <v>904.60409500000003</v>
      </c>
      <c r="EF48">
        <v>10.286035</v>
      </c>
      <c r="EG48">
        <v>47</v>
      </c>
      <c r="EH48">
        <v>47</v>
      </c>
      <c r="EI48">
        <v>30</v>
      </c>
      <c r="EJ48">
        <v>32</v>
      </c>
      <c r="EK48" t="s">
        <v>273</v>
      </c>
      <c r="EL48" t="s">
        <v>273</v>
      </c>
      <c r="EM48">
        <v>27.264904000000001</v>
      </c>
      <c r="EN48">
        <v>3.9280000000000002E-2</v>
      </c>
      <c r="EO48">
        <v>1.515701</v>
      </c>
      <c r="EP48">
        <v>1.1864669999999999</v>
      </c>
      <c r="EQ48">
        <v>78.278453999999996</v>
      </c>
      <c r="ER48">
        <v>20.924444000000001</v>
      </c>
      <c r="ES48">
        <v>671.20908399999996</v>
      </c>
      <c r="ET48">
        <v>4.8468210000000003</v>
      </c>
      <c r="EU48">
        <v>29</v>
      </c>
      <c r="EV48">
        <v>29</v>
      </c>
      <c r="EW48">
        <v>27</v>
      </c>
      <c r="EX48">
        <v>29</v>
      </c>
      <c r="EY48" t="s">
        <v>273</v>
      </c>
      <c r="EZ48" t="s">
        <v>273</v>
      </c>
      <c r="FA48">
        <v>31.627479000000001</v>
      </c>
      <c r="FB48">
        <v>8.4182999999999994E-2</v>
      </c>
      <c r="FC48">
        <v>1.785631</v>
      </c>
      <c r="FD48">
        <v>1.4741550000000001</v>
      </c>
      <c r="FE48">
        <v>82.556517999999997</v>
      </c>
      <c r="FF48">
        <v>25.808617999999999</v>
      </c>
      <c r="FG48">
        <v>904.690113</v>
      </c>
      <c r="FH48">
        <v>10.387483</v>
      </c>
      <c r="FI48">
        <v>47</v>
      </c>
      <c r="FJ48">
        <v>47</v>
      </c>
      <c r="FK48">
        <v>30</v>
      </c>
      <c r="FL48">
        <v>32</v>
      </c>
      <c r="FM48" t="s">
        <v>273</v>
      </c>
      <c r="FN48" t="s">
        <v>273</v>
      </c>
      <c r="FO48">
        <v>33.501747000000002</v>
      </c>
      <c r="FP48">
        <v>0.16669700000000001</v>
      </c>
      <c r="FQ48">
        <v>5.0973439999999997</v>
      </c>
      <c r="FR48">
        <v>4.387715</v>
      </c>
      <c r="FS48">
        <v>86.078452999999996</v>
      </c>
      <c r="FT48">
        <v>28.727214</v>
      </c>
      <c r="FU48">
        <v>952.48691399999996</v>
      </c>
      <c r="FV48">
        <v>20.568906999999999</v>
      </c>
      <c r="FW48">
        <v>43</v>
      </c>
      <c r="FX48">
        <v>43</v>
      </c>
      <c r="FY48">
        <v>41</v>
      </c>
      <c r="FZ48">
        <v>39</v>
      </c>
      <c r="GA48" t="s">
        <v>273</v>
      </c>
      <c r="GB48" t="s">
        <v>273</v>
      </c>
      <c r="GC48">
        <v>30.753191000000001</v>
      </c>
      <c r="GD48">
        <v>0.153199</v>
      </c>
      <c r="GE48">
        <v>1.5559080000000001</v>
      </c>
      <c r="GF48">
        <v>1.26325</v>
      </c>
      <c r="GG48">
        <v>81.190533000000002</v>
      </c>
      <c r="GH48">
        <v>24.389671</v>
      </c>
      <c r="GI48">
        <v>1556.4953459999999</v>
      </c>
      <c r="GJ48">
        <v>18.903376000000002</v>
      </c>
      <c r="GK48">
        <v>26</v>
      </c>
      <c r="GL48">
        <v>26</v>
      </c>
      <c r="GM48">
        <v>16</v>
      </c>
      <c r="GN48">
        <v>25</v>
      </c>
      <c r="GO48" t="s">
        <v>273</v>
      </c>
      <c r="GP48" t="s">
        <v>273</v>
      </c>
      <c r="GQ48">
        <v>32.396937999999999</v>
      </c>
      <c r="GR48">
        <v>0.314718</v>
      </c>
      <c r="GS48">
        <v>4.6840890000000002</v>
      </c>
      <c r="GT48">
        <v>3.959076</v>
      </c>
      <c r="GU48">
        <v>84.521788999999998</v>
      </c>
      <c r="GV48">
        <v>27.231688999999999</v>
      </c>
      <c r="GW48">
        <v>1413.994222</v>
      </c>
      <c r="GX48">
        <v>38.833418000000002</v>
      </c>
      <c r="GY48">
        <v>108</v>
      </c>
      <c r="GZ48">
        <v>108</v>
      </c>
      <c r="HA48">
        <v>44</v>
      </c>
      <c r="HB48">
        <v>43</v>
      </c>
      <c r="HC48" t="s">
        <v>273</v>
      </c>
      <c r="HD48" t="s">
        <v>273</v>
      </c>
      <c r="HE48">
        <v>31</v>
      </c>
      <c r="HF48">
        <v>7.5000000000000002E-4</v>
      </c>
      <c r="HG48">
        <v>8.0000000000000002E-3</v>
      </c>
      <c r="HH48">
        <v>3.2258000000000002E-2</v>
      </c>
      <c r="HI48">
        <v>5250</v>
      </c>
    </row>
    <row r="49" spans="1:217" x14ac:dyDescent="0.3">
      <c r="A49">
        <v>378</v>
      </c>
      <c r="B49" t="s">
        <v>269</v>
      </c>
      <c r="F49" t="s">
        <v>270</v>
      </c>
      <c r="G49" t="s">
        <v>271</v>
      </c>
      <c r="H49" t="s">
        <v>272</v>
      </c>
      <c r="I49">
        <v>6500</v>
      </c>
      <c r="J49">
        <v>1</v>
      </c>
      <c r="K49">
        <v>58.907031000000003</v>
      </c>
      <c r="L49">
        <v>0.22</v>
      </c>
      <c r="M49">
        <v>7.0248000000000005E-2</v>
      </c>
      <c r="N49">
        <v>0</v>
      </c>
      <c r="O49">
        <v>0</v>
      </c>
      <c r="P49">
        <v>0</v>
      </c>
      <c r="Q49">
        <v>32.74</v>
      </c>
      <c r="R49">
        <v>1</v>
      </c>
      <c r="S49">
        <v>1</v>
      </c>
      <c r="T49">
        <v>1</v>
      </c>
      <c r="U49">
        <v>1</v>
      </c>
      <c r="V49">
        <v>100</v>
      </c>
      <c r="W49" t="s">
        <v>273</v>
      </c>
      <c r="X49" t="s">
        <v>274</v>
      </c>
      <c r="Y49" t="s">
        <v>274</v>
      </c>
      <c r="Z49" t="s">
        <v>273</v>
      </c>
      <c r="AA49" t="s">
        <v>275</v>
      </c>
      <c r="AB49" t="s">
        <v>276</v>
      </c>
      <c r="AC49">
        <v>329</v>
      </c>
      <c r="AD49">
        <v>5</v>
      </c>
      <c r="AE49" t="s">
        <v>277</v>
      </c>
      <c r="AF49">
        <v>3.166026</v>
      </c>
      <c r="AG49">
        <v>100</v>
      </c>
      <c r="AH49">
        <v>28.5</v>
      </c>
      <c r="AI49">
        <v>1710</v>
      </c>
      <c r="AJ49">
        <v>800</v>
      </c>
      <c r="AK49">
        <v>1200</v>
      </c>
      <c r="AL49">
        <v>179.2</v>
      </c>
      <c r="AM49">
        <v>2.2000000000000002</v>
      </c>
      <c r="AN49" t="s">
        <v>273</v>
      </c>
      <c r="AO49" t="s">
        <v>278</v>
      </c>
      <c r="AP49" t="s">
        <v>286</v>
      </c>
      <c r="AQ49">
        <v>2.8</v>
      </c>
      <c r="AR49">
        <v>4</v>
      </c>
      <c r="AS49">
        <v>157.19999999999999</v>
      </c>
      <c r="AT49">
        <v>286</v>
      </c>
      <c r="AU49">
        <v>0.16279199999999999</v>
      </c>
      <c r="AV49">
        <v>36.9</v>
      </c>
      <c r="AW49">
        <v>233.8</v>
      </c>
      <c r="AX49" t="s">
        <v>280</v>
      </c>
      <c r="AY49">
        <v>0</v>
      </c>
      <c r="AZ49" t="s">
        <v>281</v>
      </c>
      <c r="BA49">
        <v>0.2</v>
      </c>
      <c r="BB49">
        <v>0.5</v>
      </c>
      <c r="BC49" t="s">
        <v>273</v>
      </c>
      <c r="BD49" t="s">
        <v>273</v>
      </c>
      <c r="BE49">
        <v>17.44923</v>
      </c>
      <c r="BF49">
        <v>17.650148000000002</v>
      </c>
      <c r="BG49">
        <v>490.93634800000001</v>
      </c>
      <c r="BH49" t="s">
        <v>273</v>
      </c>
      <c r="BI49">
        <v>18.122979999999998</v>
      </c>
      <c r="BJ49">
        <v>18.331655999999999</v>
      </c>
      <c r="BK49">
        <v>472.68501800000001</v>
      </c>
      <c r="BL49" t="s">
        <v>273</v>
      </c>
      <c r="BM49">
        <v>18.123405000000002</v>
      </c>
      <c r="BN49">
        <v>18.332086</v>
      </c>
      <c r="BO49">
        <v>472.67393099999998</v>
      </c>
      <c r="BP49" t="s">
        <v>273</v>
      </c>
      <c r="BQ49">
        <v>10.925773</v>
      </c>
      <c r="BR49">
        <v>11.051577</v>
      </c>
      <c r="BS49">
        <v>784.05994799999996</v>
      </c>
      <c r="BT49" t="s">
        <v>273</v>
      </c>
      <c r="BU49">
        <v>5.8403080000000003</v>
      </c>
      <c r="BV49">
        <v>5.9075559999999996</v>
      </c>
      <c r="BW49">
        <v>1466.782408</v>
      </c>
      <c r="BX49" t="s">
        <v>273</v>
      </c>
      <c r="BY49">
        <v>14.902638</v>
      </c>
      <c r="BZ49">
        <v>18.877656000000002</v>
      </c>
      <c r="CA49">
        <v>17.209738000000002</v>
      </c>
      <c r="CB49">
        <v>18.123405000000002</v>
      </c>
      <c r="CC49">
        <v>9.3045109999999998</v>
      </c>
      <c r="CD49">
        <v>11.499112999999999</v>
      </c>
      <c r="CE49" t="s">
        <v>273</v>
      </c>
      <c r="CF49">
        <v>15.074234000000001</v>
      </c>
      <c r="CG49">
        <v>19.095020999999999</v>
      </c>
      <c r="CH49">
        <v>17.407899</v>
      </c>
      <c r="CI49">
        <v>18.332086</v>
      </c>
      <c r="CJ49">
        <v>9.4116470000000003</v>
      </c>
      <c r="CK49">
        <v>11.631519000000001</v>
      </c>
      <c r="CL49" t="s">
        <v>273</v>
      </c>
      <c r="CM49">
        <v>574.82851100000005</v>
      </c>
      <c r="CN49">
        <v>453.78840700000001</v>
      </c>
      <c r="CO49">
        <v>497.76824499999998</v>
      </c>
      <c r="CP49">
        <v>472.67393099999998</v>
      </c>
      <c r="CQ49">
        <v>920.67829900000004</v>
      </c>
      <c r="CR49">
        <v>744.967127</v>
      </c>
      <c r="CS49" t="s">
        <v>273</v>
      </c>
      <c r="CT49">
        <v>683.42126399999995</v>
      </c>
      <c r="CU49">
        <v>580.44049900000005</v>
      </c>
      <c r="CV49">
        <v>591.71321599999999</v>
      </c>
      <c r="CW49">
        <v>1600.6531500000001</v>
      </c>
      <c r="CX49">
        <v>541.55978400000004</v>
      </c>
      <c r="CY49">
        <v>1531.3964530000001</v>
      </c>
      <c r="CZ49" t="s">
        <v>273</v>
      </c>
      <c r="DA49">
        <v>3.6040540000000001</v>
      </c>
      <c r="DB49">
        <v>510.01</v>
      </c>
      <c r="DC49">
        <v>3.877443</v>
      </c>
      <c r="DD49">
        <v>864</v>
      </c>
      <c r="DE49">
        <v>3.6035059999999999</v>
      </c>
      <c r="DF49">
        <v>505</v>
      </c>
      <c r="DG49">
        <v>10.265420000000001</v>
      </c>
      <c r="DH49">
        <v>765</v>
      </c>
      <c r="DI49">
        <v>1.7831159999999999</v>
      </c>
      <c r="DJ49">
        <v>235</v>
      </c>
      <c r="DK49">
        <v>6.2314870000000004</v>
      </c>
      <c r="DL49">
        <v>365</v>
      </c>
      <c r="DM49" t="s">
        <v>273</v>
      </c>
      <c r="DN49">
        <v>5.1265879999999999</v>
      </c>
      <c r="DO49">
        <v>14.047204000000001</v>
      </c>
      <c r="DP49">
        <v>7.0022320000000002</v>
      </c>
      <c r="DQ49" t="s">
        <v>282</v>
      </c>
      <c r="DR49">
        <v>9.7242920000000002</v>
      </c>
      <c r="DS49">
        <v>20.194472999999999</v>
      </c>
      <c r="DT49">
        <v>50.968200000000003</v>
      </c>
      <c r="DU49">
        <v>70.919752000000003</v>
      </c>
      <c r="DV49">
        <v>93.553736000000001</v>
      </c>
      <c r="DW49" t="s">
        <v>283</v>
      </c>
      <c r="DX49" t="s">
        <v>273</v>
      </c>
      <c r="DY49">
        <v>27.916722</v>
      </c>
      <c r="DZ49">
        <v>8.0995999999999999E-2</v>
      </c>
      <c r="EA49">
        <v>2.2145809999999999</v>
      </c>
      <c r="EB49">
        <v>1.824884</v>
      </c>
      <c r="EC49">
        <v>82.403105999999994</v>
      </c>
      <c r="ED49">
        <v>22.735959000000001</v>
      </c>
      <c r="EE49">
        <v>1119.4594030000001</v>
      </c>
      <c r="EF49">
        <v>12.731215000000001</v>
      </c>
      <c r="EG49">
        <v>38</v>
      </c>
      <c r="EH49">
        <v>38</v>
      </c>
      <c r="EI49">
        <v>34</v>
      </c>
      <c r="EJ49">
        <v>36</v>
      </c>
      <c r="EK49" t="s">
        <v>273</v>
      </c>
      <c r="EL49" t="s">
        <v>273</v>
      </c>
      <c r="EM49">
        <v>27.885835</v>
      </c>
      <c r="EN49">
        <v>3.8170999999999997E-2</v>
      </c>
      <c r="EO49">
        <v>1.878798</v>
      </c>
      <c r="EP49">
        <v>1.469328</v>
      </c>
      <c r="EQ49">
        <v>78.205759999999998</v>
      </c>
      <c r="ER49">
        <v>21.371872</v>
      </c>
      <c r="ES49">
        <v>830.71477100000004</v>
      </c>
      <c r="ET49">
        <v>5.9997410000000002</v>
      </c>
      <c r="EU49">
        <v>29</v>
      </c>
      <c r="EV49">
        <v>29</v>
      </c>
      <c r="EW49">
        <v>27</v>
      </c>
      <c r="EX49">
        <v>29</v>
      </c>
      <c r="EY49" t="s">
        <v>273</v>
      </c>
      <c r="EZ49" t="s">
        <v>273</v>
      </c>
      <c r="FA49">
        <v>32.239694</v>
      </c>
      <c r="FB49">
        <v>8.1795999999999994E-2</v>
      </c>
      <c r="FC49">
        <v>2.2143229999999998</v>
      </c>
      <c r="FD49">
        <v>1.824792</v>
      </c>
      <c r="FE49">
        <v>82.408589000000006</v>
      </c>
      <c r="FF49">
        <v>26.258306000000001</v>
      </c>
      <c r="FG49">
        <v>1119.5727039999999</v>
      </c>
      <c r="FH49">
        <v>12.856863000000001</v>
      </c>
      <c r="FI49">
        <v>38</v>
      </c>
      <c r="FJ49">
        <v>38</v>
      </c>
      <c r="FK49">
        <v>34</v>
      </c>
      <c r="FL49">
        <v>36</v>
      </c>
      <c r="FM49" t="s">
        <v>273</v>
      </c>
      <c r="FN49" t="s">
        <v>273</v>
      </c>
      <c r="FO49">
        <v>33.996110999999999</v>
      </c>
      <c r="FP49">
        <v>0.161939</v>
      </c>
      <c r="FQ49">
        <v>6.3163349999999996</v>
      </c>
      <c r="FR49">
        <v>5.4299059999999999</v>
      </c>
      <c r="FS49">
        <v>85.966088999999997</v>
      </c>
      <c r="FT49">
        <v>29.112485</v>
      </c>
      <c r="FU49">
        <v>1178.6701700000001</v>
      </c>
      <c r="FV49">
        <v>25.454025000000001</v>
      </c>
      <c r="FW49">
        <v>86</v>
      </c>
      <c r="FX49">
        <v>86</v>
      </c>
      <c r="FY49">
        <v>42</v>
      </c>
      <c r="FZ49">
        <v>42</v>
      </c>
      <c r="GA49" t="s">
        <v>273</v>
      </c>
      <c r="GB49" t="s">
        <v>273</v>
      </c>
      <c r="GC49">
        <v>30.755064000000001</v>
      </c>
      <c r="GD49">
        <v>0.15077099999999999</v>
      </c>
      <c r="GE49">
        <v>1.933311</v>
      </c>
      <c r="GF49">
        <v>1.5827800000000001</v>
      </c>
      <c r="GG49">
        <v>81.868887999999998</v>
      </c>
      <c r="GH49">
        <v>24.609076999999999</v>
      </c>
      <c r="GI49">
        <v>1940.7046319999999</v>
      </c>
      <c r="GJ49">
        <v>23.698459</v>
      </c>
      <c r="GK49">
        <v>26</v>
      </c>
      <c r="GL49">
        <v>26</v>
      </c>
      <c r="GM49">
        <v>18</v>
      </c>
      <c r="GN49">
        <v>25</v>
      </c>
      <c r="GO49" t="s">
        <v>273</v>
      </c>
      <c r="GP49" t="s">
        <v>273</v>
      </c>
      <c r="GQ49">
        <v>32.714874999999999</v>
      </c>
      <c r="GR49">
        <v>0.306311</v>
      </c>
      <c r="GS49">
        <v>5.8152929999999996</v>
      </c>
      <c r="GT49">
        <v>4.9089140000000002</v>
      </c>
      <c r="GU49">
        <v>84.413871999999998</v>
      </c>
      <c r="GV49">
        <v>27.461897</v>
      </c>
      <c r="GW49">
        <v>1752.3435669999999</v>
      </c>
      <c r="GX49">
        <v>48.146746999999998</v>
      </c>
      <c r="GY49">
        <v>57</v>
      </c>
      <c r="GZ49">
        <v>57</v>
      </c>
      <c r="HA49">
        <v>47</v>
      </c>
      <c r="HB49">
        <v>44</v>
      </c>
      <c r="HC49" t="s">
        <v>273</v>
      </c>
      <c r="HD49" t="s">
        <v>273</v>
      </c>
      <c r="HE49">
        <v>31</v>
      </c>
      <c r="HF49">
        <v>7.5000000000000002E-4</v>
      </c>
      <c r="HG49">
        <v>8.0000000000000002E-3</v>
      </c>
      <c r="HH49">
        <v>3.2258000000000002E-2</v>
      </c>
      <c r="HI49">
        <v>6500</v>
      </c>
    </row>
    <row r="50" spans="1:217" x14ac:dyDescent="0.3">
      <c r="A50">
        <v>393</v>
      </c>
      <c r="B50" t="s">
        <v>269</v>
      </c>
      <c r="F50" t="s">
        <v>270</v>
      </c>
      <c r="G50" t="s">
        <v>271</v>
      </c>
      <c r="H50" t="s">
        <v>272</v>
      </c>
      <c r="I50">
        <v>3750</v>
      </c>
      <c r="J50">
        <v>1</v>
      </c>
      <c r="K50">
        <v>61.153125000000003</v>
      </c>
      <c r="L50">
        <v>0.22</v>
      </c>
      <c r="M50">
        <v>1.1898000000000001E-2</v>
      </c>
      <c r="N50">
        <v>0</v>
      </c>
      <c r="O50">
        <v>0</v>
      </c>
      <c r="P50">
        <v>0</v>
      </c>
      <c r="Q50">
        <v>13.59</v>
      </c>
      <c r="R50">
        <v>1</v>
      </c>
      <c r="S50">
        <v>1</v>
      </c>
      <c r="T50">
        <v>1</v>
      </c>
      <c r="U50">
        <v>1</v>
      </c>
      <c r="V50">
        <v>100</v>
      </c>
      <c r="W50" t="s">
        <v>273</v>
      </c>
      <c r="X50" t="s">
        <v>274</v>
      </c>
      <c r="Y50" t="s">
        <v>274</v>
      </c>
      <c r="Z50" t="s">
        <v>273</v>
      </c>
      <c r="AA50" t="s">
        <v>275</v>
      </c>
      <c r="AB50" t="s">
        <v>276</v>
      </c>
      <c r="AC50">
        <v>329</v>
      </c>
      <c r="AD50">
        <v>5</v>
      </c>
      <c r="AE50" t="s">
        <v>277</v>
      </c>
      <c r="AF50">
        <v>3.166026</v>
      </c>
      <c r="AG50">
        <v>100</v>
      </c>
      <c r="AH50">
        <v>28.5</v>
      </c>
      <c r="AI50">
        <v>1710</v>
      </c>
      <c r="AJ50">
        <v>800</v>
      </c>
      <c r="AK50">
        <v>1200</v>
      </c>
      <c r="AL50">
        <v>179.2</v>
      </c>
      <c r="AM50">
        <v>2.2000000000000002</v>
      </c>
      <c r="AN50" t="s">
        <v>273</v>
      </c>
      <c r="AO50" t="s">
        <v>278</v>
      </c>
      <c r="AP50" t="s">
        <v>286</v>
      </c>
      <c r="AQ50">
        <v>2.8</v>
      </c>
      <c r="AR50">
        <v>4</v>
      </c>
      <c r="AS50">
        <v>157.19999999999999</v>
      </c>
      <c r="AT50">
        <v>286</v>
      </c>
      <c r="AU50">
        <v>0.16279199999999999</v>
      </c>
      <c r="AV50">
        <v>36.9</v>
      </c>
      <c r="AW50">
        <v>233.8</v>
      </c>
      <c r="AX50" t="s">
        <v>280</v>
      </c>
      <c r="AY50">
        <v>0</v>
      </c>
      <c r="AZ50" t="s">
        <v>281</v>
      </c>
      <c r="BA50">
        <v>0.2</v>
      </c>
      <c r="BB50">
        <v>0.5</v>
      </c>
      <c r="BC50" t="s">
        <v>273</v>
      </c>
      <c r="BD50" t="s">
        <v>273</v>
      </c>
      <c r="BE50">
        <v>27.272144000000001</v>
      </c>
      <c r="BF50">
        <v>27.586167</v>
      </c>
      <c r="BG50">
        <v>314.110299</v>
      </c>
      <c r="BH50" t="s">
        <v>273</v>
      </c>
      <c r="BI50">
        <v>39.698265999999997</v>
      </c>
      <c r="BJ50">
        <v>40.155369</v>
      </c>
      <c r="BK50">
        <v>215.789309</v>
      </c>
      <c r="BL50" t="s">
        <v>273</v>
      </c>
      <c r="BM50">
        <v>39.700614999999999</v>
      </c>
      <c r="BN50">
        <v>40.157744999999998</v>
      </c>
      <c r="BO50">
        <v>215.77653699999999</v>
      </c>
      <c r="BP50" t="s">
        <v>273</v>
      </c>
      <c r="BQ50">
        <v>27.214468</v>
      </c>
      <c r="BR50">
        <v>27.527826999999998</v>
      </c>
      <c r="BS50">
        <v>314.77599400000003</v>
      </c>
      <c r="BT50" t="s">
        <v>273</v>
      </c>
      <c r="BU50">
        <v>9.2445889999999995</v>
      </c>
      <c r="BV50">
        <v>9.3510349999999995</v>
      </c>
      <c r="BW50">
        <v>926.64597900000001</v>
      </c>
      <c r="BX50" t="s">
        <v>273</v>
      </c>
      <c r="BY50">
        <v>26.359988000000001</v>
      </c>
      <c r="BZ50">
        <v>26.147219</v>
      </c>
      <c r="CA50">
        <v>30.551674999999999</v>
      </c>
      <c r="CB50">
        <v>39.700614999999999</v>
      </c>
      <c r="CC50">
        <v>17.612788999999999</v>
      </c>
      <c r="CD50">
        <v>32.275499000000003</v>
      </c>
      <c r="CE50" t="s">
        <v>273</v>
      </c>
      <c r="CF50">
        <v>26.663509000000001</v>
      </c>
      <c r="CG50">
        <v>26.44829</v>
      </c>
      <c r="CH50">
        <v>30.903459999999999</v>
      </c>
      <c r="CI50">
        <v>40.157744999999998</v>
      </c>
      <c r="CJ50">
        <v>17.815591000000001</v>
      </c>
      <c r="CK50">
        <v>32.647132999999997</v>
      </c>
      <c r="CL50" t="s">
        <v>273</v>
      </c>
      <c r="CM50">
        <v>324.97970800000002</v>
      </c>
      <c r="CN50">
        <v>327.62418100000002</v>
      </c>
      <c r="CO50">
        <v>280.39252299999998</v>
      </c>
      <c r="CP50">
        <v>215.77653699999999</v>
      </c>
      <c r="CQ50">
        <v>486.37732299999999</v>
      </c>
      <c r="CR50">
        <v>265.41685200000001</v>
      </c>
      <c r="CS50" t="s">
        <v>273</v>
      </c>
      <c r="CT50">
        <v>386.90751399999999</v>
      </c>
      <c r="CU50">
        <v>419.76529199999999</v>
      </c>
      <c r="CV50">
        <v>333.773774</v>
      </c>
      <c r="CW50">
        <v>730.89265699999999</v>
      </c>
      <c r="CX50">
        <v>288.25361199999998</v>
      </c>
      <c r="CY50">
        <v>546.86858199999995</v>
      </c>
      <c r="CZ50" t="s">
        <v>273</v>
      </c>
      <c r="DA50">
        <v>3.6090429999999998</v>
      </c>
      <c r="DB50">
        <v>510.01</v>
      </c>
      <c r="DC50">
        <v>3.8839329999999999</v>
      </c>
      <c r="DD50">
        <v>864</v>
      </c>
      <c r="DE50">
        <v>3.6085020000000001</v>
      </c>
      <c r="DF50">
        <v>505</v>
      </c>
      <c r="DG50">
        <v>10.26811</v>
      </c>
      <c r="DH50">
        <v>765</v>
      </c>
      <c r="DI50">
        <v>1.796564</v>
      </c>
      <c r="DJ50">
        <v>235</v>
      </c>
      <c r="DK50">
        <v>6.2459090000000002</v>
      </c>
      <c r="DL50">
        <v>365</v>
      </c>
      <c r="DM50" t="s">
        <v>273</v>
      </c>
      <c r="DN50">
        <v>3.5064099999999998</v>
      </c>
      <c r="DO50">
        <v>7.935295</v>
      </c>
      <c r="DP50">
        <v>4.0488270000000002</v>
      </c>
      <c r="DQ50" t="s">
        <v>282</v>
      </c>
      <c r="DR50">
        <v>4.5560499999999999</v>
      </c>
      <c r="DS50">
        <v>16.284355999999999</v>
      </c>
      <c r="DT50">
        <v>32.824528999999998</v>
      </c>
      <c r="DU50">
        <v>91.390399000000002</v>
      </c>
      <c r="DV50">
        <v>151.39742899999999</v>
      </c>
      <c r="DW50" t="s">
        <v>283</v>
      </c>
      <c r="DX50" t="s">
        <v>273</v>
      </c>
      <c r="DY50">
        <v>24.785765000000001</v>
      </c>
      <c r="DZ50">
        <v>4.1272999999999997E-2</v>
      </c>
      <c r="EA50">
        <v>1.1131359999999999</v>
      </c>
      <c r="EB50">
        <v>0.93342400000000003</v>
      </c>
      <c r="EC50">
        <v>83.855341999999993</v>
      </c>
      <c r="ED50">
        <v>20.463999000000001</v>
      </c>
      <c r="EE50">
        <v>569.64256999999998</v>
      </c>
      <c r="EF50">
        <v>6.487311</v>
      </c>
      <c r="EG50">
        <v>26</v>
      </c>
      <c r="EH50">
        <v>26</v>
      </c>
      <c r="EI50">
        <v>21</v>
      </c>
      <c r="EJ50">
        <v>25</v>
      </c>
      <c r="EK50" t="s">
        <v>273</v>
      </c>
      <c r="EL50" t="s">
        <v>273</v>
      </c>
      <c r="EM50">
        <v>23.983431</v>
      </c>
      <c r="EN50">
        <v>2.3938999999999998E-2</v>
      </c>
      <c r="EO50">
        <v>1.1685749999999999</v>
      </c>
      <c r="EP50">
        <v>0.92452699999999999</v>
      </c>
      <c r="EQ50">
        <v>79.115803999999997</v>
      </c>
      <c r="ER50">
        <v>18.534369000000002</v>
      </c>
      <c r="ES50">
        <v>520.12597500000004</v>
      </c>
      <c r="ET50">
        <v>3.7628370000000002</v>
      </c>
      <c r="EU50">
        <v>27</v>
      </c>
      <c r="EV50">
        <v>27</v>
      </c>
      <c r="EW50">
        <v>27</v>
      </c>
      <c r="EX50">
        <v>27</v>
      </c>
      <c r="EY50" t="s">
        <v>273</v>
      </c>
      <c r="EZ50" t="s">
        <v>273</v>
      </c>
      <c r="FA50">
        <v>28.714433</v>
      </c>
      <c r="FB50">
        <v>4.1678E-2</v>
      </c>
      <c r="FC50">
        <v>1.1124769999999999</v>
      </c>
      <c r="FD50">
        <v>0.93334700000000004</v>
      </c>
      <c r="FE50">
        <v>83.898088000000001</v>
      </c>
      <c r="FF50">
        <v>23.719470000000001</v>
      </c>
      <c r="FG50">
        <v>569.67692699999998</v>
      </c>
      <c r="FH50">
        <v>6.5510820000000001</v>
      </c>
      <c r="FI50">
        <v>26</v>
      </c>
      <c r="FJ50">
        <v>26</v>
      </c>
      <c r="FK50">
        <v>21</v>
      </c>
      <c r="FL50">
        <v>25</v>
      </c>
      <c r="FM50" t="s">
        <v>273</v>
      </c>
      <c r="FN50" t="s">
        <v>273</v>
      </c>
      <c r="FO50">
        <v>30.789331000000001</v>
      </c>
      <c r="FP50">
        <v>6.8361000000000005E-2</v>
      </c>
      <c r="FQ50">
        <v>2.612117</v>
      </c>
      <c r="FR50">
        <v>2.296672</v>
      </c>
      <c r="FS50">
        <v>87.923800999999997</v>
      </c>
      <c r="FT50">
        <v>26.913886000000002</v>
      </c>
      <c r="FU50">
        <v>497.42992900000002</v>
      </c>
      <c r="FV50">
        <v>10.745086000000001</v>
      </c>
      <c r="FW50">
        <v>15</v>
      </c>
      <c r="FX50">
        <v>15</v>
      </c>
      <c r="FY50">
        <v>15</v>
      </c>
      <c r="FZ50">
        <v>15</v>
      </c>
      <c r="GA50" t="s">
        <v>273</v>
      </c>
      <c r="GB50" t="s">
        <v>273</v>
      </c>
      <c r="GC50">
        <v>30.714977000000001</v>
      </c>
      <c r="GD50">
        <v>7.9869999999999997E-2</v>
      </c>
      <c r="GE50">
        <v>1.0276940000000001</v>
      </c>
      <c r="GF50">
        <v>0.84570900000000004</v>
      </c>
      <c r="GG50">
        <v>82.291982000000004</v>
      </c>
      <c r="GH50">
        <v>24.492563000000001</v>
      </c>
      <c r="GI50">
        <v>1020.383971</v>
      </c>
      <c r="GJ50">
        <v>12.554148</v>
      </c>
      <c r="GK50">
        <v>26</v>
      </c>
      <c r="GL50">
        <v>26</v>
      </c>
      <c r="GM50">
        <v>15</v>
      </c>
      <c r="GN50">
        <v>24</v>
      </c>
      <c r="GO50" t="s">
        <v>273</v>
      </c>
      <c r="GP50" t="s">
        <v>273</v>
      </c>
      <c r="GQ50">
        <v>31.775953999999999</v>
      </c>
      <c r="GR50">
        <v>0.111017</v>
      </c>
      <c r="GS50">
        <v>2.0170669999999999</v>
      </c>
      <c r="GT50">
        <v>1.785992</v>
      </c>
      <c r="GU50">
        <v>88.544044999999997</v>
      </c>
      <c r="GV50">
        <v>27.871504999999999</v>
      </c>
      <c r="GW50">
        <v>633.63678600000003</v>
      </c>
      <c r="GX50">
        <v>17.449863000000001</v>
      </c>
      <c r="GY50">
        <v>31</v>
      </c>
      <c r="GZ50">
        <v>31</v>
      </c>
      <c r="HA50">
        <v>16</v>
      </c>
      <c r="HB50">
        <v>18</v>
      </c>
      <c r="HC50" t="s">
        <v>273</v>
      </c>
      <c r="HD50" t="s">
        <v>273</v>
      </c>
      <c r="HE50">
        <v>18</v>
      </c>
      <c r="HF50">
        <v>1E-3</v>
      </c>
      <c r="HG50">
        <v>5.0000000000000001E-3</v>
      </c>
      <c r="HH50">
        <v>5.5556000000000001E-2</v>
      </c>
      <c r="HI50">
        <v>3750</v>
      </c>
    </row>
    <row r="51" spans="1:217" x14ac:dyDescent="0.3">
      <c r="A51">
        <v>394</v>
      </c>
      <c r="B51" t="s">
        <v>269</v>
      </c>
      <c r="F51" t="s">
        <v>270</v>
      </c>
      <c r="G51" t="s">
        <v>271</v>
      </c>
      <c r="H51" t="s">
        <v>272</v>
      </c>
      <c r="I51">
        <v>3750</v>
      </c>
      <c r="J51">
        <v>1</v>
      </c>
      <c r="K51">
        <v>61.153125000000003</v>
      </c>
      <c r="L51">
        <v>0.22</v>
      </c>
      <c r="M51">
        <v>1.1898000000000001E-2</v>
      </c>
      <c r="N51">
        <v>0</v>
      </c>
      <c r="O51">
        <v>0</v>
      </c>
      <c r="P51">
        <v>0</v>
      </c>
      <c r="Q51">
        <v>13.59</v>
      </c>
      <c r="R51">
        <v>1</v>
      </c>
      <c r="S51">
        <v>1</v>
      </c>
      <c r="T51">
        <v>1</v>
      </c>
      <c r="U51">
        <v>1</v>
      </c>
      <c r="V51">
        <v>100</v>
      </c>
      <c r="W51" t="s">
        <v>273</v>
      </c>
      <c r="X51" t="s">
        <v>274</v>
      </c>
      <c r="Y51" t="s">
        <v>274</v>
      </c>
      <c r="Z51" t="s">
        <v>273</v>
      </c>
      <c r="AA51" t="s">
        <v>275</v>
      </c>
      <c r="AB51" t="s">
        <v>276</v>
      </c>
      <c r="AC51">
        <v>188</v>
      </c>
      <c r="AD51">
        <v>5</v>
      </c>
      <c r="AE51" t="s">
        <v>277</v>
      </c>
      <c r="AF51">
        <v>3.6103809999999998</v>
      </c>
      <c r="AG51">
        <v>100</v>
      </c>
      <c r="AH51">
        <v>32.5</v>
      </c>
      <c r="AI51">
        <v>1950</v>
      </c>
      <c r="AJ51">
        <v>800</v>
      </c>
      <c r="AK51">
        <v>1200</v>
      </c>
      <c r="AL51">
        <v>237.3</v>
      </c>
      <c r="AM51">
        <v>2.2000000000000002</v>
      </c>
      <c r="AN51" t="s">
        <v>273</v>
      </c>
      <c r="AO51" t="s">
        <v>278</v>
      </c>
      <c r="AP51" t="s">
        <v>287</v>
      </c>
      <c r="AQ51">
        <v>1.6</v>
      </c>
      <c r="AR51">
        <v>4</v>
      </c>
      <c r="AS51">
        <v>89.6</v>
      </c>
      <c r="AT51">
        <v>163.1</v>
      </c>
      <c r="AU51">
        <v>9.3023999999999996E-2</v>
      </c>
      <c r="AV51">
        <v>36</v>
      </c>
      <c r="AW51">
        <v>239.3</v>
      </c>
      <c r="AX51" t="s">
        <v>280</v>
      </c>
      <c r="AY51">
        <v>0</v>
      </c>
      <c r="AZ51" t="s">
        <v>281</v>
      </c>
      <c r="BA51">
        <v>0.2</v>
      </c>
      <c r="BB51">
        <v>0.5</v>
      </c>
      <c r="BC51" t="s">
        <v>273</v>
      </c>
      <c r="BD51" t="s">
        <v>273</v>
      </c>
      <c r="BE51">
        <v>29.530325000000001</v>
      </c>
      <c r="BF51">
        <v>29.870349999999998</v>
      </c>
      <c r="BG51">
        <v>290.09031299999998</v>
      </c>
      <c r="BH51" t="s">
        <v>273</v>
      </c>
      <c r="BI51">
        <v>40.421357999999998</v>
      </c>
      <c r="BJ51">
        <v>40.886786999999998</v>
      </c>
      <c r="BK51">
        <v>211.929081</v>
      </c>
      <c r="BL51" t="s">
        <v>273</v>
      </c>
      <c r="BM51">
        <v>40.423282999999998</v>
      </c>
      <c r="BN51">
        <v>40.888734999999997</v>
      </c>
      <c r="BO51">
        <v>211.91898699999999</v>
      </c>
      <c r="BP51" t="s">
        <v>273</v>
      </c>
      <c r="BQ51">
        <v>26.614478999999999</v>
      </c>
      <c r="BR51">
        <v>26.920929999999998</v>
      </c>
      <c r="BS51">
        <v>321.87221499999998</v>
      </c>
      <c r="BT51" t="s">
        <v>273</v>
      </c>
      <c r="BU51">
        <v>12.469382</v>
      </c>
      <c r="BV51">
        <v>12.612959999999999</v>
      </c>
      <c r="BW51">
        <v>686.99965399999996</v>
      </c>
      <c r="BX51" t="s">
        <v>273</v>
      </c>
      <c r="BY51">
        <v>27.696705999999999</v>
      </c>
      <c r="BZ51">
        <v>29.106988000000001</v>
      </c>
      <c r="CA51">
        <v>32.006892000000001</v>
      </c>
      <c r="CB51">
        <v>40.423282999999998</v>
      </c>
      <c r="CC51">
        <v>17.187166999999999</v>
      </c>
      <c r="CD51">
        <v>31.572976000000001</v>
      </c>
      <c r="CE51" t="s">
        <v>273</v>
      </c>
      <c r="CF51">
        <v>28.015618</v>
      </c>
      <c r="CG51">
        <v>29.442138</v>
      </c>
      <c r="CH51">
        <v>32.375433000000001</v>
      </c>
      <c r="CI51">
        <v>40.888734999999997</v>
      </c>
      <c r="CJ51">
        <v>17.385066999999999</v>
      </c>
      <c r="CK51">
        <v>31.936520999999999</v>
      </c>
      <c r="CL51" t="s">
        <v>273</v>
      </c>
      <c r="CM51">
        <v>309.29530799999998</v>
      </c>
      <c r="CN51">
        <v>294.309439</v>
      </c>
      <c r="CO51">
        <v>267.64426900000001</v>
      </c>
      <c r="CP51">
        <v>211.91898699999999</v>
      </c>
      <c r="CQ51">
        <v>498.42196000000001</v>
      </c>
      <c r="CR51">
        <v>271.32258100000001</v>
      </c>
      <c r="CS51" t="s">
        <v>273</v>
      </c>
      <c r="CT51">
        <v>367.642132</v>
      </c>
      <c r="CU51">
        <v>376.01150799999999</v>
      </c>
      <c r="CV51">
        <v>318.085374</v>
      </c>
      <c r="CW51">
        <v>717.69756900000004</v>
      </c>
      <c r="CX51">
        <v>293.66429299999999</v>
      </c>
      <c r="CY51">
        <v>558.32746899999995</v>
      </c>
      <c r="CZ51" t="s">
        <v>273</v>
      </c>
      <c r="DA51">
        <v>3.6032389999999999</v>
      </c>
      <c r="DB51">
        <v>510.01</v>
      </c>
      <c r="DC51">
        <v>3.872916</v>
      </c>
      <c r="DD51">
        <v>864</v>
      </c>
      <c r="DE51">
        <v>3.6026899999999999</v>
      </c>
      <c r="DF51">
        <v>505</v>
      </c>
      <c r="DG51">
        <v>10.266271</v>
      </c>
      <c r="DH51">
        <v>765</v>
      </c>
      <c r="DI51">
        <v>1.7860560000000001</v>
      </c>
      <c r="DJ51">
        <v>235</v>
      </c>
      <c r="DK51">
        <v>6.2379829999999998</v>
      </c>
      <c r="DL51">
        <v>365</v>
      </c>
      <c r="DM51" t="s">
        <v>273</v>
      </c>
      <c r="DN51">
        <v>4.9253359999999997</v>
      </c>
      <c r="DO51">
        <v>12.917591</v>
      </c>
      <c r="DP51">
        <v>6.2265350000000002</v>
      </c>
      <c r="DQ51" t="s">
        <v>282</v>
      </c>
      <c r="DR51">
        <v>10.35356</v>
      </c>
      <c r="DS51">
        <v>19.773014</v>
      </c>
      <c r="DT51">
        <v>49.270699</v>
      </c>
      <c r="DU51">
        <v>74.211905999999999</v>
      </c>
      <c r="DV51">
        <v>124.905294</v>
      </c>
      <c r="DW51" t="s">
        <v>283</v>
      </c>
      <c r="DX51" t="s">
        <v>273</v>
      </c>
      <c r="DY51">
        <v>26.074926999999999</v>
      </c>
      <c r="DZ51">
        <v>7.2361999999999996E-2</v>
      </c>
      <c r="EA51">
        <v>1.1127229999999999</v>
      </c>
      <c r="EB51">
        <v>0.93088199999999999</v>
      </c>
      <c r="EC51">
        <v>83.658061000000004</v>
      </c>
      <c r="ED51">
        <v>21.524180000000001</v>
      </c>
      <c r="EE51">
        <v>570.23769800000002</v>
      </c>
      <c r="EF51">
        <v>6.4836450000000001</v>
      </c>
      <c r="EG51">
        <v>32</v>
      </c>
      <c r="EH51">
        <v>32</v>
      </c>
      <c r="EI51">
        <v>25</v>
      </c>
      <c r="EJ51">
        <v>30</v>
      </c>
      <c r="EK51" t="s">
        <v>273</v>
      </c>
      <c r="EL51" t="s">
        <v>273</v>
      </c>
      <c r="EM51">
        <v>26.310773999999999</v>
      </c>
      <c r="EN51">
        <v>4.1928E-2</v>
      </c>
      <c r="EO51">
        <v>1.1483479999999999</v>
      </c>
      <c r="EP51">
        <v>0.91759599999999997</v>
      </c>
      <c r="EQ51">
        <v>79.905724000000006</v>
      </c>
      <c r="ER51">
        <v>20.657651999999999</v>
      </c>
      <c r="ES51">
        <v>520.76420900000005</v>
      </c>
      <c r="ET51">
        <v>3.7567680000000001</v>
      </c>
      <c r="EU51">
        <v>39</v>
      </c>
      <c r="EV51">
        <v>39</v>
      </c>
      <c r="EW51">
        <v>38</v>
      </c>
      <c r="EX51">
        <v>37</v>
      </c>
      <c r="EY51" t="s">
        <v>273</v>
      </c>
      <c r="EZ51" t="s">
        <v>273</v>
      </c>
      <c r="FA51">
        <v>30.139149</v>
      </c>
      <c r="FB51">
        <v>7.3063000000000003E-2</v>
      </c>
      <c r="FC51">
        <v>1.1127899999999999</v>
      </c>
      <c r="FD51">
        <v>0.93059899999999995</v>
      </c>
      <c r="FE51">
        <v>83.627476999999999</v>
      </c>
      <c r="FF51">
        <v>24.871614000000001</v>
      </c>
      <c r="FG51">
        <v>570.189708</v>
      </c>
      <c r="FH51">
        <v>6.5464190000000002</v>
      </c>
      <c r="FI51">
        <v>32</v>
      </c>
      <c r="FJ51">
        <v>32</v>
      </c>
      <c r="FK51">
        <v>25</v>
      </c>
      <c r="FL51">
        <v>29</v>
      </c>
      <c r="FM51" t="s">
        <v>273</v>
      </c>
      <c r="FN51" t="s">
        <v>273</v>
      </c>
      <c r="FO51">
        <v>31.424871</v>
      </c>
      <c r="FP51">
        <v>0.119849</v>
      </c>
      <c r="FQ51">
        <v>2.6179039999999998</v>
      </c>
      <c r="FR51">
        <v>2.2935660000000002</v>
      </c>
      <c r="FS51">
        <v>87.610765999999998</v>
      </c>
      <c r="FT51">
        <v>27.391725000000001</v>
      </c>
      <c r="FU51">
        <v>497.21081299999997</v>
      </c>
      <c r="FV51">
        <v>10.738429</v>
      </c>
      <c r="FW51">
        <v>29</v>
      </c>
      <c r="FX51">
        <v>29</v>
      </c>
      <c r="FY51">
        <v>29</v>
      </c>
      <c r="FZ51">
        <v>26</v>
      </c>
      <c r="GA51" t="s">
        <v>273</v>
      </c>
      <c r="GB51" t="s">
        <v>273</v>
      </c>
      <c r="GC51">
        <v>29.944479000000001</v>
      </c>
      <c r="GD51">
        <v>0.14014499999999999</v>
      </c>
      <c r="GE51">
        <v>1.0207200000000001</v>
      </c>
      <c r="GF51">
        <v>0.84117200000000003</v>
      </c>
      <c r="GG51">
        <v>82.409638000000001</v>
      </c>
      <c r="GH51">
        <v>24.046724000000001</v>
      </c>
      <c r="GI51">
        <v>1026.6171340000001</v>
      </c>
      <c r="GJ51">
        <v>12.556964000000001</v>
      </c>
      <c r="GK51">
        <v>28</v>
      </c>
      <c r="GL51">
        <v>28</v>
      </c>
      <c r="GM51">
        <v>14</v>
      </c>
      <c r="GN51">
        <v>27</v>
      </c>
      <c r="GO51" t="s">
        <v>273</v>
      </c>
      <c r="GP51" t="s">
        <v>273</v>
      </c>
      <c r="GQ51">
        <v>31.439715</v>
      </c>
      <c r="GR51">
        <v>0.19411900000000001</v>
      </c>
      <c r="GS51">
        <v>2.037541</v>
      </c>
      <c r="GT51">
        <v>1.7773829999999999</v>
      </c>
      <c r="GU51">
        <v>87.231801000000004</v>
      </c>
      <c r="GV51">
        <v>27.210639</v>
      </c>
      <c r="GW51">
        <v>632.376936</v>
      </c>
      <c r="GX51">
        <v>17.393070000000002</v>
      </c>
      <c r="GY51">
        <v>46</v>
      </c>
      <c r="GZ51">
        <v>46</v>
      </c>
      <c r="HA51">
        <v>36</v>
      </c>
      <c r="HB51">
        <v>38</v>
      </c>
      <c r="HC51" t="s">
        <v>273</v>
      </c>
      <c r="HD51" t="s">
        <v>273</v>
      </c>
      <c r="HE51">
        <v>31</v>
      </c>
      <c r="HF51">
        <v>1E-3</v>
      </c>
      <c r="HG51">
        <v>5.0000000000000001E-3</v>
      </c>
      <c r="HH51">
        <v>3.2258000000000002E-2</v>
      </c>
      <c r="HI51">
        <v>3750</v>
      </c>
    </row>
    <row r="52" spans="1:217" x14ac:dyDescent="0.3">
      <c r="A52">
        <v>395</v>
      </c>
      <c r="B52" t="s">
        <v>269</v>
      </c>
      <c r="F52" t="s">
        <v>270</v>
      </c>
      <c r="G52" t="s">
        <v>271</v>
      </c>
      <c r="H52" t="s">
        <v>272</v>
      </c>
      <c r="I52">
        <v>5250</v>
      </c>
      <c r="J52">
        <v>1</v>
      </c>
      <c r="K52">
        <v>86.934375000000003</v>
      </c>
      <c r="L52">
        <v>0.22</v>
      </c>
      <c r="M52">
        <v>1.7757999999999999E-2</v>
      </c>
      <c r="N52">
        <v>0</v>
      </c>
      <c r="O52">
        <v>0</v>
      </c>
      <c r="P52">
        <v>0</v>
      </c>
      <c r="Q52">
        <v>18.98</v>
      </c>
      <c r="R52">
        <v>1</v>
      </c>
      <c r="S52">
        <v>1</v>
      </c>
      <c r="T52">
        <v>1</v>
      </c>
      <c r="U52">
        <v>1</v>
      </c>
      <c r="V52">
        <v>100</v>
      </c>
      <c r="W52" t="s">
        <v>273</v>
      </c>
      <c r="X52" t="s">
        <v>274</v>
      </c>
      <c r="Y52" t="s">
        <v>274</v>
      </c>
      <c r="Z52" t="s">
        <v>273</v>
      </c>
      <c r="AA52" t="s">
        <v>275</v>
      </c>
      <c r="AB52" t="s">
        <v>276</v>
      </c>
      <c r="AC52">
        <v>258</v>
      </c>
      <c r="AD52">
        <v>5</v>
      </c>
      <c r="AE52" t="s">
        <v>277</v>
      </c>
      <c r="AF52">
        <v>3.221571</v>
      </c>
      <c r="AG52">
        <v>100</v>
      </c>
      <c r="AH52">
        <v>29</v>
      </c>
      <c r="AI52">
        <v>1740</v>
      </c>
      <c r="AJ52">
        <v>800</v>
      </c>
      <c r="AK52">
        <v>1200</v>
      </c>
      <c r="AL52">
        <v>202.3</v>
      </c>
      <c r="AM52">
        <v>2.2000000000000002</v>
      </c>
      <c r="AN52" t="s">
        <v>273</v>
      </c>
      <c r="AO52" t="s">
        <v>278</v>
      </c>
      <c r="AP52" t="s">
        <v>285</v>
      </c>
      <c r="AQ52">
        <v>2.2000000000000002</v>
      </c>
      <c r="AR52">
        <v>4</v>
      </c>
      <c r="AS52">
        <v>123.4</v>
      </c>
      <c r="AT52">
        <v>224.5</v>
      </c>
      <c r="AU52">
        <v>0.12790799999999999</v>
      </c>
      <c r="AV52">
        <v>36.5</v>
      </c>
      <c r="AW52">
        <v>236.1</v>
      </c>
      <c r="AX52" t="s">
        <v>280</v>
      </c>
      <c r="AY52">
        <v>0</v>
      </c>
      <c r="AZ52" t="s">
        <v>281</v>
      </c>
      <c r="BA52">
        <v>0.2</v>
      </c>
      <c r="BB52">
        <v>0.5</v>
      </c>
      <c r="BC52" t="s">
        <v>273</v>
      </c>
      <c r="BD52" t="s">
        <v>273</v>
      </c>
      <c r="BE52">
        <v>21.655462</v>
      </c>
      <c r="BF52">
        <v>21.904813000000001</v>
      </c>
      <c r="BG52">
        <v>395.57970299999999</v>
      </c>
      <c r="BH52" t="s">
        <v>273</v>
      </c>
      <c r="BI52">
        <v>29.509356</v>
      </c>
      <c r="BJ52">
        <v>29.849139999999998</v>
      </c>
      <c r="BK52">
        <v>290.29644500000001</v>
      </c>
      <c r="BL52" t="s">
        <v>273</v>
      </c>
      <c r="BM52">
        <v>29.510605000000002</v>
      </c>
      <c r="BN52">
        <v>29.850403</v>
      </c>
      <c r="BO52">
        <v>290.28416099999998</v>
      </c>
      <c r="BP52" t="s">
        <v>273</v>
      </c>
      <c r="BQ52">
        <v>19.369696999999999</v>
      </c>
      <c r="BR52">
        <v>19.592728000000001</v>
      </c>
      <c r="BS52">
        <v>442.26098400000001</v>
      </c>
      <c r="BT52" t="s">
        <v>273</v>
      </c>
      <c r="BU52">
        <v>9.1615929999999999</v>
      </c>
      <c r="BV52">
        <v>9.2670840000000005</v>
      </c>
      <c r="BW52">
        <v>935.04058499999996</v>
      </c>
      <c r="BX52" t="s">
        <v>273</v>
      </c>
      <c r="BY52">
        <v>20.201875999999999</v>
      </c>
      <c r="BZ52">
        <v>21.449870000000001</v>
      </c>
      <c r="CA52">
        <v>23.344743999999999</v>
      </c>
      <c r="CB52">
        <v>29.510605000000002</v>
      </c>
      <c r="CC52">
        <v>12.39114</v>
      </c>
      <c r="CD52">
        <v>23.082115000000002</v>
      </c>
      <c r="CE52" t="s">
        <v>273</v>
      </c>
      <c r="CF52">
        <v>20.434488999999999</v>
      </c>
      <c r="CG52">
        <v>21.696853000000001</v>
      </c>
      <c r="CH52">
        <v>23.613545999999999</v>
      </c>
      <c r="CI52">
        <v>29.850403</v>
      </c>
      <c r="CJ52">
        <v>12.533817000000001</v>
      </c>
      <c r="CK52">
        <v>23.347892999999999</v>
      </c>
      <c r="CL52" t="s">
        <v>273</v>
      </c>
      <c r="CM52">
        <v>424.04286300000001</v>
      </c>
      <c r="CN52">
        <v>399.37124999999997</v>
      </c>
      <c r="CO52">
        <v>366.95459499999998</v>
      </c>
      <c r="CP52">
        <v>290.28416099999998</v>
      </c>
      <c r="CQ52">
        <v>691.33763199999999</v>
      </c>
      <c r="CR52">
        <v>371.129819</v>
      </c>
      <c r="CS52" t="s">
        <v>273</v>
      </c>
      <c r="CT52">
        <v>504.053358</v>
      </c>
      <c r="CU52">
        <v>510.30572999999998</v>
      </c>
      <c r="CV52">
        <v>436.12773399999998</v>
      </c>
      <c r="CW52">
        <v>983.08524899999998</v>
      </c>
      <c r="CX52">
        <v>406.12312800000001</v>
      </c>
      <c r="CY52">
        <v>763.42514300000005</v>
      </c>
      <c r="CZ52" t="s">
        <v>273</v>
      </c>
      <c r="DA52">
        <v>3.6033620000000002</v>
      </c>
      <c r="DB52">
        <v>510.01</v>
      </c>
      <c r="DC52">
        <v>3.8734220000000001</v>
      </c>
      <c r="DD52">
        <v>864</v>
      </c>
      <c r="DE52">
        <v>3.6028199999999999</v>
      </c>
      <c r="DF52">
        <v>505</v>
      </c>
      <c r="DG52">
        <v>10.266182000000001</v>
      </c>
      <c r="DH52">
        <v>765</v>
      </c>
      <c r="DI52">
        <v>1.7807729999999999</v>
      </c>
      <c r="DJ52">
        <v>235</v>
      </c>
      <c r="DK52">
        <v>6.2356499999999997</v>
      </c>
      <c r="DL52">
        <v>365</v>
      </c>
      <c r="DM52" t="s">
        <v>273</v>
      </c>
      <c r="DN52">
        <v>5.249282</v>
      </c>
      <c r="DO52">
        <v>13.863018</v>
      </c>
      <c r="DP52">
        <v>7.1161180000000002</v>
      </c>
      <c r="DQ52" t="s">
        <v>282</v>
      </c>
      <c r="DR52">
        <v>8.5012830000000008</v>
      </c>
      <c r="DS52">
        <v>20.14714</v>
      </c>
      <c r="DT52">
        <v>49.627557000000003</v>
      </c>
      <c r="DU52">
        <v>73.336168999999998</v>
      </c>
      <c r="DV52">
        <v>119.454474</v>
      </c>
      <c r="DW52" t="s">
        <v>283</v>
      </c>
      <c r="DX52" t="s">
        <v>273</v>
      </c>
      <c r="DY52">
        <v>26.978477999999999</v>
      </c>
      <c r="DZ52">
        <v>7.3512999999999995E-2</v>
      </c>
      <c r="EA52">
        <v>1.578457</v>
      </c>
      <c r="EB52">
        <v>1.30202</v>
      </c>
      <c r="EC52">
        <v>82.486874999999998</v>
      </c>
      <c r="ED52">
        <v>21.963683</v>
      </c>
      <c r="EE52">
        <v>797.75727700000004</v>
      </c>
      <c r="EF52">
        <v>9.0708680000000008</v>
      </c>
      <c r="EG52">
        <v>33</v>
      </c>
      <c r="EH52">
        <v>33</v>
      </c>
      <c r="EI52">
        <v>29</v>
      </c>
      <c r="EJ52">
        <v>31</v>
      </c>
      <c r="EK52" t="s">
        <v>273</v>
      </c>
      <c r="EL52" t="s">
        <v>273</v>
      </c>
      <c r="EM52">
        <v>27.739125000000001</v>
      </c>
      <c r="EN52">
        <v>4.2618000000000003E-2</v>
      </c>
      <c r="EO52">
        <v>1.643092</v>
      </c>
      <c r="EP52">
        <v>1.285026</v>
      </c>
      <c r="EQ52">
        <v>78.207814999999997</v>
      </c>
      <c r="ER52">
        <v>21.306456000000001</v>
      </c>
      <c r="ES52">
        <v>728.85989400000005</v>
      </c>
      <c r="ET52">
        <v>5.2586469999999998</v>
      </c>
      <c r="EU52">
        <v>29</v>
      </c>
      <c r="EV52">
        <v>29</v>
      </c>
      <c r="EW52">
        <v>27</v>
      </c>
      <c r="EX52">
        <v>29</v>
      </c>
      <c r="EY52" t="s">
        <v>273</v>
      </c>
      <c r="EZ52" t="s">
        <v>273</v>
      </c>
      <c r="FA52">
        <v>31.173767999999999</v>
      </c>
      <c r="FB52">
        <v>7.4234999999999995E-2</v>
      </c>
      <c r="FC52">
        <v>1.5781259999999999</v>
      </c>
      <c r="FD52">
        <v>1.301903</v>
      </c>
      <c r="FE52">
        <v>82.496751000000003</v>
      </c>
      <c r="FF52">
        <v>25.381986999999999</v>
      </c>
      <c r="FG52">
        <v>797.80242999999996</v>
      </c>
      <c r="FH52">
        <v>9.1599979999999999</v>
      </c>
      <c r="FI52">
        <v>33</v>
      </c>
      <c r="FJ52">
        <v>33</v>
      </c>
      <c r="FK52">
        <v>29</v>
      </c>
      <c r="FL52">
        <v>31</v>
      </c>
      <c r="FM52" t="s">
        <v>273</v>
      </c>
      <c r="FN52" t="s">
        <v>273</v>
      </c>
      <c r="FO52">
        <v>32.389175999999999</v>
      </c>
      <c r="FP52">
        <v>0.121652</v>
      </c>
      <c r="FQ52">
        <v>3.6959810000000002</v>
      </c>
      <c r="FR52">
        <v>3.2051150000000002</v>
      </c>
      <c r="FS52">
        <v>86.718907999999999</v>
      </c>
      <c r="FT52">
        <v>27.953164999999998</v>
      </c>
      <c r="FU52">
        <v>695.03327899999999</v>
      </c>
      <c r="FV52">
        <v>15.010737000000001</v>
      </c>
      <c r="FW52">
        <v>37</v>
      </c>
      <c r="FX52">
        <v>37</v>
      </c>
      <c r="FY52">
        <v>37</v>
      </c>
      <c r="FZ52">
        <v>34</v>
      </c>
      <c r="GA52" t="s">
        <v>273</v>
      </c>
      <c r="GB52" t="s">
        <v>273</v>
      </c>
      <c r="GC52">
        <v>30.732557</v>
      </c>
      <c r="GD52">
        <v>0.14196</v>
      </c>
      <c r="GE52">
        <v>1.4487559999999999</v>
      </c>
      <c r="GF52">
        <v>1.172444</v>
      </c>
      <c r="GG52">
        <v>80.927676000000005</v>
      </c>
      <c r="GH52">
        <v>24.255761</v>
      </c>
      <c r="GI52">
        <v>1436.3535529999999</v>
      </c>
      <c r="GJ52">
        <v>17.516649000000001</v>
      </c>
      <c r="GK52">
        <v>26</v>
      </c>
      <c r="GL52">
        <v>26</v>
      </c>
      <c r="GM52">
        <v>16</v>
      </c>
      <c r="GN52">
        <v>25</v>
      </c>
      <c r="GO52" t="s">
        <v>273</v>
      </c>
      <c r="GP52" t="s">
        <v>273</v>
      </c>
      <c r="GQ52">
        <v>32.461829000000002</v>
      </c>
      <c r="GR52">
        <v>0.19759099999999999</v>
      </c>
      <c r="GS52">
        <v>2.8765909999999999</v>
      </c>
      <c r="GT52">
        <v>2.4909309999999998</v>
      </c>
      <c r="GU52">
        <v>86.593151000000006</v>
      </c>
      <c r="GV52">
        <v>27.895579000000001</v>
      </c>
      <c r="GW52">
        <v>886.77343399999995</v>
      </c>
      <c r="GX52">
        <v>24.380939999999999</v>
      </c>
      <c r="GY52">
        <v>60</v>
      </c>
      <c r="GZ52">
        <v>60</v>
      </c>
      <c r="HA52">
        <v>41</v>
      </c>
      <c r="HB52">
        <v>41</v>
      </c>
      <c r="HC52" t="s">
        <v>273</v>
      </c>
      <c r="HD52" t="s">
        <v>273</v>
      </c>
      <c r="HE52">
        <v>31</v>
      </c>
      <c r="HF52">
        <v>1E-3</v>
      </c>
      <c r="HG52">
        <v>5.0000000000000001E-3</v>
      </c>
      <c r="HH52">
        <v>3.2258000000000002E-2</v>
      </c>
      <c r="HI52">
        <v>5250</v>
      </c>
    </row>
    <row r="53" spans="1:217" x14ac:dyDescent="0.3">
      <c r="A53">
        <v>396</v>
      </c>
      <c r="B53" t="s">
        <v>269</v>
      </c>
      <c r="F53" t="s">
        <v>270</v>
      </c>
      <c r="G53" t="s">
        <v>271</v>
      </c>
      <c r="H53" t="s">
        <v>272</v>
      </c>
      <c r="I53">
        <v>6500</v>
      </c>
      <c r="J53">
        <v>1</v>
      </c>
      <c r="K53">
        <v>108.41875</v>
      </c>
      <c r="L53">
        <v>0.22</v>
      </c>
      <c r="M53">
        <v>2.2641000000000001E-2</v>
      </c>
      <c r="N53">
        <v>0</v>
      </c>
      <c r="O53">
        <v>0</v>
      </c>
      <c r="P53">
        <v>0</v>
      </c>
      <c r="Q53">
        <v>23.47</v>
      </c>
      <c r="R53">
        <v>1</v>
      </c>
      <c r="S53">
        <v>1</v>
      </c>
      <c r="T53">
        <v>1</v>
      </c>
      <c r="U53">
        <v>1</v>
      </c>
      <c r="V53">
        <v>100</v>
      </c>
      <c r="W53" t="s">
        <v>273</v>
      </c>
      <c r="X53" t="s">
        <v>274</v>
      </c>
      <c r="Y53" t="s">
        <v>274</v>
      </c>
      <c r="Z53" t="s">
        <v>273</v>
      </c>
      <c r="AA53" t="s">
        <v>275</v>
      </c>
      <c r="AB53" t="s">
        <v>276</v>
      </c>
      <c r="AC53">
        <v>329</v>
      </c>
      <c r="AD53">
        <v>5</v>
      </c>
      <c r="AE53" t="s">
        <v>277</v>
      </c>
      <c r="AF53">
        <v>3.166026</v>
      </c>
      <c r="AG53">
        <v>100</v>
      </c>
      <c r="AH53">
        <v>28.5</v>
      </c>
      <c r="AI53">
        <v>1710</v>
      </c>
      <c r="AJ53">
        <v>800</v>
      </c>
      <c r="AK53">
        <v>1200</v>
      </c>
      <c r="AL53">
        <v>179.2</v>
      </c>
      <c r="AM53">
        <v>2.2000000000000002</v>
      </c>
      <c r="AN53" t="s">
        <v>273</v>
      </c>
      <c r="AO53" t="s">
        <v>278</v>
      </c>
      <c r="AP53" t="s">
        <v>286</v>
      </c>
      <c r="AQ53">
        <v>2.8</v>
      </c>
      <c r="AR53">
        <v>4</v>
      </c>
      <c r="AS53">
        <v>157.19999999999999</v>
      </c>
      <c r="AT53">
        <v>286</v>
      </c>
      <c r="AU53">
        <v>0.16279199999999999</v>
      </c>
      <c r="AV53">
        <v>36.9</v>
      </c>
      <c r="AW53">
        <v>233.8</v>
      </c>
      <c r="AX53" t="s">
        <v>280</v>
      </c>
      <c r="AY53">
        <v>0</v>
      </c>
      <c r="AZ53" t="s">
        <v>281</v>
      </c>
      <c r="BA53">
        <v>0.2</v>
      </c>
      <c r="BB53">
        <v>0.5</v>
      </c>
      <c r="BC53" t="s">
        <v>273</v>
      </c>
      <c r="BD53" t="s">
        <v>273</v>
      </c>
      <c r="BE53">
        <v>17.856231999999999</v>
      </c>
      <c r="BF53">
        <v>18.061836</v>
      </c>
      <c r="BG53">
        <v>479.74630500000001</v>
      </c>
      <c r="BH53" t="s">
        <v>273</v>
      </c>
      <c r="BI53">
        <v>24.135864999999999</v>
      </c>
      <c r="BJ53">
        <v>24.413775999999999</v>
      </c>
      <c r="BK53">
        <v>354.92663099999999</v>
      </c>
      <c r="BL53" t="s">
        <v>273</v>
      </c>
      <c r="BM53">
        <v>24.136673999999999</v>
      </c>
      <c r="BN53">
        <v>24.414594000000001</v>
      </c>
      <c r="BO53">
        <v>354.91474099999999</v>
      </c>
      <c r="BP53" t="s">
        <v>273</v>
      </c>
      <c r="BQ53">
        <v>15.790431</v>
      </c>
      <c r="BR53">
        <v>15.972248</v>
      </c>
      <c r="BS53">
        <v>542.50966900000003</v>
      </c>
      <c r="BT53" t="s">
        <v>273</v>
      </c>
      <c r="BU53">
        <v>7.3244920000000002</v>
      </c>
      <c r="BV53">
        <v>7.4088289999999999</v>
      </c>
      <c r="BW53">
        <v>1169.563901</v>
      </c>
      <c r="BX53" t="s">
        <v>273</v>
      </c>
      <c r="BY53">
        <v>16.652985999999999</v>
      </c>
      <c r="BZ53">
        <v>17.691672000000001</v>
      </c>
      <c r="CA53">
        <v>19.242768999999999</v>
      </c>
      <c r="CB53">
        <v>24.136673999999999</v>
      </c>
      <c r="CC53">
        <v>10.130466999999999</v>
      </c>
      <c r="CD53">
        <v>18.789714</v>
      </c>
      <c r="CE53" t="s">
        <v>273</v>
      </c>
      <c r="CF53">
        <v>16.844735</v>
      </c>
      <c r="CG53">
        <v>17.895381</v>
      </c>
      <c r="CH53">
        <v>19.464338999999999</v>
      </c>
      <c r="CI53">
        <v>24.414594000000001</v>
      </c>
      <c r="CJ53">
        <v>10.247114</v>
      </c>
      <c r="CK53">
        <v>19.006067000000002</v>
      </c>
      <c r="CL53" t="s">
        <v>273</v>
      </c>
      <c r="CM53">
        <v>514.40993700000001</v>
      </c>
      <c r="CN53">
        <v>484.20869499999998</v>
      </c>
      <c r="CO53">
        <v>445.17819300000002</v>
      </c>
      <c r="CP53">
        <v>354.91474099999999</v>
      </c>
      <c r="CQ53">
        <v>845.61363600000004</v>
      </c>
      <c r="CR53">
        <v>455.91226399999999</v>
      </c>
      <c r="CS53" t="s">
        <v>273</v>
      </c>
      <c r="CT53">
        <v>611.60922400000004</v>
      </c>
      <c r="CU53">
        <v>618.83043399999997</v>
      </c>
      <c r="CV53">
        <v>529.21468300000004</v>
      </c>
      <c r="CW53">
        <v>1201.9634470000001</v>
      </c>
      <c r="CX53">
        <v>497.08199200000001</v>
      </c>
      <c r="CY53">
        <v>938.04585499999996</v>
      </c>
      <c r="CZ53" t="s">
        <v>273</v>
      </c>
      <c r="DA53">
        <v>3.6041750000000001</v>
      </c>
      <c r="DB53">
        <v>510.01</v>
      </c>
      <c r="DC53">
        <v>3.8741840000000001</v>
      </c>
      <c r="DD53">
        <v>864</v>
      </c>
      <c r="DE53">
        <v>3.603621</v>
      </c>
      <c r="DF53">
        <v>505</v>
      </c>
      <c r="DG53">
        <v>10.266168</v>
      </c>
      <c r="DH53">
        <v>765</v>
      </c>
      <c r="DI53">
        <v>1.781957</v>
      </c>
      <c r="DJ53">
        <v>235</v>
      </c>
      <c r="DK53">
        <v>6.2371179999999997</v>
      </c>
      <c r="DL53">
        <v>365</v>
      </c>
      <c r="DM53" t="s">
        <v>273</v>
      </c>
      <c r="DN53">
        <v>5.1952800000000003</v>
      </c>
      <c r="DO53">
        <v>13.580417000000001</v>
      </c>
      <c r="DP53">
        <v>6.8233629999999996</v>
      </c>
      <c r="DQ53" t="s">
        <v>282</v>
      </c>
      <c r="DR53">
        <v>8.1109410000000004</v>
      </c>
      <c r="DS53">
        <v>19.988053000000001</v>
      </c>
      <c r="DT53">
        <v>48.502775</v>
      </c>
      <c r="DU53">
        <v>74.120299000000003</v>
      </c>
      <c r="DV53">
        <v>120.42272</v>
      </c>
      <c r="DW53" t="s">
        <v>283</v>
      </c>
      <c r="DX53" t="s">
        <v>273</v>
      </c>
      <c r="DY53">
        <v>27.49924</v>
      </c>
      <c r="DZ53">
        <v>7.1427000000000004E-2</v>
      </c>
      <c r="EA53">
        <v>1.9522409999999999</v>
      </c>
      <c r="EB53">
        <v>1.611839</v>
      </c>
      <c r="EC53">
        <v>82.563543999999993</v>
      </c>
      <c r="ED53">
        <v>22.403831</v>
      </c>
      <c r="EE53">
        <v>987.15994999999998</v>
      </c>
      <c r="EF53">
        <v>11.226995000000001</v>
      </c>
      <c r="EG53">
        <v>32</v>
      </c>
      <c r="EH53">
        <v>32</v>
      </c>
      <c r="EI53">
        <v>29</v>
      </c>
      <c r="EJ53">
        <v>32</v>
      </c>
      <c r="EK53" t="s">
        <v>273</v>
      </c>
      <c r="EL53" t="s">
        <v>273</v>
      </c>
      <c r="EM53">
        <v>28.353715999999999</v>
      </c>
      <c r="EN53">
        <v>4.1413999999999999E-2</v>
      </c>
      <c r="EO53">
        <v>2.0366680000000001</v>
      </c>
      <c r="EP53">
        <v>1.591329</v>
      </c>
      <c r="EQ53">
        <v>78.133921000000001</v>
      </c>
      <c r="ER53">
        <v>21.74953</v>
      </c>
      <c r="ES53">
        <v>902.06613200000004</v>
      </c>
      <c r="ET53">
        <v>6.5095919999999996</v>
      </c>
      <c r="EU53">
        <v>29</v>
      </c>
      <c r="EV53">
        <v>29</v>
      </c>
      <c r="EW53">
        <v>27</v>
      </c>
      <c r="EX53">
        <v>29</v>
      </c>
      <c r="EY53" t="s">
        <v>273</v>
      </c>
      <c r="EZ53" t="s">
        <v>273</v>
      </c>
      <c r="FA53">
        <v>31.773239</v>
      </c>
      <c r="FB53">
        <v>7.2127999999999998E-2</v>
      </c>
      <c r="FC53">
        <v>1.9517850000000001</v>
      </c>
      <c r="FD53">
        <v>1.611694</v>
      </c>
      <c r="FE53">
        <v>82.575387000000006</v>
      </c>
      <c r="FF53">
        <v>25.889392999999998</v>
      </c>
      <c r="FG53">
        <v>987.21841800000004</v>
      </c>
      <c r="FH53">
        <v>11.337306999999999</v>
      </c>
      <c r="FI53">
        <v>32</v>
      </c>
      <c r="FJ53">
        <v>32</v>
      </c>
      <c r="FK53">
        <v>29</v>
      </c>
      <c r="FL53">
        <v>32</v>
      </c>
      <c r="FM53" t="s">
        <v>273</v>
      </c>
      <c r="FN53" t="s">
        <v>273</v>
      </c>
      <c r="FO53">
        <v>32.799548000000001</v>
      </c>
      <c r="FP53">
        <v>0.118154</v>
      </c>
      <c r="FQ53">
        <v>4.5761240000000001</v>
      </c>
      <c r="FR53">
        <v>3.965592</v>
      </c>
      <c r="FS53">
        <v>86.658310999999998</v>
      </c>
      <c r="FT53">
        <v>28.286681999999999</v>
      </c>
      <c r="FU53">
        <v>859.91873699999996</v>
      </c>
      <c r="FV53">
        <v>18.571767000000001</v>
      </c>
      <c r="FW53">
        <v>38</v>
      </c>
      <c r="FX53">
        <v>38</v>
      </c>
      <c r="FY53">
        <v>38</v>
      </c>
      <c r="FZ53">
        <v>34</v>
      </c>
      <c r="GA53" t="s">
        <v>273</v>
      </c>
      <c r="GB53" t="s">
        <v>273</v>
      </c>
      <c r="GC53">
        <v>31.149076999999998</v>
      </c>
      <c r="GD53">
        <v>0.13801099999999999</v>
      </c>
      <c r="GE53">
        <v>1.797264</v>
      </c>
      <c r="GF53">
        <v>1.4519979999999999</v>
      </c>
      <c r="GG53">
        <v>80.789331000000004</v>
      </c>
      <c r="GH53">
        <v>24.542065000000001</v>
      </c>
      <c r="GI53">
        <v>1777.6199770000001</v>
      </c>
      <c r="GJ53">
        <v>21.692875999999998</v>
      </c>
      <c r="GK53">
        <v>25</v>
      </c>
      <c r="GL53">
        <v>25</v>
      </c>
      <c r="GM53">
        <v>16</v>
      </c>
      <c r="GN53">
        <v>24</v>
      </c>
      <c r="GO53" t="s">
        <v>273</v>
      </c>
      <c r="GP53" t="s">
        <v>273</v>
      </c>
      <c r="GQ53">
        <v>32.758194000000003</v>
      </c>
      <c r="GR53">
        <v>0.19226299999999999</v>
      </c>
      <c r="GS53">
        <v>3.5668329999999999</v>
      </c>
      <c r="GT53">
        <v>3.08799</v>
      </c>
      <c r="GU53">
        <v>86.575120999999996</v>
      </c>
      <c r="GV53">
        <v>28.140117</v>
      </c>
      <c r="GW53">
        <v>1098.900842</v>
      </c>
      <c r="GX53">
        <v>30.220278</v>
      </c>
      <c r="GY53">
        <v>50</v>
      </c>
      <c r="GZ53">
        <v>50</v>
      </c>
      <c r="HA53">
        <v>43</v>
      </c>
      <c r="HB53">
        <v>42</v>
      </c>
      <c r="HC53" t="s">
        <v>273</v>
      </c>
      <c r="HD53" t="s">
        <v>273</v>
      </c>
      <c r="HE53">
        <v>31</v>
      </c>
      <c r="HF53">
        <v>1E-3</v>
      </c>
      <c r="HG53">
        <v>5.0000000000000001E-3</v>
      </c>
      <c r="HH53">
        <v>3.2258000000000002E-2</v>
      </c>
      <c r="HI53">
        <v>6500</v>
      </c>
    </row>
    <row r="54" spans="1:217" x14ac:dyDescent="0.3">
      <c r="A54">
        <v>411</v>
      </c>
      <c r="B54" t="s">
        <v>269</v>
      </c>
      <c r="F54" t="s">
        <v>270</v>
      </c>
      <c r="G54" t="s">
        <v>271</v>
      </c>
      <c r="H54" t="s">
        <v>272</v>
      </c>
      <c r="I54">
        <v>3750</v>
      </c>
      <c r="J54">
        <v>1</v>
      </c>
      <c r="K54">
        <v>56.758594000000002</v>
      </c>
      <c r="L54">
        <v>0.22</v>
      </c>
      <c r="M54">
        <v>2.2884999999999999E-2</v>
      </c>
      <c r="N54">
        <v>0</v>
      </c>
      <c r="O54">
        <v>0</v>
      </c>
      <c r="P54">
        <v>0</v>
      </c>
      <c r="Q54">
        <v>16.66</v>
      </c>
      <c r="R54">
        <v>1</v>
      </c>
      <c r="S54">
        <v>1</v>
      </c>
      <c r="T54">
        <v>1</v>
      </c>
      <c r="U54">
        <v>1</v>
      </c>
      <c r="V54">
        <v>100</v>
      </c>
      <c r="W54" t="s">
        <v>273</v>
      </c>
      <c r="X54" t="s">
        <v>274</v>
      </c>
      <c r="Y54" t="s">
        <v>274</v>
      </c>
      <c r="Z54" t="s">
        <v>273</v>
      </c>
      <c r="AA54" t="s">
        <v>275</v>
      </c>
      <c r="AB54" t="s">
        <v>276</v>
      </c>
      <c r="AC54">
        <v>329</v>
      </c>
      <c r="AD54">
        <v>5</v>
      </c>
      <c r="AE54" t="s">
        <v>277</v>
      </c>
      <c r="AF54">
        <v>3.166026</v>
      </c>
      <c r="AG54">
        <v>100</v>
      </c>
      <c r="AH54">
        <v>28.5</v>
      </c>
      <c r="AI54">
        <v>1710</v>
      </c>
      <c r="AJ54">
        <v>800</v>
      </c>
      <c r="AK54">
        <v>1200</v>
      </c>
      <c r="AL54">
        <v>179.2</v>
      </c>
      <c r="AM54">
        <v>2.2000000000000002</v>
      </c>
      <c r="AN54" t="s">
        <v>273</v>
      </c>
      <c r="AO54" t="s">
        <v>278</v>
      </c>
      <c r="AP54" t="s">
        <v>286</v>
      </c>
      <c r="AQ54">
        <v>2.8</v>
      </c>
      <c r="AR54">
        <v>4</v>
      </c>
      <c r="AS54">
        <v>157.19999999999999</v>
      </c>
      <c r="AT54">
        <v>286</v>
      </c>
      <c r="AU54">
        <v>0.16279199999999999</v>
      </c>
      <c r="AV54">
        <v>36.9</v>
      </c>
      <c r="AW54">
        <v>233.8</v>
      </c>
      <c r="AX54" t="s">
        <v>280</v>
      </c>
      <c r="AY54">
        <v>0</v>
      </c>
      <c r="AZ54" t="s">
        <v>281</v>
      </c>
      <c r="BA54">
        <v>0.2</v>
      </c>
      <c r="BB54">
        <v>0.5</v>
      </c>
      <c r="BC54" t="s">
        <v>273</v>
      </c>
      <c r="BD54" t="s">
        <v>273</v>
      </c>
      <c r="BE54">
        <v>26.323408000000001</v>
      </c>
      <c r="BF54">
        <v>26.626507</v>
      </c>
      <c r="BG54">
        <v>325.43131399999999</v>
      </c>
      <c r="BH54" t="s">
        <v>273</v>
      </c>
      <c r="BI54">
        <v>34.071570000000001</v>
      </c>
      <c r="BJ54">
        <v>34.463884</v>
      </c>
      <c r="BK54">
        <v>251.42549500000001</v>
      </c>
      <c r="BL54" t="s">
        <v>273</v>
      </c>
      <c r="BM54">
        <v>34.073402000000002</v>
      </c>
      <c r="BN54">
        <v>34.465736999999997</v>
      </c>
      <c r="BO54">
        <v>251.411978</v>
      </c>
      <c r="BP54" t="s">
        <v>273</v>
      </c>
      <c r="BQ54">
        <v>23.178345</v>
      </c>
      <c r="BR54">
        <v>23.445231</v>
      </c>
      <c r="BS54">
        <v>369.58899200000002</v>
      </c>
      <c r="BT54" t="s">
        <v>273</v>
      </c>
      <c r="BU54">
        <v>8.4469340000000006</v>
      </c>
      <c r="BV54">
        <v>8.5441959999999995</v>
      </c>
      <c r="BW54">
        <v>1014.150381</v>
      </c>
      <c r="BX54" t="s">
        <v>273</v>
      </c>
      <c r="BY54">
        <v>24.695806999999999</v>
      </c>
      <c r="BZ54">
        <v>25.909693000000001</v>
      </c>
      <c r="CA54">
        <v>28.608609000000001</v>
      </c>
      <c r="CB54">
        <v>34.073402000000002</v>
      </c>
      <c r="CC54">
        <v>16.827777999999999</v>
      </c>
      <c r="CD54">
        <v>26.000437000000002</v>
      </c>
      <c r="CE54" t="s">
        <v>273</v>
      </c>
      <c r="CF54">
        <v>24.980165</v>
      </c>
      <c r="CG54">
        <v>26.208027999999999</v>
      </c>
      <c r="CH54">
        <v>28.938020999999999</v>
      </c>
      <c r="CI54">
        <v>34.465736999999997</v>
      </c>
      <c r="CJ54">
        <v>17.021540000000002</v>
      </c>
      <c r="CK54">
        <v>26.299817000000001</v>
      </c>
      <c r="CL54" t="s">
        <v>273</v>
      </c>
      <c r="CM54">
        <v>346.87917800000002</v>
      </c>
      <c r="CN54">
        <v>330.62766800000003</v>
      </c>
      <c r="CO54">
        <v>299.43648300000001</v>
      </c>
      <c r="CP54">
        <v>251.411978</v>
      </c>
      <c r="CQ54">
        <v>509.06670300000002</v>
      </c>
      <c r="CR54">
        <v>329.47374500000001</v>
      </c>
      <c r="CS54" t="s">
        <v>273</v>
      </c>
      <c r="CT54">
        <v>412.91378300000002</v>
      </c>
      <c r="CU54">
        <v>423.61733800000002</v>
      </c>
      <c r="CV54">
        <v>356.38624800000002</v>
      </c>
      <c r="CW54">
        <v>851.56795099999999</v>
      </c>
      <c r="CX54">
        <v>301.594831</v>
      </c>
      <c r="CY54">
        <v>678.680474</v>
      </c>
      <c r="CZ54" t="s">
        <v>273</v>
      </c>
      <c r="DA54">
        <v>3.608463</v>
      </c>
      <c r="DB54">
        <v>510.01</v>
      </c>
      <c r="DC54">
        <v>3.8839679999999999</v>
      </c>
      <c r="DD54">
        <v>864</v>
      </c>
      <c r="DE54">
        <v>3.6079240000000001</v>
      </c>
      <c r="DF54">
        <v>505</v>
      </c>
      <c r="DG54">
        <v>10.267730999999999</v>
      </c>
      <c r="DH54">
        <v>765</v>
      </c>
      <c r="DI54">
        <v>1.7959339999999999</v>
      </c>
      <c r="DJ54">
        <v>235</v>
      </c>
      <c r="DK54">
        <v>6.2443280000000003</v>
      </c>
      <c r="DL54">
        <v>365</v>
      </c>
      <c r="DM54" t="s">
        <v>273</v>
      </c>
      <c r="DN54">
        <v>3.5055900000000002</v>
      </c>
      <c r="DO54">
        <v>8.0153809999999996</v>
      </c>
      <c r="DP54">
        <v>4.095072</v>
      </c>
      <c r="DQ54" t="s">
        <v>282</v>
      </c>
      <c r="DR54">
        <v>4.7343039999999998</v>
      </c>
      <c r="DS54">
        <v>16.421869000000001</v>
      </c>
      <c r="DT54">
        <v>33.266624999999998</v>
      </c>
      <c r="DU54">
        <v>89.053976000000006</v>
      </c>
      <c r="DV54">
        <v>132.89334199999999</v>
      </c>
      <c r="DW54" t="s">
        <v>283</v>
      </c>
      <c r="DX54" t="s">
        <v>273</v>
      </c>
      <c r="DY54">
        <v>25.387637000000002</v>
      </c>
      <c r="DZ54">
        <v>4.5303000000000003E-2</v>
      </c>
      <c r="EA54">
        <v>1.2168030000000001</v>
      </c>
      <c r="EB54">
        <v>1.023247</v>
      </c>
      <c r="EC54">
        <v>84.093045000000004</v>
      </c>
      <c r="ED54">
        <v>21.047865000000002</v>
      </c>
      <c r="EE54">
        <v>625.37713499999995</v>
      </c>
      <c r="EF54">
        <v>7.1208929999999997</v>
      </c>
      <c r="EG54">
        <v>27</v>
      </c>
      <c r="EH54">
        <v>27</v>
      </c>
      <c r="EI54">
        <v>22</v>
      </c>
      <c r="EJ54">
        <v>25</v>
      </c>
      <c r="EK54" t="s">
        <v>273</v>
      </c>
      <c r="EL54" t="s">
        <v>273</v>
      </c>
      <c r="EM54">
        <v>24.089680000000001</v>
      </c>
      <c r="EN54">
        <v>2.4288000000000001E-2</v>
      </c>
      <c r="EO54">
        <v>1.184523</v>
      </c>
      <c r="EP54">
        <v>0.93752500000000005</v>
      </c>
      <c r="EQ54">
        <v>79.147925999999998</v>
      </c>
      <c r="ER54">
        <v>18.633678</v>
      </c>
      <c r="ES54">
        <v>527.70653000000004</v>
      </c>
      <c r="ET54">
        <v>3.8177129999999999</v>
      </c>
      <c r="EU54">
        <v>27</v>
      </c>
      <c r="EV54">
        <v>27</v>
      </c>
      <c r="EW54">
        <v>27</v>
      </c>
      <c r="EX54">
        <v>27</v>
      </c>
      <c r="EY54" t="s">
        <v>273</v>
      </c>
      <c r="EZ54" t="s">
        <v>273</v>
      </c>
      <c r="FA54">
        <v>29.398917000000001</v>
      </c>
      <c r="FB54">
        <v>4.5748999999999998E-2</v>
      </c>
      <c r="FC54">
        <v>1.216161</v>
      </c>
      <c r="FD54">
        <v>1.023174</v>
      </c>
      <c r="FE54">
        <v>84.131495999999999</v>
      </c>
      <c r="FF54">
        <v>24.384333000000002</v>
      </c>
      <c r="FG54">
        <v>625.42123000000004</v>
      </c>
      <c r="FH54">
        <v>7.1909700000000001</v>
      </c>
      <c r="FI54">
        <v>27</v>
      </c>
      <c r="FJ54">
        <v>27</v>
      </c>
      <c r="FK54">
        <v>22</v>
      </c>
      <c r="FL54">
        <v>25</v>
      </c>
      <c r="FM54" t="s">
        <v>273</v>
      </c>
      <c r="FN54" t="s">
        <v>273</v>
      </c>
      <c r="FO54">
        <v>31.830676</v>
      </c>
      <c r="FP54">
        <v>8.2471000000000003E-2</v>
      </c>
      <c r="FQ54">
        <v>3.1463269999999999</v>
      </c>
      <c r="FR54">
        <v>2.7685550000000001</v>
      </c>
      <c r="FS54">
        <v>87.993230999999994</v>
      </c>
      <c r="FT54">
        <v>27.868092999999998</v>
      </c>
      <c r="FU54">
        <v>600.128871</v>
      </c>
      <c r="FV54">
        <v>12.963028</v>
      </c>
      <c r="FW54">
        <v>15</v>
      </c>
      <c r="FX54">
        <v>15</v>
      </c>
      <c r="FY54">
        <v>15</v>
      </c>
      <c r="FZ54">
        <v>15</v>
      </c>
      <c r="GA54" t="s">
        <v>273</v>
      </c>
      <c r="GB54" t="s">
        <v>273</v>
      </c>
      <c r="GC54">
        <v>30.928932</v>
      </c>
      <c r="GD54">
        <v>8.4279999999999994E-2</v>
      </c>
      <c r="GE54">
        <v>1.082748</v>
      </c>
      <c r="GF54">
        <v>0.89087799999999995</v>
      </c>
      <c r="GG54">
        <v>82.279352000000003</v>
      </c>
      <c r="GH54">
        <v>24.701604</v>
      </c>
      <c r="GI54">
        <v>1077.1010140000001</v>
      </c>
      <c r="GJ54">
        <v>13.247313</v>
      </c>
      <c r="GK54">
        <v>26</v>
      </c>
      <c r="GL54">
        <v>26</v>
      </c>
      <c r="GM54">
        <v>15</v>
      </c>
      <c r="GN54">
        <v>23</v>
      </c>
      <c r="GO54" t="s">
        <v>273</v>
      </c>
      <c r="GP54" t="s">
        <v>273</v>
      </c>
      <c r="GQ54">
        <v>32.497114000000003</v>
      </c>
      <c r="GR54">
        <v>0.14219799999999999</v>
      </c>
      <c r="GS54">
        <v>2.5600520000000002</v>
      </c>
      <c r="GT54">
        <v>2.2826270000000002</v>
      </c>
      <c r="GU54">
        <v>89.163286999999997</v>
      </c>
      <c r="GV54">
        <v>28.766214000000002</v>
      </c>
      <c r="GW54">
        <v>811.81082800000001</v>
      </c>
      <c r="GX54">
        <v>22.350978999999999</v>
      </c>
      <c r="GY54">
        <v>56</v>
      </c>
      <c r="GZ54">
        <v>56</v>
      </c>
      <c r="HA54">
        <v>38</v>
      </c>
      <c r="HB54">
        <v>40</v>
      </c>
      <c r="HC54" t="s">
        <v>273</v>
      </c>
      <c r="HD54" t="s">
        <v>273</v>
      </c>
      <c r="HE54">
        <v>18</v>
      </c>
      <c r="HF54">
        <v>1E-3</v>
      </c>
      <c r="HG54">
        <v>6.4999999999999997E-3</v>
      </c>
      <c r="HH54">
        <v>5.5556000000000001E-2</v>
      </c>
      <c r="HI54">
        <v>3750</v>
      </c>
    </row>
    <row r="55" spans="1:217" x14ac:dyDescent="0.3">
      <c r="A55">
        <v>412</v>
      </c>
      <c r="B55" t="s">
        <v>269</v>
      </c>
      <c r="F55" t="s">
        <v>270</v>
      </c>
      <c r="G55" t="s">
        <v>271</v>
      </c>
      <c r="H55" t="s">
        <v>272</v>
      </c>
      <c r="I55">
        <v>3750</v>
      </c>
      <c r="J55">
        <v>1</v>
      </c>
      <c r="K55">
        <v>56.758594000000002</v>
      </c>
      <c r="L55">
        <v>0.22</v>
      </c>
      <c r="M55">
        <v>2.2884999999999999E-2</v>
      </c>
      <c r="N55">
        <v>0</v>
      </c>
      <c r="O55">
        <v>0</v>
      </c>
      <c r="P55">
        <v>0</v>
      </c>
      <c r="Q55">
        <v>16.66</v>
      </c>
      <c r="R55">
        <v>1</v>
      </c>
      <c r="S55">
        <v>1</v>
      </c>
      <c r="T55">
        <v>1</v>
      </c>
      <c r="U55">
        <v>1</v>
      </c>
      <c r="V55">
        <v>100</v>
      </c>
      <c r="W55" t="s">
        <v>273</v>
      </c>
      <c r="X55" t="s">
        <v>274</v>
      </c>
      <c r="Y55" t="s">
        <v>274</v>
      </c>
      <c r="Z55" t="s">
        <v>273</v>
      </c>
      <c r="AA55" t="s">
        <v>275</v>
      </c>
      <c r="AB55" t="s">
        <v>276</v>
      </c>
      <c r="AC55">
        <v>188</v>
      </c>
      <c r="AD55">
        <v>5</v>
      </c>
      <c r="AE55" t="s">
        <v>277</v>
      </c>
      <c r="AF55">
        <v>3.6103809999999998</v>
      </c>
      <c r="AG55">
        <v>100</v>
      </c>
      <c r="AH55">
        <v>32.5</v>
      </c>
      <c r="AI55">
        <v>1950</v>
      </c>
      <c r="AJ55">
        <v>800</v>
      </c>
      <c r="AK55">
        <v>1200</v>
      </c>
      <c r="AL55">
        <v>237.3</v>
      </c>
      <c r="AM55">
        <v>2.2000000000000002</v>
      </c>
      <c r="AN55" t="s">
        <v>273</v>
      </c>
      <c r="AO55" t="s">
        <v>278</v>
      </c>
      <c r="AP55" t="s">
        <v>287</v>
      </c>
      <c r="AQ55">
        <v>1.6</v>
      </c>
      <c r="AR55">
        <v>4</v>
      </c>
      <c r="AS55">
        <v>89.6</v>
      </c>
      <c r="AT55">
        <v>163.1</v>
      </c>
      <c r="AU55">
        <v>9.3023999999999996E-2</v>
      </c>
      <c r="AV55">
        <v>36</v>
      </c>
      <c r="AW55">
        <v>239.3</v>
      </c>
      <c r="AX55" t="s">
        <v>280</v>
      </c>
      <c r="AY55">
        <v>0</v>
      </c>
      <c r="AZ55" t="s">
        <v>281</v>
      </c>
      <c r="BA55">
        <v>0.2</v>
      </c>
      <c r="BB55">
        <v>0.5</v>
      </c>
      <c r="BC55" t="s">
        <v>273</v>
      </c>
      <c r="BD55" t="s">
        <v>273</v>
      </c>
      <c r="BE55">
        <v>28.224267999999999</v>
      </c>
      <c r="BF55">
        <v>28.549254000000001</v>
      </c>
      <c r="BG55">
        <v>303.51403199999999</v>
      </c>
      <c r="BH55" t="s">
        <v>273</v>
      </c>
      <c r="BI55">
        <v>34.148097</v>
      </c>
      <c r="BJ55">
        <v>34.541293000000003</v>
      </c>
      <c r="BK55">
        <v>250.862042</v>
      </c>
      <c r="BL55" t="s">
        <v>273</v>
      </c>
      <c r="BM55">
        <v>34.149517000000003</v>
      </c>
      <c r="BN55">
        <v>34.542729000000001</v>
      </c>
      <c r="BO55">
        <v>250.85161199999999</v>
      </c>
      <c r="BP55" t="s">
        <v>273</v>
      </c>
      <c r="BQ55">
        <v>22.46311</v>
      </c>
      <c r="BR55">
        <v>22.72176</v>
      </c>
      <c r="BS55">
        <v>381.35687000000001</v>
      </c>
      <c r="BT55" t="s">
        <v>273</v>
      </c>
      <c r="BU55">
        <v>11.801812</v>
      </c>
      <c r="BV55">
        <v>11.937703000000001</v>
      </c>
      <c r="BW55">
        <v>725.85981800000002</v>
      </c>
      <c r="BX55" t="s">
        <v>273</v>
      </c>
      <c r="BY55">
        <v>25.530514</v>
      </c>
      <c r="BZ55">
        <v>28.777424</v>
      </c>
      <c r="CA55">
        <v>29.502956999999999</v>
      </c>
      <c r="CB55">
        <v>34.149517000000003</v>
      </c>
      <c r="CC55">
        <v>16.287792</v>
      </c>
      <c r="CD55">
        <v>25.197275999999999</v>
      </c>
      <c r="CE55" t="s">
        <v>273</v>
      </c>
      <c r="CF55">
        <v>25.824483000000001</v>
      </c>
      <c r="CG55">
        <v>29.108779999999999</v>
      </c>
      <c r="CH55">
        <v>29.842666999999999</v>
      </c>
      <c r="CI55">
        <v>34.542729000000001</v>
      </c>
      <c r="CJ55">
        <v>16.475335999999999</v>
      </c>
      <c r="CK55">
        <v>25.487407999999999</v>
      </c>
      <c r="CL55" t="s">
        <v>273</v>
      </c>
      <c r="CM55">
        <v>335.53814699999998</v>
      </c>
      <c r="CN55">
        <v>297.67992199999998</v>
      </c>
      <c r="CO55">
        <v>290.35941300000002</v>
      </c>
      <c r="CP55">
        <v>250.85161199999999</v>
      </c>
      <c r="CQ55">
        <v>525.94369099999994</v>
      </c>
      <c r="CR55">
        <v>339.97568799999999</v>
      </c>
      <c r="CS55" t="s">
        <v>273</v>
      </c>
      <c r="CT55">
        <v>398.720911</v>
      </c>
      <c r="CU55">
        <v>380.31920000000002</v>
      </c>
      <c r="CV55">
        <v>344.97992199999999</v>
      </c>
      <c r="CW55">
        <v>849.50731299999995</v>
      </c>
      <c r="CX55">
        <v>309.63040000000001</v>
      </c>
      <c r="CY55">
        <v>699.32332599999995</v>
      </c>
      <c r="CZ55" t="s">
        <v>273</v>
      </c>
      <c r="DA55">
        <v>3.602204</v>
      </c>
      <c r="DB55">
        <v>510.01</v>
      </c>
      <c r="DC55">
        <v>3.872932</v>
      </c>
      <c r="DD55">
        <v>864</v>
      </c>
      <c r="DE55">
        <v>3.6016300000000001</v>
      </c>
      <c r="DF55">
        <v>505</v>
      </c>
      <c r="DG55">
        <v>10.265765999999999</v>
      </c>
      <c r="DH55">
        <v>765</v>
      </c>
      <c r="DI55">
        <v>1.784619</v>
      </c>
      <c r="DJ55">
        <v>235</v>
      </c>
      <c r="DK55">
        <v>6.2355</v>
      </c>
      <c r="DL55">
        <v>365</v>
      </c>
      <c r="DM55" t="s">
        <v>273</v>
      </c>
      <c r="DN55">
        <v>4.9239860000000002</v>
      </c>
      <c r="DO55">
        <v>13.181126000000001</v>
      </c>
      <c r="DP55">
        <v>6.3460409999999996</v>
      </c>
      <c r="DQ55" t="s">
        <v>282</v>
      </c>
      <c r="DR55">
        <v>11.430939</v>
      </c>
      <c r="DS55">
        <v>19.929193999999999</v>
      </c>
      <c r="DT55">
        <v>50.887298000000001</v>
      </c>
      <c r="DU55">
        <v>72.366592999999995</v>
      </c>
      <c r="DV55">
        <v>103.49939500000001</v>
      </c>
      <c r="DW55" t="s">
        <v>283</v>
      </c>
      <c r="DX55" t="s">
        <v>273</v>
      </c>
      <c r="DY55">
        <v>26.304288</v>
      </c>
      <c r="DZ55">
        <v>7.9409999999999994E-2</v>
      </c>
      <c r="EA55">
        <v>1.217403</v>
      </c>
      <c r="EB55">
        <v>1.0203</v>
      </c>
      <c r="EC55">
        <v>83.809533999999999</v>
      </c>
      <c r="ED55">
        <v>21.779388999999998</v>
      </c>
      <c r="EE55">
        <v>625.95598199999995</v>
      </c>
      <c r="EF55">
        <v>7.1151200000000001</v>
      </c>
      <c r="EG55">
        <v>36</v>
      </c>
      <c r="EH55">
        <v>36</v>
      </c>
      <c r="EI55">
        <v>30</v>
      </c>
      <c r="EJ55">
        <v>34</v>
      </c>
      <c r="EK55" t="s">
        <v>273</v>
      </c>
      <c r="EL55" t="s">
        <v>273</v>
      </c>
      <c r="EM55">
        <v>26.394853000000001</v>
      </c>
      <c r="EN55">
        <v>4.2548999999999997E-2</v>
      </c>
      <c r="EO55">
        <v>1.1652149999999999</v>
      </c>
      <c r="EP55">
        <v>0.93072999999999995</v>
      </c>
      <c r="EQ55">
        <v>79.876238000000001</v>
      </c>
      <c r="ER55">
        <v>20.726113999999999</v>
      </c>
      <c r="ES55">
        <v>528.47312799999997</v>
      </c>
      <c r="ET55">
        <v>3.812395</v>
      </c>
      <c r="EU55">
        <v>38</v>
      </c>
      <c r="EV55">
        <v>38</v>
      </c>
      <c r="EW55">
        <v>38</v>
      </c>
      <c r="EX55">
        <v>37</v>
      </c>
      <c r="EY55" t="s">
        <v>273</v>
      </c>
      <c r="EZ55" t="s">
        <v>273</v>
      </c>
      <c r="FA55">
        <v>30.392780999999999</v>
      </c>
      <c r="FB55">
        <v>8.0190999999999998E-2</v>
      </c>
      <c r="FC55">
        <v>1.2170350000000001</v>
      </c>
      <c r="FD55">
        <v>1.0202150000000001</v>
      </c>
      <c r="FE55">
        <v>83.827901999999995</v>
      </c>
      <c r="FF55">
        <v>25.169999000000001</v>
      </c>
      <c r="FG55">
        <v>626.00336500000003</v>
      </c>
      <c r="FH55">
        <v>7.1851070000000004</v>
      </c>
      <c r="FI55">
        <v>36</v>
      </c>
      <c r="FJ55">
        <v>36</v>
      </c>
      <c r="FK55">
        <v>30</v>
      </c>
      <c r="FL55">
        <v>34</v>
      </c>
      <c r="FM55" t="s">
        <v>273</v>
      </c>
      <c r="FN55" t="s">
        <v>273</v>
      </c>
      <c r="FO55">
        <v>32.021011999999999</v>
      </c>
      <c r="FP55">
        <v>0.14461499999999999</v>
      </c>
      <c r="FQ55">
        <v>3.1574819999999999</v>
      </c>
      <c r="FR55">
        <v>2.765911</v>
      </c>
      <c r="FS55">
        <v>87.598633000000007</v>
      </c>
      <c r="FT55">
        <v>27.923795999999999</v>
      </c>
      <c r="FU55">
        <v>599.98816099999999</v>
      </c>
      <c r="FV55">
        <v>12.957508000000001</v>
      </c>
      <c r="FW55">
        <v>32</v>
      </c>
      <c r="FX55">
        <v>32</v>
      </c>
      <c r="FY55">
        <v>32</v>
      </c>
      <c r="FZ55">
        <v>29</v>
      </c>
      <c r="GA55" t="s">
        <v>273</v>
      </c>
      <c r="GB55" t="s">
        <v>273</v>
      </c>
      <c r="GC55">
        <v>29.962859999999999</v>
      </c>
      <c r="GD55">
        <v>0.14758499999999999</v>
      </c>
      <c r="GE55">
        <v>1.0768759999999999</v>
      </c>
      <c r="GF55">
        <v>0.88441899999999996</v>
      </c>
      <c r="GG55">
        <v>82.128270000000001</v>
      </c>
      <c r="GH55">
        <v>24.017457</v>
      </c>
      <c r="GI55">
        <v>1081.9867469999999</v>
      </c>
      <c r="GJ55">
        <v>13.223561999999999</v>
      </c>
      <c r="GK55">
        <v>31</v>
      </c>
      <c r="GL55">
        <v>31</v>
      </c>
      <c r="GM55">
        <v>15</v>
      </c>
      <c r="GN55">
        <v>29</v>
      </c>
      <c r="GO55" t="s">
        <v>273</v>
      </c>
      <c r="GP55" t="s">
        <v>273</v>
      </c>
      <c r="GQ55">
        <v>32.115814999999998</v>
      </c>
      <c r="GR55">
        <v>0.24866199999999999</v>
      </c>
      <c r="GS55">
        <v>2.6069680000000002</v>
      </c>
      <c r="GT55">
        <v>2.2734130000000001</v>
      </c>
      <c r="GU55">
        <v>87.205260999999993</v>
      </c>
      <c r="GV55">
        <v>27.828596000000001</v>
      </c>
      <c r="GW55">
        <v>810.38342999999998</v>
      </c>
      <c r="GX55">
        <v>22.280137</v>
      </c>
      <c r="GY55">
        <v>50</v>
      </c>
      <c r="GZ55">
        <v>50</v>
      </c>
      <c r="HA55">
        <v>41</v>
      </c>
      <c r="HB55">
        <v>41</v>
      </c>
      <c r="HC55" t="s">
        <v>273</v>
      </c>
      <c r="HD55" t="s">
        <v>273</v>
      </c>
      <c r="HE55">
        <v>31</v>
      </c>
      <c r="HF55">
        <v>1E-3</v>
      </c>
      <c r="HG55">
        <v>6.4999999999999997E-3</v>
      </c>
      <c r="HH55">
        <v>3.2258000000000002E-2</v>
      </c>
      <c r="HI55">
        <v>3750</v>
      </c>
    </row>
    <row r="56" spans="1:217" x14ac:dyDescent="0.3">
      <c r="A56">
        <v>413</v>
      </c>
      <c r="B56" t="s">
        <v>269</v>
      </c>
      <c r="F56" t="s">
        <v>270</v>
      </c>
      <c r="G56" t="s">
        <v>288</v>
      </c>
      <c r="H56" t="s">
        <v>289</v>
      </c>
      <c r="I56">
        <v>5250</v>
      </c>
      <c r="J56">
        <v>1</v>
      </c>
      <c r="K56">
        <v>80.782031000000003</v>
      </c>
      <c r="L56">
        <v>0.22</v>
      </c>
      <c r="M56">
        <v>3.3139000000000002E-2</v>
      </c>
      <c r="N56">
        <v>0</v>
      </c>
      <c r="O56">
        <v>0</v>
      </c>
      <c r="P56">
        <v>0</v>
      </c>
      <c r="Q56">
        <v>23.28</v>
      </c>
      <c r="R56">
        <v>1</v>
      </c>
      <c r="S56">
        <v>1</v>
      </c>
      <c r="T56">
        <v>1</v>
      </c>
      <c r="U56">
        <v>1</v>
      </c>
      <c r="V56">
        <v>100</v>
      </c>
      <c r="W56" t="s">
        <v>273</v>
      </c>
      <c r="X56" t="s">
        <v>274</v>
      </c>
      <c r="Y56" t="s">
        <v>274</v>
      </c>
      <c r="Z56" t="s">
        <v>273</v>
      </c>
      <c r="AA56" t="s">
        <v>275</v>
      </c>
      <c r="AB56" t="s">
        <v>276</v>
      </c>
      <c r="AC56">
        <v>258</v>
      </c>
      <c r="AD56">
        <v>5</v>
      </c>
      <c r="AE56" t="s">
        <v>277</v>
      </c>
      <c r="AF56">
        <v>3.221571</v>
      </c>
      <c r="AG56">
        <v>100</v>
      </c>
      <c r="AH56">
        <v>29</v>
      </c>
      <c r="AI56">
        <v>1740</v>
      </c>
      <c r="AJ56">
        <v>800</v>
      </c>
      <c r="AK56">
        <v>1200</v>
      </c>
      <c r="AL56">
        <v>202.3</v>
      </c>
      <c r="AM56">
        <v>2.2000000000000002</v>
      </c>
      <c r="AN56" t="s">
        <v>273</v>
      </c>
      <c r="AO56" t="s">
        <v>278</v>
      </c>
      <c r="AP56" t="s">
        <v>285</v>
      </c>
      <c r="AQ56">
        <v>2.2000000000000002</v>
      </c>
      <c r="AR56">
        <v>4</v>
      </c>
      <c r="AS56">
        <v>123.4</v>
      </c>
      <c r="AT56">
        <v>224.5</v>
      </c>
      <c r="AU56">
        <v>0.12790799999999999</v>
      </c>
      <c r="AV56">
        <v>36.5</v>
      </c>
      <c r="AW56">
        <v>236.1</v>
      </c>
      <c r="AX56" t="s">
        <v>280</v>
      </c>
      <c r="AY56">
        <v>0</v>
      </c>
      <c r="AZ56" t="s">
        <v>281</v>
      </c>
      <c r="BA56">
        <v>0.2</v>
      </c>
      <c r="BB56">
        <v>0.5</v>
      </c>
      <c r="BC56" t="s">
        <v>273</v>
      </c>
      <c r="BD56" t="s">
        <v>273</v>
      </c>
      <c r="BE56">
        <v>20.702380999999999</v>
      </c>
      <c r="BF56">
        <v>20.940757000000001</v>
      </c>
      <c r="BG56">
        <v>413.79112199999997</v>
      </c>
      <c r="BH56" t="s">
        <v>273</v>
      </c>
      <c r="BI56">
        <v>24.744197</v>
      </c>
      <c r="BJ56">
        <v>25.029112000000001</v>
      </c>
      <c r="BK56">
        <v>346.20081800000003</v>
      </c>
      <c r="BL56" t="s">
        <v>273</v>
      </c>
      <c r="BM56">
        <v>24.744965000000001</v>
      </c>
      <c r="BN56">
        <v>25.029889000000001</v>
      </c>
      <c r="BO56">
        <v>346.19007399999998</v>
      </c>
      <c r="BP56" t="s">
        <v>273</v>
      </c>
      <c r="BQ56">
        <v>16.075868</v>
      </c>
      <c r="BR56">
        <v>16.260973</v>
      </c>
      <c r="BS56">
        <v>532.87704299999996</v>
      </c>
      <c r="BT56" t="s">
        <v>273</v>
      </c>
      <c r="BU56">
        <v>8.2005909999999993</v>
      </c>
      <c r="BV56">
        <v>8.2950169999999996</v>
      </c>
      <c r="BW56">
        <v>1044.6150660000001</v>
      </c>
      <c r="BX56" t="s">
        <v>273</v>
      </c>
      <c r="BY56">
        <v>18.625864</v>
      </c>
      <c r="BZ56">
        <v>21.224101000000001</v>
      </c>
      <c r="CA56">
        <v>21.514272999999999</v>
      </c>
      <c r="CB56">
        <v>24.744965000000001</v>
      </c>
      <c r="CC56">
        <v>11.800020999999999</v>
      </c>
      <c r="CD56">
        <v>17.927958</v>
      </c>
      <c r="CE56" t="s">
        <v>273</v>
      </c>
      <c r="CF56">
        <v>18.840330999999999</v>
      </c>
      <c r="CG56">
        <v>21.468485000000001</v>
      </c>
      <c r="CH56">
        <v>21.761997999999998</v>
      </c>
      <c r="CI56">
        <v>25.029889000000001</v>
      </c>
      <c r="CJ56">
        <v>11.935892000000001</v>
      </c>
      <c r="CK56">
        <v>18.134388999999999</v>
      </c>
      <c r="CL56" t="s">
        <v>273</v>
      </c>
      <c r="CM56">
        <v>459.922887</v>
      </c>
      <c r="CN56">
        <v>403.61950300000001</v>
      </c>
      <c r="CO56">
        <v>398.175725</v>
      </c>
      <c r="CP56">
        <v>346.19007399999998</v>
      </c>
      <c r="CQ56">
        <v>725.96999000000005</v>
      </c>
      <c r="CR56">
        <v>477.82692900000001</v>
      </c>
      <c r="CS56" t="s">
        <v>273</v>
      </c>
      <c r="CT56">
        <v>546.58822399999997</v>
      </c>
      <c r="CU56">
        <v>515.728207</v>
      </c>
      <c r="CV56">
        <v>473.13329900000002</v>
      </c>
      <c r="CW56">
        <v>1172.3112510000001</v>
      </c>
      <c r="CX56">
        <v>425.56051500000001</v>
      </c>
      <c r="CY56">
        <v>982.47490900000003</v>
      </c>
      <c r="CZ56" t="s">
        <v>273</v>
      </c>
      <c r="DA56">
        <v>3.6026030000000002</v>
      </c>
      <c r="DB56">
        <v>510.01</v>
      </c>
      <c r="DC56">
        <v>3.8733780000000002</v>
      </c>
      <c r="DD56">
        <v>864</v>
      </c>
      <c r="DE56">
        <v>3.6020509999999999</v>
      </c>
      <c r="DF56">
        <v>505</v>
      </c>
      <c r="DG56">
        <v>10.265248</v>
      </c>
      <c r="DH56">
        <v>765</v>
      </c>
      <c r="DI56">
        <v>1.776985</v>
      </c>
      <c r="DJ56">
        <v>235</v>
      </c>
      <c r="DK56">
        <v>6.232926</v>
      </c>
      <c r="DL56">
        <v>365</v>
      </c>
      <c r="DM56" t="s">
        <v>273</v>
      </c>
      <c r="DN56">
        <v>5.2476630000000002</v>
      </c>
      <c r="DO56">
        <v>14.186805</v>
      </c>
      <c r="DP56">
        <v>7.2752730000000003</v>
      </c>
      <c r="DQ56" t="s">
        <v>282</v>
      </c>
      <c r="DR56">
        <v>9.2183279999999996</v>
      </c>
      <c r="DS56">
        <v>20.298542999999999</v>
      </c>
      <c r="DT56">
        <v>50.978949</v>
      </c>
      <c r="DU56">
        <v>71.679331000000005</v>
      </c>
      <c r="DV56">
        <v>102.000298</v>
      </c>
      <c r="DW56" t="s">
        <v>283</v>
      </c>
      <c r="DX56" t="s">
        <v>273</v>
      </c>
      <c r="DY56">
        <v>27.284385</v>
      </c>
      <c r="DZ56">
        <v>8.0681000000000003E-2</v>
      </c>
      <c r="EA56">
        <v>1.7310639999999999</v>
      </c>
      <c r="EB56">
        <v>1.4273849999999999</v>
      </c>
      <c r="EC56">
        <v>82.457082999999997</v>
      </c>
      <c r="ED56">
        <v>22.229427999999999</v>
      </c>
      <c r="EE56">
        <v>875.72825999999998</v>
      </c>
      <c r="EF56">
        <v>9.9553370000000001</v>
      </c>
      <c r="EG56">
        <v>36</v>
      </c>
      <c r="EH56">
        <v>36</v>
      </c>
      <c r="EI56">
        <v>31</v>
      </c>
      <c r="EJ56">
        <v>33</v>
      </c>
      <c r="EK56" t="s">
        <v>273</v>
      </c>
      <c r="EL56" t="s">
        <v>273</v>
      </c>
      <c r="EM56">
        <v>27.82385</v>
      </c>
      <c r="EN56">
        <v>4.3242000000000003E-2</v>
      </c>
      <c r="EO56">
        <v>1.6656230000000001</v>
      </c>
      <c r="EP56">
        <v>1.303342</v>
      </c>
      <c r="EQ56">
        <v>78.249528999999995</v>
      </c>
      <c r="ER56">
        <v>21.391380999999999</v>
      </c>
      <c r="ES56">
        <v>739.54915200000005</v>
      </c>
      <c r="ET56">
        <v>5.3357080000000003</v>
      </c>
      <c r="EU56">
        <v>29</v>
      </c>
      <c r="EV56">
        <v>29</v>
      </c>
      <c r="EW56">
        <v>27</v>
      </c>
      <c r="EX56">
        <v>29</v>
      </c>
      <c r="EY56" t="s">
        <v>273</v>
      </c>
      <c r="EZ56" t="s">
        <v>273</v>
      </c>
      <c r="FA56">
        <v>31.514498</v>
      </c>
      <c r="FB56">
        <v>8.1475000000000006E-2</v>
      </c>
      <c r="FC56">
        <v>1.7307429999999999</v>
      </c>
      <c r="FD56">
        <v>1.427268</v>
      </c>
      <c r="FE56">
        <v>82.465643999999998</v>
      </c>
      <c r="FF56">
        <v>25.678395999999999</v>
      </c>
      <c r="FG56">
        <v>875.79068400000006</v>
      </c>
      <c r="FH56">
        <v>10.053278000000001</v>
      </c>
      <c r="FI56">
        <v>36</v>
      </c>
      <c r="FJ56">
        <v>36</v>
      </c>
      <c r="FK56">
        <v>31</v>
      </c>
      <c r="FL56">
        <v>33</v>
      </c>
      <c r="FM56" t="s">
        <v>273</v>
      </c>
      <c r="FN56" t="s">
        <v>273</v>
      </c>
      <c r="FO56">
        <v>32.863722000000003</v>
      </c>
      <c r="FP56">
        <v>0.146812</v>
      </c>
      <c r="FQ56">
        <v>4.471965</v>
      </c>
      <c r="FR56">
        <v>3.8655819999999999</v>
      </c>
      <c r="FS56">
        <v>86.440341000000004</v>
      </c>
      <c r="FT56">
        <v>28.289418000000001</v>
      </c>
      <c r="FU56">
        <v>838.86081300000001</v>
      </c>
      <c r="FV56">
        <v>18.115354</v>
      </c>
      <c r="FW56">
        <v>45</v>
      </c>
      <c r="FX56">
        <v>45</v>
      </c>
      <c r="FY56">
        <v>44</v>
      </c>
      <c r="FZ56">
        <v>39</v>
      </c>
      <c r="GA56" t="s">
        <v>273</v>
      </c>
      <c r="GB56" t="s">
        <v>273</v>
      </c>
      <c r="GC56">
        <v>30.683062</v>
      </c>
      <c r="GD56">
        <v>0.149113</v>
      </c>
      <c r="GE56">
        <v>1.515649</v>
      </c>
      <c r="GF56">
        <v>1.2297830000000001</v>
      </c>
      <c r="GG56">
        <v>81.139014000000003</v>
      </c>
      <c r="GH56">
        <v>24.314216999999999</v>
      </c>
      <c r="GI56">
        <v>1511.9422979999999</v>
      </c>
      <c r="GJ56">
        <v>18.399246000000002</v>
      </c>
      <c r="GK56">
        <v>26</v>
      </c>
      <c r="GL56">
        <v>26</v>
      </c>
      <c r="GM56">
        <v>16</v>
      </c>
      <c r="GN56">
        <v>26</v>
      </c>
      <c r="GO56" t="s">
        <v>273</v>
      </c>
      <c r="GP56" t="s">
        <v>273</v>
      </c>
      <c r="GQ56">
        <v>32.581578</v>
      </c>
      <c r="GR56">
        <v>0.25299100000000002</v>
      </c>
      <c r="GS56">
        <v>3.7156280000000002</v>
      </c>
      <c r="GT56">
        <v>3.1854460000000002</v>
      </c>
      <c r="GU56">
        <v>85.731026999999997</v>
      </c>
      <c r="GV56">
        <v>27.753630000000001</v>
      </c>
      <c r="GW56">
        <v>1135.9045149999999</v>
      </c>
      <c r="GX56">
        <v>31.216904</v>
      </c>
      <c r="GY56">
        <v>63</v>
      </c>
      <c r="GZ56">
        <v>63</v>
      </c>
      <c r="HA56">
        <v>49</v>
      </c>
      <c r="HB56">
        <v>48</v>
      </c>
      <c r="HC56" t="s">
        <v>273</v>
      </c>
      <c r="HD56" t="s">
        <v>273</v>
      </c>
      <c r="HE56">
        <v>31</v>
      </c>
      <c r="HF56">
        <v>1E-3</v>
      </c>
      <c r="HG56">
        <v>6.4999999999999997E-3</v>
      </c>
      <c r="HH56">
        <v>3.2258000000000002E-2</v>
      </c>
      <c r="HI56">
        <v>5250</v>
      </c>
    </row>
    <row r="57" spans="1:217" x14ac:dyDescent="0.3">
      <c r="A57">
        <v>414</v>
      </c>
      <c r="B57" t="s">
        <v>269</v>
      </c>
      <c r="F57" t="s">
        <v>270</v>
      </c>
      <c r="G57" t="s">
        <v>288</v>
      </c>
      <c r="H57" t="s">
        <v>289</v>
      </c>
      <c r="I57">
        <v>6500</v>
      </c>
      <c r="J57">
        <v>1</v>
      </c>
      <c r="K57">
        <v>100.801563</v>
      </c>
      <c r="L57">
        <v>0.22</v>
      </c>
      <c r="M57">
        <v>4.1683999999999999E-2</v>
      </c>
      <c r="N57">
        <v>0</v>
      </c>
      <c r="O57">
        <v>0</v>
      </c>
      <c r="P57">
        <v>0</v>
      </c>
      <c r="Q57">
        <v>28.8</v>
      </c>
      <c r="R57">
        <v>1</v>
      </c>
      <c r="S57">
        <v>1</v>
      </c>
      <c r="T57">
        <v>1</v>
      </c>
      <c r="U57">
        <v>1</v>
      </c>
      <c r="V57">
        <v>100</v>
      </c>
      <c r="W57" t="s">
        <v>273</v>
      </c>
      <c r="X57" t="s">
        <v>274</v>
      </c>
      <c r="Y57" t="s">
        <v>274</v>
      </c>
      <c r="Z57" t="s">
        <v>273</v>
      </c>
      <c r="AA57" t="s">
        <v>275</v>
      </c>
      <c r="AB57" t="s">
        <v>276</v>
      </c>
      <c r="AC57">
        <v>329</v>
      </c>
      <c r="AD57">
        <v>5</v>
      </c>
      <c r="AE57" t="s">
        <v>277</v>
      </c>
      <c r="AF57">
        <v>3.166026</v>
      </c>
      <c r="AG57">
        <v>100</v>
      </c>
      <c r="AH57">
        <v>28.5</v>
      </c>
      <c r="AI57">
        <v>1710</v>
      </c>
      <c r="AJ57">
        <v>800</v>
      </c>
      <c r="AK57">
        <v>1200</v>
      </c>
      <c r="AL57">
        <v>179.2</v>
      </c>
      <c r="AM57">
        <v>2.2000000000000002</v>
      </c>
      <c r="AN57" t="s">
        <v>273</v>
      </c>
      <c r="AO57" t="s">
        <v>278</v>
      </c>
      <c r="AP57" t="s">
        <v>286</v>
      </c>
      <c r="AQ57">
        <v>2.8</v>
      </c>
      <c r="AR57">
        <v>4</v>
      </c>
      <c r="AS57">
        <v>157.19999999999999</v>
      </c>
      <c r="AT57">
        <v>286</v>
      </c>
      <c r="AU57">
        <v>0.16279199999999999</v>
      </c>
      <c r="AV57">
        <v>36.9</v>
      </c>
      <c r="AW57">
        <v>233.8</v>
      </c>
      <c r="AX57" t="s">
        <v>280</v>
      </c>
      <c r="AY57">
        <v>0</v>
      </c>
      <c r="AZ57" t="s">
        <v>281</v>
      </c>
      <c r="BA57">
        <v>0.2</v>
      </c>
      <c r="BB57">
        <v>0.5</v>
      </c>
      <c r="BC57" t="s">
        <v>273</v>
      </c>
      <c r="BD57" t="s">
        <v>273</v>
      </c>
      <c r="BE57">
        <v>17.018277999999999</v>
      </c>
      <c r="BF57">
        <v>17.214234000000001</v>
      </c>
      <c r="BG57">
        <v>503.368268</v>
      </c>
      <c r="BH57" t="s">
        <v>273</v>
      </c>
      <c r="BI57">
        <v>20.315097000000002</v>
      </c>
      <c r="BJ57">
        <v>20.549014</v>
      </c>
      <c r="BK57">
        <v>421.67956900000001</v>
      </c>
      <c r="BL57" t="s">
        <v>273</v>
      </c>
      <c r="BM57">
        <v>20.315726999999999</v>
      </c>
      <c r="BN57">
        <v>20.549651000000001</v>
      </c>
      <c r="BO57">
        <v>421.666495</v>
      </c>
      <c r="BP57" t="s">
        <v>273</v>
      </c>
      <c r="BQ57">
        <v>13.104353</v>
      </c>
      <c r="BR57">
        <v>13.255242000000001</v>
      </c>
      <c r="BS57">
        <v>653.71114399999999</v>
      </c>
      <c r="BT57" t="s">
        <v>273</v>
      </c>
      <c r="BU57">
        <v>6.4964180000000002</v>
      </c>
      <c r="BV57">
        <v>6.5712200000000003</v>
      </c>
      <c r="BW57">
        <v>1318.6438639999999</v>
      </c>
      <c r="BX57" t="s">
        <v>273</v>
      </c>
      <c r="BY57">
        <v>15.259848</v>
      </c>
      <c r="BZ57">
        <v>17.504671999999999</v>
      </c>
      <c r="CA57">
        <v>17.626684000000001</v>
      </c>
      <c r="CB57">
        <v>20.315726999999999</v>
      </c>
      <c r="CC57">
        <v>9.6498050000000006</v>
      </c>
      <c r="CD57">
        <v>14.594467</v>
      </c>
      <c r="CE57" t="s">
        <v>273</v>
      </c>
      <c r="CF57">
        <v>15.435556</v>
      </c>
      <c r="CG57">
        <v>17.706229</v>
      </c>
      <c r="CH57">
        <v>17.829646</v>
      </c>
      <c r="CI57">
        <v>20.549651000000001</v>
      </c>
      <c r="CJ57">
        <v>9.7609169999999992</v>
      </c>
      <c r="CK57">
        <v>14.762513999999999</v>
      </c>
      <c r="CL57" t="s">
        <v>273</v>
      </c>
      <c r="CM57">
        <v>561.37266299999999</v>
      </c>
      <c r="CN57">
        <v>489.38141200000001</v>
      </c>
      <c r="CO57">
        <v>485.99391100000003</v>
      </c>
      <c r="CP57">
        <v>421.666495</v>
      </c>
      <c r="CQ57">
        <v>887.734151</v>
      </c>
      <c r="CR57">
        <v>586.96635400000002</v>
      </c>
      <c r="CS57" t="s">
        <v>273</v>
      </c>
      <c r="CT57">
        <v>667.26275299999998</v>
      </c>
      <c r="CU57">
        <v>625.43488500000001</v>
      </c>
      <c r="CV57">
        <v>577.57784200000003</v>
      </c>
      <c r="CW57">
        <v>1427.981998</v>
      </c>
      <c r="CX57">
        <v>520.77188999999998</v>
      </c>
      <c r="CY57">
        <v>1207.3105640000001</v>
      </c>
      <c r="CZ57" t="s">
        <v>273</v>
      </c>
      <c r="DA57">
        <v>3.6031870000000001</v>
      </c>
      <c r="DB57">
        <v>510.01</v>
      </c>
      <c r="DC57">
        <v>3.8741439999999998</v>
      </c>
      <c r="DD57">
        <v>864</v>
      </c>
      <c r="DE57">
        <v>3.6026400000000001</v>
      </c>
      <c r="DF57">
        <v>505</v>
      </c>
      <c r="DG57">
        <v>10.265847000000001</v>
      </c>
      <c r="DH57">
        <v>765</v>
      </c>
      <c r="DI57">
        <v>1.778303</v>
      </c>
      <c r="DJ57">
        <v>235</v>
      </c>
      <c r="DK57">
        <v>6.23515</v>
      </c>
      <c r="DL57">
        <v>365</v>
      </c>
      <c r="DM57" t="s">
        <v>273</v>
      </c>
      <c r="DN57">
        <v>5.1937280000000001</v>
      </c>
      <c r="DO57">
        <v>13.889635</v>
      </c>
      <c r="DP57">
        <v>6.9752190000000001</v>
      </c>
      <c r="DQ57" t="s">
        <v>282</v>
      </c>
      <c r="DR57">
        <v>8.7301909999999996</v>
      </c>
      <c r="DS57">
        <v>20.138625999999999</v>
      </c>
      <c r="DT57">
        <v>49.733671000000001</v>
      </c>
      <c r="DU57">
        <v>72.465779999999995</v>
      </c>
      <c r="DV57">
        <v>103.757873</v>
      </c>
      <c r="DW57" t="s">
        <v>283</v>
      </c>
      <c r="DX57" t="s">
        <v>273</v>
      </c>
      <c r="DY57">
        <v>27.736512000000001</v>
      </c>
      <c r="DZ57">
        <v>7.8386999999999998E-2</v>
      </c>
      <c r="EA57">
        <v>2.148263</v>
      </c>
      <c r="EB57">
        <v>1.766759</v>
      </c>
      <c r="EC57">
        <v>82.241302000000005</v>
      </c>
      <c r="ED57">
        <v>22.536328000000001</v>
      </c>
      <c r="EE57">
        <v>1083.653108</v>
      </c>
      <c r="EF57">
        <v>12.321035999999999</v>
      </c>
      <c r="EG57">
        <v>37</v>
      </c>
      <c r="EH57">
        <v>37</v>
      </c>
      <c r="EI57">
        <v>33</v>
      </c>
      <c r="EJ57">
        <v>34</v>
      </c>
      <c r="EK57" t="s">
        <v>273</v>
      </c>
      <c r="EL57" t="s">
        <v>273</v>
      </c>
      <c r="EM57">
        <v>28.438521999999999</v>
      </c>
      <c r="EN57">
        <v>4.2021000000000003E-2</v>
      </c>
      <c r="EO57">
        <v>2.0645609999999999</v>
      </c>
      <c r="EP57">
        <v>1.6139950000000001</v>
      </c>
      <c r="EQ57">
        <v>78.176142999999996</v>
      </c>
      <c r="ER57">
        <v>21.835343000000002</v>
      </c>
      <c r="ES57">
        <v>915.30001900000002</v>
      </c>
      <c r="ET57">
        <v>6.6050240000000002</v>
      </c>
      <c r="EU57">
        <v>29</v>
      </c>
      <c r="EV57">
        <v>29</v>
      </c>
      <c r="EW57">
        <v>27</v>
      </c>
      <c r="EX57">
        <v>29</v>
      </c>
      <c r="EY57" t="s">
        <v>273</v>
      </c>
      <c r="EZ57" t="s">
        <v>273</v>
      </c>
      <c r="FA57">
        <v>32.034047000000001</v>
      </c>
      <c r="FB57">
        <v>7.9158000000000006E-2</v>
      </c>
      <c r="FC57">
        <v>2.1476380000000002</v>
      </c>
      <c r="FD57">
        <v>1.766626</v>
      </c>
      <c r="FE57">
        <v>82.259037000000006</v>
      </c>
      <c r="FF57">
        <v>26.033515999999999</v>
      </c>
      <c r="FG57">
        <v>1083.730251</v>
      </c>
      <c r="FH57">
        <v>12.442268</v>
      </c>
      <c r="FI57">
        <v>37</v>
      </c>
      <c r="FJ57">
        <v>37</v>
      </c>
      <c r="FK57">
        <v>33</v>
      </c>
      <c r="FL57">
        <v>34</v>
      </c>
      <c r="FM57" t="s">
        <v>273</v>
      </c>
      <c r="FN57" t="s">
        <v>273</v>
      </c>
      <c r="FO57">
        <v>33.383639000000002</v>
      </c>
      <c r="FP57">
        <v>0.142623</v>
      </c>
      <c r="FQ57">
        <v>5.5334390000000004</v>
      </c>
      <c r="FR57">
        <v>4.78376</v>
      </c>
      <c r="FS57">
        <v>86.451840000000004</v>
      </c>
      <c r="FT57">
        <v>28.740241999999999</v>
      </c>
      <c r="FU57">
        <v>1038.0321060000001</v>
      </c>
      <c r="FV57">
        <v>22.417801000000001</v>
      </c>
      <c r="FW57">
        <v>41</v>
      </c>
      <c r="FX57">
        <v>41</v>
      </c>
      <c r="FY57">
        <v>40</v>
      </c>
      <c r="FZ57">
        <v>39</v>
      </c>
      <c r="GA57" t="s">
        <v>273</v>
      </c>
      <c r="GB57" t="s">
        <v>273</v>
      </c>
      <c r="GC57">
        <v>31.101599</v>
      </c>
      <c r="GD57">
        <v>0.145089</v>
      </c>
      <c r="GE57">
        <v>1.8800479999999999</v>
      </c>
      <c r="GF57">
        <v>1.5245089999999999</v>
      </c>
      <c r="GG57">
        <v>81.088825</v>
      </c>
      <c r="GH57">
        <v>24.627171000000001</v>
      </c>
      <c r="GI57">
        <v>1872.633863</v>
      </c>
      <c r="GJ57">
        <v>22.805502000000001</v>
      </c>
      <c r="GK57">
        <v>27</v>
      </c>
      <c r="GL57">
        <v>27</v>
      </c>
      <c r="GM57">
        <v>15</v>
      </c>
      <c r="GN57">
        <v>25</v>
      </c>
      <c r="GO57" t="s">
        <v>273</v>
      </c>
      <c r="GP57" t="s">
        <v>273</v>
      </c>
      <c r="GQ57">
        <v>32.853802999999999</v>
      </c>
      <c r="GR57">
        <v>0.246221</v>
      </c>
      <c r="GS57">
        <v>4.6040850000000004</v>
      </c>
      <c r="GT57">
        <v>3.949217</v>
      </c>
      <c r="GU57">
        <v>85.776377999999994</v>
      </c>
      <c r="GV57">
        <v>28.000216999999999</v>
      </c>
      <c r="GW57">
        <v>1407.751839</v>
      </c>
      <c r="GX57">
        <v>38.701611999999997</v>
      </c>
      <c r="GY57">
        <v>89</v>
      </c>
      <c r="GZ57">
        <v>89</v>
      </c>
      <c r="HA57">
        <v>50</v>
      </c>
      <c r="HB57">
        <v>47</v>
      </c>
      <c r="HC57" t="s">
        <v>273</v>
      </c>
      <c r="HD57" t="s">
        <v>273</v>
      </c>
      <c r="HE57">
        <v>31</v>
      </c>
      <c r="HF57">
        <v>1E-3</v>
      </c>
      <c r="HG57">
        <v>6.4999999999999997E-3</v>
      </c>
      <c r="HH57">
        <v>3.2258000000000002E-2</v>
      </c>
      <c r="HI57">
        <v>6500</v>
      </c>
    </row>
    <row r="58" spans="1:217" x14ac:dyDescent="0.3">
      <c r="A58">
        <v>431</v>
      </c>
      <c r="B58" t="s">
        <v>269</v>
      </c>
      <c r="F58" t="s">
        <v>270</v>
      </c>
      <c r="G58" t="s">
        <v>288</v>
      </c>
      <c r="H58" t="s">
        <v>289</v>
      </c>
      <c r="I58">
        <v>5250</v>
      </c>
      <c r="J58">
        <v>1</v>
      </c>
      <c r="K58">
        <v>74.629688000000002</v>
      </c>
      <c r="L58">
        <v>0.22</v>
      </c>
      <c r="M58">
        <v>4.8520000000000001E-2</v>
      </c>
      <c r="N58">
        <v>0</v>
      </c>
      <c r="O58">
        <v>0</v>
      </c>
      <c r="P58">
        <v>0</v>
      </c>
      <c r="Q58">
        <v>27.59</v>
      </c>
      <c r="R58">
        <v>1</v>
      </c>
      <c r="S58">
        <v>1</v>
      </c>
      <c r="T58">
        <v>1</v>
      </c>
      <c r="U58">
        <v>1</v>
      </c>
      <c r="V58">
        <v>100</v>
      </c>
      <c r="W58" t="s">
        <v>273</v>
      </c>
      <c r="X58" t="s">
        <v>274</v>
      </c>
      <c r="Y58" t="s">
        <v>274</v>
      </c>
      <c r="Z58" t="s">
        <v>273</v>
      </c>
      <c r="AA58" t="s">
        <v>275</v>
      </c>
      <c r="AB58" t="s">
        <v>276</v>
      </c>
      <c r="AC58">
        <v>258</v>
      </c>
      <c r="AD58">
        <v>5</v>
      </c>
      <c r="AE58" t="s">
        <v>277</v>
      </c>
      <c r="AF58">
        <v>3.221571</v>
      </c>
      <c r="AG58">
        <v>100</v>
      </c>
      <c r="AH58">
        <v>29</v>
      </c>
      <c r="AI58">
        <v>1740</v>
      </c>
      <c r="AJ58">
        <v>800</v>
      </c>
      <c r="AK58">
        <v>1200</v>
      </c>
      <c r="AL58">
        <v>202.3</v>
      </c>
      <c r="AM58">
        <v>2.2000000000000002</v>
      </c>
      <c r="AN58" t="s">
        <v>273</v>
      </c>
      <c r="AO58" t="s">
        <v>278</v>
      </c>
      <c r="AP58" t="s">
        <v>285</v>
      </c>
      <c r="AQ58">
        <v>2.2000000000000002</v>
      </c>
      <c r="AR58">
        <v>4</v>
      </c>
      <c r="AS58">
        <v>123.4</v>
      </c>
      <c r="AT58">
        <v>224.5</v>
      </c>
      <c r="AU58">
        <v>0.12790799999999999</v>
      </c>
      <c r="AV58">
        <v>36.5</v>
      </c>
      <c r="AW58">
        <v>236.1</v>
      </c>
      <c r="AX58" t="s">
        <v>280</v>
      </c>
      <c r="AY58">
        <v>0</v>
      </c>
      <c r="AZ58" t="s">
        <v>281</v>
      </c>
      <c r="BA58">
        <v>0.2</v>
      </c>
      <c r="BB58">
        <v>0.5</v>
      </c>
      <c r="BC58" t="s">
        <v>273</v>
      </c>
      <c r="BD58" t="s">
        <v>273</v>
      </c>
      <c r="BE58">
        <v>19.843696000000001</v>
      </c>
      <c r="BF58">
        <v>20.072185000000001</v>
      </c>
      <c r="BG58">
        <v>431.69685800000002</v>
      </c>
      <c r="BH58" t="s">
        <v>273</v>
      </c>
      <c r="BI58">
        <v>21.392250000000001</v>
      </c>
      <c r="BJ58">
        <v>21.638570000000001</v>
      </c>
      <c r="BK58">
        <v>400.44694600000003</v>
      </c>
      <c r="BL58" t="s">
        <v>273</v>
      </c>
      <c r="BM58">
        <v>21.392786000000001</v>
      </c>
      <c r="BN58">
        <v>21.639112000000001</v>
      </c>
      <c r="BO58">
        <v>400.43692099999998</v>
      </c>
      <c r="BP58" t="s">
        <v>273</v>
      </c>
      <c r="BQ58">
        <v>13.547014000000001</v>
      </c>
      <c r="BR58">
        <v>13.702999999999999</v>
      </c>
      <c r="BS58">
        <v>632.350506</v>
      </c>
      <c r="BT58" t="s">
        <v>273</v>
      </c>
      <c r="BU58">
        <v>7.3293020000000002</v>
      </c>
      <c r="BV58">
        <v>7.4136939999999996</v>
      </c>
      <c r="BW58">
        <v>1168.796405</v>
      </c>
      <c r="BX58" t="s">
        <v>273</v>
      </c>
      <c r="BY58">
        <v>17.302947</v>
      </c>
      <c r="BZ58">
        <v>21.000606999999999</v>
      </c>
      <c r="CA58">
        <v>19.980219999999999</v>
      </c>
      <c r="CB58">
        <v>21.392786000000001</v>
      </c>
      <c r="CC58">
        <v>11.259922</v>
      </c>
      <c r="CD58">
        <v>14.377789</v>
      </c>
      <c r="CE58" t="s">
        <v>273</v>
      </c>
      <c r="CF58">
        <v>17.502181</v>
      </c>
      <c r="CG58">
        <v>21.242417</v>
      </c>
      <c r="CH58">
        <v>20.210280999999998</v>
      </c>
      <c r="CI58">
        <v>21.639112000000001</v>
      </c>
      <c r="CJ58">
        <v>11.389574</v>
      </c>
      <c r="CK58">
        <v>14.543341</v>
      </c>
      <c r="CL58" t="s">
        <v>273</v>
      </c>
      <c r="CM58">
        <v>495.08682299999998</v>
      </c>
      <c r="CN58">
        <v>407.91493000000003</v>
      </c>
      <c r="CO58">
        <v>428.74710099999999</v>
      </c>
      <c r="CP58">
        <v>400.43692099999998</v>
      </c>
      <c r="CQ58">
        <v>760.79224299999998</v>
      </c>
      <c r="CR58">
        <v>595.81213200000002</v>
      </c>
      <c r="CS58" t="s">
        <v>273</v>
      </c>
      <c r="CT58">
        <v>588.23503300000004</v>
      </c>
      <c r="CU58">
        <v>521.21179299999994</v>
      </c>
      <c r="CV58">
        <v>509.33606500000002</v>
      </c>
      <c r="CW58">
        <v>1355.952276</v>
      </c>
      <c r="CX58">
        <v>444.68503600000003</v>
      </c>
      <c r="CY58">
        <v>1224.201026</v>
      </c>
      <c r="CZ58" t="s">
        <v>273</v>
      </c>
      <c r="DA58">
        <v>3.6017260000000002</v>
      </c>
      <c r="DB58">
        <v>510.01</v>
      </c>
      <c r="DC58">
        <v>3.8733409999999999</v>
      </c>
      <c r="DD58">
        <v>864</v>
      </c>
      <c r="DE58">
        <v>3.6011760000000002</v>
      </c>
      <c r="DF58">
        <v>505</v>
      </c>
      <c r="DG58">
        <v>10.264822000000001</v>
      </c>
      <c r="DH58">
        <v>765</v>
      </c>
      <c r="DI58">
        <v>1.7718529999999999</v>
      </c>
      <c r="DJ58">
        <v>235</v>
      </c>
      <c r="DK58">
        <v>6.2285149999999998</v>
      </c>
      <c r="DL58">
        <v>365</v>
      </c>
      <c r="DM58" t="s">
        <v>273</v>
      </c>
      <c r="DN58">
        <v>5.2460889999999996</v>
      </c>
      <c r="DO58">
        <v>14.542671</v>
      </c>
      <c r="DP58">
        <v>7.4430209999999999</v>
      </c>
      <c r="DQ58" t="s">
        <v>282</v>
      </c>
      <c r="DR58">
        <v>10.297216000000001</v>
      </c>
      <c r="DS58">
        <v>20.447638000000001</v>
      </c>
      <c r="DT58">
        <v>52.730547000000001</v>
      </c>
      <c r="DU58">
        <v>70.163207</v>
      </c>
      <c r="DV58">
        <v>95.564946000000006</v>
      </c>
      <c r="DW58" t="s">
        <v>283</v>
      </c>
      <c r="DX58" t="s">
        <v>273</v>
      </c>
      <c r="DY58">
        <v>27.615735000000001</v>
      </c>
      <c r="DZ58">
        <v>8.7945999999999996E-2</v>
      </c>
      <c r="EA58">
        <v>1.8855850000000001</v>
      </c>
      <c r="EB58">
        <v>1.5543750000000001</v>
      </c>
      <c r="EC58">
        <v>82.434613999999996</v>
      </c>
      <c r="ED58">
        <v>22.515543999999998</v>
      </c>
      <c r="EE58">
        <v>954.81694700000003</v>
      </c>
      <c r="EF58">
        <v>10.85178</v>
      </c>
      <c r="EG58">
        <v>36</v>
      </c>
      <c r="EH58">
        <v>36</v>
      </c>
      <c r="EI58">
        <v>32</v>
      </c>
      <c r="EJ58">
        <v>34</v>
      </c>
      <c r="EK58" t="s">
        <v>273</v>
      </c>
      <c r="EL58" t="s">
        <v>273</v>
      </c>
      <c r="EM58">
        <v>27.911729999999999</v>
      </c>
      <c r="EN58">
        <v>4.3876999999999999E-2</v>
      </c>
      <c r="EO58">
        <v>1.68865</v>
      </c>
      <c r="EP58">
        <v>1.3220499999999999</v>
      </c>
      <c r="EQ58">
        <v>78.290346999999997</v>
      </c>
      <c r="ER58">
        <v>21.477264999999999</v>
      </c>
      <c r="ES58">
        <v>750.41935799999999</v>
      </c>
      <c r="ET58">
        <v>5.4140829999999998</v>
      </c>
      <c r="EU58">
        <v>29</v>
      </c>
      <c r="EV58">
        <v>29</v>
      </c>
      <c r="EW58">
        <v>27</v>
      </c>
      <c r="EX58">
        <v>29</v>
      </c>
      <c r="EY58" t="s">
        <v>273</v>
      </c>
      <c r="EZ58" t="s">
        <v>273</v>
      </c>
      <c r="FA58">
        <v>31.887201000000001</v>
      </c>
      <c r="FB58">
        <v>8.8812000000000002E-2</v>
      </c>
      <c r="FC58">
        <v>1.8852089999999999</v>
      </c>
      <c r="FD58">
        <v>1.5542659999999999</v>
      </c>
      <c r="FE58">
        <v>82.445308999999995</v>
      </c>
      <c r="FF58">
        <v>26.001387999999999</v>
      </c>
      <c r="FG58">
        <v>954.89501299999995</v>
      </c>
      <c r="FH58">
        <v>10.958660999999999</v>
      </c>
      <c r="FI58">
        <v>36</v>
      </c>
      <c r="FJ58">
        <v>36</v>
      </c>
      <c r="FK58">
        <v>32</v>
      </c>
      <c r="FL58">
        <v>34</v>
      </c>
      <c r="FM58" t="s">
        <v>273</v>
      </c>
      <c r="FN58" t="s">
        <v>273</v>
      </c>
      <c r="FO58">
        <v>33.526499000000001</v>
      </c>
      <c r="FP58">
        <v>0.17214499999999999</v>
      </c>
      <c r="FQ58">
        <v>5.2768079999999999</v>
      </c>
      <c r="FR58">
        <v>4.5306030000000002</v>
      </c>
      <c r="FS58">
        <v>85.858789000000002</v>
      </c>
      <c r="FT58">
        <v>28.678407</v>
      </c>
      <c r="FU58">
        <v>983.64983800000005</v>
      </c>
      <c r="FV58">
        <v>21.241216999999999</v>
      </c>
      <c r="FW58">
        <v>43</v>
      </c>
      <c r="FX58">
        <v>43</v>
      </c>
      <c r="FY58">
        <v>42</v>
      </c>
      <c r="FZ58">
        <v>39</v>
      </c>
      <c r="GA58" t="s">
        <v>273</v>
      </c>
      <c r="GB58" t="s">
        <v>273</v>
      </c>
      <c r="GC58">
        <v>30.732696000000001</v>
      </c>
      <c r="GD58">
        <v>0.15587200000000001</v>
      </c>
      <c r="GE58">
        <v>1.5863240000000001</v>
      </c>
      <c r="GF58">
        <v>1.284945</v>
      </c>
      <c r="GG58">
        <v>81.001437999999993</v>
      </c>
      <c r="GH58">
        <v>24.323274000000001</v>
      </c>
      <c r="GI58">
        <v>1585.053345</v>
      </c>
      <c r="GJ58">
        <v>19.233242000000001</v>
      </c>
      <c r="GK58">
        <v>27</v>
      </c>
      <c r="GL58">
        <v>27</v>
      </c>
      <c r="GM58">
        <v>15</v>
      </c>
      <c r="GN58">
        <v>24</v>
      </c>
      <c r="GO58" t="s">
        <v>273</v>
      </c>
      <c r="GP58" t="s">
        <v>273</v>
      </c>
      <c r="GQ58">
        <v>32.390600999999997</v>
      </c>
      <c r="GR58">
        <v>0.309255</v>
      </c>
      <c r="GS58">
        <v>4.6026759999999998</v>
      </c>
      <c r="GT58">
        <v>3.8905439999999998</v>
      </c>
      <c r="GU58">
        <v>84.527859000000007</v>
      </c>
      <c r="GV58">
        <v>27.226979</v>
      </c>
      <c r="GW58">
        <v>1389.504608</v>
      </c>
      <c r="GX58">
        <v>38.159312999999997</v>
      </c>
      <c r="GY58">
        <v>58</v>
      </c>
      <c r="GZ58">
        <v>58</v>
      </c>
      <c r="HA58">
        <v>47</v>
      </c>
      <c r="HB58">
        <v>46</v>
      </c>
      <c r="HC58" t="s">
        <v>273</v>
      </c>
      <c r="HD58" t="s">
        <v>273</v>
      </c>
      <c r="HE58">
        <v>31</v>
      </c>
      <c r="HF58">
        <v>1E-3</v>
      </c>
      <c r="HG58">
        <v>8.0000000000000002E-3</v>
      </c>
      <c r="HH58">
        <v>3.2258000000000002E-2</v>
      </c>
      <c r="HI58">
        <v>5250</v>
      </c>
    </row>
    <row r="59" spans="1:217" x14ac:dyDescent="0.3">
      <c r="A59">
        <v>432</v>
      </c>
      <c r="B59" t="s">
        <v>269</v>
      </c>
      <c r="F59" t="s">
        <v>270</v>
      </c>
      <c r="G59" t="s">
        <v>288</v>
      </c>
      <c r="H59" t="s">
        <v>289</v>
      </c>
      <c r="I59">
        <v>6500</v>
      </c>
      <c r="J59">
        <v>1</v>
      </c>
      <c r="K59">
        <v>93.184375000000003</v>
      </c>
      <c r="L59">
        <v>0.22</v>
      </c>
      <c r="M59">
        <v>6.0727000000000003E-2</v>
      </c>
      <c r="N59">
        <v>0</v>
      </c>
      <c r="O59">
        <v>0</v>
      </c>
      <c r="P59">
        <v>0</v>
      </c>
      <c r="Q59">
        <v>34.130000000000003</v>
      </c>
      <c r="R59">
        <v>1</v>
      </c>
      <c r="S59">
        <v>1</v>
      </c>
      <c r="T59">
        <v>1</v>
      </c>
      <c r="U59">
        <v>1</v>
      </c>
      <c r="V59">
        <v>100</v>
      </c>
      <c r="W59" t="s">
        <v>273</v>
      </c>
      <c r="X59" t="s">
        <v>274</v>
      </c>
      <c r="Y59" t="s">
        <v>274</v>
      </c>
      <c r="Z59" t="s">
        <v>273</v>
      </c>
      <c r="AA59" t="s">
        <v>275</v>
      </c>
      <c r="AB59" t="s">
        <v>276</v>
      </c>
      <c r="AC59">
        <v>329</v>
      </c>
      <c r="AD59">
        <v>5</v>
      </c>
      <c r="AE59" t="s">
        <v>277</v>
      </c>
      <c r="AF59">
        <v>3.166026</v>
      </c>
      <c r="AG59">
        <v>100</v>
      </c>
      <c r="AH59">
        <v>28.5</v>
      </c>
      <c r="AI59">
        <v>1710</v>
      </c>
      <c r="AJ59">
        <v>800</v>
      </c>
      <c r="AK59">
        <v>1200</v>
      </c>
      <c r="AL59">
        <v>179.2</v>
      </c>
      <c r="AM59">
        <v>2.2000000000000002</v>
      </c>
      <c r="AN59" t="s">
        <v>273</v>
      </c>
      <c r="AO59" t="s">
        <v>278</v>
      </c>
      <c r="AP59" t="s">
        <v>286</v>
      </c>
      <c r="AQ59">
        <v>2.8</v>
      </c>
      <c r="AR59">
        <v>4</v>
      </c>
      <c r="AS59">
        <v>157.19999999999999</v>
      </c>
      <c r="AT59">
        <v>286</v>
      </c>
      <c r="AU59">
        <v>0.16279199999999999</v>
      </c>
      <c r="AV59">
        <v>36.9</v>
      </c>
      <c r="AW59">
        <v>233.8</v>
      </c>
      <c r="AX59" t="s">
        <v>280</v>
      </c>
      <c r="AY59">
        <v>0</v>
      </c>
      <c r="AZ59" t="s">
        <v>281</v>
      </c>
      <c r="BA59">
        <v>0.2</v>
      </c>
      <c r="BB59">
        <v>0.5</v>
      </c>
      <c r="BC59" t="s">
        <v>273</v>
      </c>
      <c r="BD59" t="s">
        <v>273</v>
      </c>
      <c r="BE59">
        <v>16.329832</v>
      </c>
      <c r="BF59">
        <v>16.517859999999999</v>
      </c>
      <c r="BG59">
        <v>524.58969000000002</v>
      </c>
      <c r="BH59" t="s">
        <v>273</v>
      </c>
      <c r="BI59">
        <v>17.589870999999999</v>
      </c>
      <c r="BJ59">
        <v>17.792408000000002</v>
      </c>
      <c r="BK59">
        <v>487.011032</v>
      </c>
      <c r="BL59" t="s">
        <v>273</v>
      </c>
      <c r="BM59">
        <v>17.590261999999999</v>
      </c>
      <c r="BN59">
        <v>17.792804</v>
      </c>
      <c r="BO59">
        <v>487.00021199999998</v>
      </c>
      <c r="BP59" t="s">
        <v>273</v>
      </c>
      <c r="BQ59">
        <v>11.03763</v>
      </c>
      <c r="BR59">
        <v>11.164721999999999</v>
      </c>
      <c r="BS59">
        <v>776.11421299999995</v>
      </c>
      <c r="BT59" t="s">
        <v>273</v>
      </c>
      <c r="BU59">
        <v>5.8776630000000001</v>
      </c>
      <c r="BV59">
        <v>5.945341</v>
      </c>
      <c r="BW59">
        <v>1457.4604790000001</v>
      </c>
      <c r="BX59" t="s">
        <v>273</v>
      </c>
      <c r="BY59">
        <v>14.210435</v>
      </c>
      <c r="BZ59">
        <v>17.318966</v>
      </c>
      <c r="CA59">
        <v>16.407789999999999</v>
      </c>
      <c r="CB59">
        <v>17.590261999999999</v>
      </c>
      <c r="CC59">
        <v>9.1333680000000008</v>
      </c>
      <c r="CD59">
        <v>11.737351</v>
      </c>
      <c r="CE59" t="s">
        <v>273</v>
      </c>
      <c r="CF59">
        <v>14.37406</v>
      </c>
      <c r="CG59">
        <v>17.518384000000001</v>
      </c>
      <c r="CH59">
        <v>16.596716000000001</v>
      </c>
      <c r="CI59">
        <v>17.792804</v>
      </c>
      <c r="CJ59">
        <v>9.2385339999999996</v>
      </c>
      <c r="CK59">
        <v>11.8725</v>
      </c>
      <c r="CL59" t="s">
        <v>273</v>
      </c>
      <c r="CM59">
        <v>602.82892300000003</v>
      </c>
      <c r="CN59">
        <v>494.62891500000001</v>
      </c>
      <c r="CO59">
        <v>522.097217</v>
      </c>
      <c r="CP59">
        <v>487.00021199999998</v>
      </c>
      <c r="CQ59">
        <v>937.93013900000005</v>
      </c>
      <c r="CR59">
        <v>729.84624199999996</v>
      </c>
      <c r="CS59" t="s">
        <v>273</v>
      </c>
      <c r="CT59">
        <v>716.37445700000001</v>
      </c>
      <c r="CU59">
        <v>632.135762</v>
      </c>
      <c r="CV59">
        <v>620.34148200000004</v>
      </c>
      <c r="CW59">
        <v>1649.133808</v>
      </c>
      <c r="CX59">
        <v>551.281069</v>
      </c>
      <c r="CY59">
        <v>1500.2884610000001</v>
      </c>
      <c r="CZ59" t="s">
        <v>273</v>
      </c>
      <c r="DA59">
        <v>3.60236</v>
      </c>
      <c r="DB59">
        <v>510.01</v>
      </c>
      <c r="DC59">
        <v>3.8741099999999999</v>
      </c>
      <c r="DD59">
        <v>864</v>
      </c>
      <c r="DE59">
        <v>3.6018080000000001</v>
      </c>
      <c r="DF59">
        <v>505</v>
      </c>
      <c r="DG59">
        <v>10.265211000000001</v>
      </c>
      <c r="DH59">
        <v>765</v>
      </c>
      <c r="DI59">
        <v>1.781738</v>
      </c>
      <c r="DJ59">
        <v>235</v>
      </c>
      <c r="DK59">
        <v>6.2313840000000003</v>
      </c>
      <c r="DL59">
        <v>365</v>
      </c>
      <c r="DM59" t="s">
        <v>273</v>
      </c>
      <c r="DN59">
        <v>5.1922199999999998</v>
      </c>
      <c r="DO59">
        <v>14.2287</v>
      </c>
      <c r="DP59">
        <v>7.1353669999999996</v>
      </c>
      <c r="DQ59" t="s">
        <v>282</v>
      </c>
      <c r="DR59">
        <v>9.6577819999999992</v>
      </c>
      <c r="DS59">
        <v>20.28754</v>
      </c>
      <c r="DT59">
        <v>51.309389000000003</v>
      </c>
      <c r="DU59">
        <v>70.952567000000002</v>
      </c>
      <c r="DV59">
        <v>96.430668999999995</v>
      </c>
      <c r="DW59" t="s">
        <v>283</v>
      </c>
      <c r="DX59" t="s">
        <v>273</v>
      </c>
      <c r="DY59">
        <v>28.106679</v>
      </c>
      <c r="DZ59">
        <v>8.5455000000000003E-2</v>
      </c>
      <c r="EA59">
        <v>2.3371590000000002</v>
      </c>
      <c r="EB59">
        <v>1.924158</v>
      </c>
      <c r="EC59">
        <v>82.328902999999997</v>
      </c>
      <c r="ED59">
        <v>22.884025999999999</v>
      </c>
      <c r="EE59">
        <v>1181.633302</v>
      </c>
      <c r="EF59">
        <v>13.431981</v>
      </c>
      <c r="EG59">
        <v>38</v>
      </c>
      <c r="EH59">
        <v>38</v>
      </c>
      <c r="EI59">
        <v>34</v>
      </c>
      <c r="EJ59">
        <v>37</v>
      </c>
      <c r="EK59" t="s">
        <v>273</v>
      </c>
      <c r="EL59" t="s">
        <v>273</v>
      </c>
      <c r="EM59">
        <v>28.524913999999999</v>
      </c>
      <c r="EN59">
        <v>4.2638000000000002E-2</v>
      </c>
      <c r="EO59">
        <v>2.0930200000000001</v>
      </c>
      <c r="EP59">
        <v>1.6371519999999999</v>
      </c>
      <c r="EQ59">
        <v>78.219617</v>
      </c>
      <c r="ER59">
        <v>21.921113999999999</v>
      </c>
      <c r="ES59">
        <v>928.74851200000001</v>
      </c>
      <c r="ET59">
        <v>6.702013</v>
      </c>
      <c r="EU59">
        <v>29</v>
      </c>
      <c r="EV59">
        <v>29</v>
      </c>
      <c r="EW59">
        <v>27</v>
      </c>
      <c r="EX59">
        <v>29</v>
      </c>
      <c r="EY59" t="s">
        <v>273</v>
      </c>
      <c r="EZ59" t="s">
        <v>273</v>
      </c>
      <c r="FA59">
        <v>32.452371999999997</v>
      </c>
      <c r="FB59">
        <v>8.6296999999999999E-2</v>
      </c>
      <c r="FC59">
        <v>2.33677</v>
      </c>
      <c r="FD59">
        <v>1.9240280000000001</v>
      </c>
      <c r="FE59">
        <v>82.337063000000001</v>
      </c>
      <c r="FF59">
        <v>26.424745999999999</v>
      </c>
      <c r="FG59">
        <v>1181.734516</v>
      </c>
      <c r="FH59">
        <v>13.56432</v>
      </c>
      <c r="FI59">
        <v>38</v>
      </c>
      <c r="FJ59">
        <v>38</v>
      </c>
      <c r="FK59">
        <v>34</v>
      </c>
      <c r="FL59">
        <v>37</v>
      </c>
      <c r="FM59" t="s">
        <v>273</v>
      </c>
      <c r="FN59" t="s">
        <v>273</v>
      </c>
      <c r="FO59">
        <v>34.122717000000002</v>
      </c>
      <c r="FP59">
        <v>0.167238</v>
      </c>
      <c r="FQ59">
        <v>6.5318800000000001</v>
      </c>
      <c r="FR59">
        <v>5.606922</v>
      </c>
      <c r="FS59">
        <v>85.839337</v>
      </c>
      <c r="FT59">
        <v>29.181131000000001</v>
      </c>
      <c r="FU59">
        <v>1217.257818</v>
      </c>
      <c r="FV59">
        <v>26.286811</v>
      </c>
      <c r="FW59">
        <v>45</v>
      </c>
      <c r="FX59">
        <v>45</v>
      </c>
      <c r="FY59">
        <v>40</v>
      </c>
      <c r="FZ59">
        <v>40</v>
      </c>
      <c r="GA59" t="s">
        <v>273</v>
      </c>
      <c r="GB59" t="s">
        <v>273</v>
      </c>
      <c r="GC59">
        <v>30.755610999999998</v>
      </c>
      <c r="GD59">
        <v>0.15321899999999999</v>
      </c>
      <c r="GE59">
        <v>1.9680500000000001</v>
      </c>
      <c r="GF59">
        <v>1.6080319999999999</v>
      </c>
      <c r="GG59">
        <v>81.706886999999995</v>
      </c>
      <c r="GH59">
        <v>24.567689999999999</v>
      </c>
      <c r="GI59">
        <v>1973.742896</v>
      </c>
      <c r="GJ59">
        <v>24.083262999999999</v>
      </c>
      <c r="GK59">
        <v>27</v>
      </c>
      <c r="GL59">
        <v>27</v>
      </c>
      <c r="GM59">
        <v>19</v>
      </c>
      <c r="GN59">
        <v>25</v>
      </c>
      <c r="GO59" t="s">
        <v>273</v>
      </c>
      <c r="GP59" t="s">
        <v>273</v>
      </c>
      <c r="GQ59">
        <v>32.752094999999997</v>
      </c>
      <c r="GR59">
        <v>0.30098900000000001</v>
      </c>
      <c r="GS59">
        <v>5.703646</v>
      </c>
      <c r="GT59">
        <v>4.8237810000000003</v>
      </c>
      <c r="GU59">
        <v>84.573642000000007</v>
      </c>
      <c r="GV59">
        <v>27.544288999999999</v>
      </c>
      <c r="GW59">
        <v>1721.9253309999999</v>
      </c>
      <c r="GX59">
        <v>47.310209</v>
      </c>
      <c r="GY59">
        <v>57</v>
      </c>
      <c r="GZ59">
        <v>57</v>
      </c>
      <c r="HA59">
        <v>46</v>
      </c>
      <c r="HB59">
        <v>43</v>
      </c>
      <c r="HC59" t="s">
        <v>273</v>
      </c>
      <c r="HD59" t="s">
        <v>273</v>
      </c>
      <c r="HE59">
        <v>31</v>
      </c>
      <c r="HF59">
        <v>1E-3</v>
      </c>
      <c r="HG59">
        <v>8.0000000000000002E-3</v>
      </c>
      <c r="HH59">
        <v>3.2258000000000002E-2</v>
      </c>
      <c r="HI59">
        <v>6500</v>
      </c>
    </row>
    <row r="60" spans="1:217" x14ac:dyDescent="0.3">
      <c r="A60">
        <v>447</v>
      </c>
      <c r="B60" t="s">
        <v>269</v>
      </c>
      <c r="F60" t="s">
        <v>270</v>
      </c>
      <c r="G60" t="s">
        <v>288</v>
      </c>
      <c r="H60" t="s">
        <v>289</v>
      </c>
      <c r="I60">
        <v>6000</v>
      </c>
      <c r="J60">
        <v>1</v>
      </c>
      <c r="K60">
        <v>25.293749999999999</v>
      </c>
      <c r="L60">
        <v>0.22</v>
      </c>
      <c r="M60">
        <v>1.0141000000000001E-2</v>
      </c>
      <c r="N60">
        <v>0</v>
      </c>
      <c r="O60">
        <v>0</v>
      </c>
      <c r="P60">
        <v>0</v>
      </c>
      <c r="Q60">
        <v>8.2200000000000006</v>
      </c>
      <c r="R60">
        <v>1</v>
      </c>
      <c r="S60">
        <v>1</v>
      </c>
      <c r="T60">
        <v>1</v>
      </c>
      <c r="U60">
        <v>1</v>
      </c>
      <c r="V60">
        <v>100</v>
      </c>
      <c r="W60" t="s">
        <v>273</v>
      </c>
      <c r="X60" t="s">
        <v>274</v>
      </c>
      <c r="Y60" t="s">
        <v>274</v>
      </c>
      <c r="Z60" t="s">
        <v>273</v>
      </c>
      <c r="AA60" t="s">
        <v>275</v>
      </c>
      <c r="AB60" t="s">
        <v>276</v>
      </c>
      <c r="AC60">
        <v>505</v>
      </c>
      <c r="AD60">
        <v>5</v>
      </c>
      <c r="AE60" t="s">
        <v>277</v>
      </c>
      <c r="AF60">
        <v>2.9068200000000002</v>
      </c>
      <c r="AG60">
        <v>100</v>
      </c>
      <c r="AH60">
        <v>26.2</v>
      </c>
      <c r="AI60">
        <v>1570</v>
      </c>
      <c r="AJ60">
        <v>800</v>
      </c>
      <c r="AK60">
        <v>1200</v>
      </c>
      <c r="AL60">
        <v>144.6</v>
      </c>
      <c r="AM60">
        <v>2.2000000000000002</v>
      </c>
      <c r="AN60" t="s">
        <v>273</v>
      </c>
      <c r="AO60" t="s">
        <v>278</v>
      </c>
      <c r="AP60" t="s">
        <v>290</v>
      </c>
      <c r="AQ60">
        <v>4.3</v>
      </c>
      <c r="AR60">
        <v>6</v>
      </c>
      <c r="AS60">
        <v>241.4</v>
      </c>
      <c r="AT60">
        <v>439.2</v>
      </c>
      <c r="AU60">
        <v>0.250002</v>
      </c>
      <c r="AV60">
        <v>36.9</v>
      </c>
      <c r="AW60">
        <v>233.6</v>
      </c>
      <c r="AX60" t="s">
        <v>280</v>
      </c>
      <c r="AY60">
        <v>0</v>
      </c>
      <c r="AZ60" t="s">
        <v>281</v>
      </c>
      <c r="BA60">
        <v>0.2</v>
      </c>
      <c r="BB60">
        <v>0.5</v>
      </c>
      <c r="BC60" t="s">
        <v>273</v>
      </c>
      <c r="BD60" t="s">
        <v>273</v>
      </c>
      <c r="BE60">
        <v>23.085263999999999</v>
      </c>
      <c r="BF60">
        <v>23.351078000000001</v>
      </c>
      <c r="BG60">
        <v>371.07920300000001</v>
      </c>
      <c r="BH60" t="s">
        <v>273</v>
      </c>
      <c r="BI60">
        <v>42.637842999999997</v>
      </c>
      <c r="BJ60">
        <v>43.128793000000002</v>
      </c>
      <c r="BK60">
        <v>200.91216600000001</v>
      </c>
      <c r="BL60" t="s">
        <v>273</v>
      </c>
      <c r="BM60">
        <v>42.640540999999999</v>
      </c>
      <c r="BN60">
        <v>43.131523000000001</v>
      </c>
      <c r="BO60">
        <v>200.899449</v>
      </c>
      <c r="BP60" t="s">
        <v>273</v>
      </c>
      <c r="BQ60">
        <v>24.352063999999999</v>
      </c>
      <c r="BR60">
        <v>24.632463999999999</v>
      </c>
      <c r="BS60">
        <v>351.775577</v>
      </c>
      <c r="BT60" t="s">
        <v>273</v>
      </c>
      <c r="BU60">
        <v>6.6571759999999998</v>
      </c>
      <c r="BV60">
        <v>6.7338290000000001</v>
      </c>
      <c r="BW60">
        <v>1286.8011570000001</v>
      </c>
      <c r="BX60" t="s">
        <v>273</v>
      </c>
      <c r="BY60">
        <v>22.991313000000002</v>
      </c>
      <c r="BZ60">
        <v>21.574894</v>
      </c>
      <c r="CA60">
        <v>26.699904</v>
      </c>
      <c r="CB60">
        <v>42.640540999999999</v>
      </c>
      <c r="CC60">
        <v>12.810383</v>
      </c>
      <c r="CD60">
        <v>32.887698</v>
      </c>
      <c r="CE60" t="s">
        <v>273</v>
      </c>
      <c r="CF60">
        <v>23.256045</v>
      </c>
      <c r="CG60">
        <v>21.823316999999999</v>
      </c>
      <c r="CH60">
        <v>27.007339000000002</v>
      </c>
      <c r="CI60">
        <v>43.131523000000001</v>
      </c>
      <c r="CJ60">
        <v>12.957886999999999</v>
      </c>
      <c r="CK60">
        <v>33.266381000000003</v>
      </c>
      <c r="CL60" t="s">
        <v>273</v>
      </c>
      <c r="CM60">
        <v>372.59556099999998</v>
      </c>
      <c r="CN60">
        <v>397.05692800000003</v>
      </c>
      <c r="CO60">
        <v>320.84239600000001</v>
      </c>
      <c r="CP60">
        <v>200.899449</v>
      </c>
      <c r="CQ60">
        <v>668.71234100000004</v>
      </c>
      <c r="CR60">
        <v>260.476159</v>
      </c>
      <c r="CS60" t="s">
        <v>273</v>
      </c>
      <c r="CT60">
        <v>444.16967599999998</v>
      </c>
      <c r="CU60">
        <v>509.80249400000002</v>
      </c>
      <c r="CV60">
        <v>382.41546699999998</v>
      </c>
      <c r="CW60">
        <v>680.68280200000004</v>
      </c>
      <c r="CX60">
        <v>397.018979</v>
      </c>
      <c r="CY60">
        <v>536.83956599999999</v>
      </c>
      <c r="CZ60" t="s">
        <v>273</v>
      </c>
      <c r="DA60">
        <v>3.613702</v>
      </c>
      <c r="DB60">
        <v>510.01</v>
      </c>
      <c r="DC60">
        <v>3.8921570000000001</v>
      </c>
      <c r="DD60">
        <v>864</v>
      </c>
      <c r="DE60">
        <v>3.61314</v>
      </c>
      <c r="DF60">
        <v>505</v>
      </c>
      <c r="DG60">
        <v>10.270868999999999</v>
      </c>
      <c r="DH60">
        <v>765</v>
      </c>
      <c r="DI60">
        <v>1.7997540000000001</v>
      </c>
      <c r="DJ60">
        <v>235</v>
      </c>
      <c r="DK60">
        <v>6.2476640000000003</v>
      </c>
      <c r="DL60">
        <v>365</v>
      </c>
      <c r="DM60" t="s">
        <v>273</v>
      </c>
      <c r="DN60">
        <v>3.6280019999999999</v>
      </c>
      <c r="DO60">
        <v>8.1688759999999991</v>
      </c>
      <c r="DP60">
        <v>4.3211029999999999</v>
      </c>
      <c r="DQ60" t="s">
        <v>282</v>
      </c>
      <c r="DR60">
        <v>4.5915660000000003</v>
      </c>
      <c r="DS60">
        <v>16.339600999999998</v>
      </c>
      <c r="DT60">
        <v>33.421145000000003</v>
      </c>
      <c r="DU60">
        <v>92.761086000000006</v>
      </c>
      <c r="DV60">
        <v>184.47972200000001</v>
      </c>
      <c r="DW60" t="s">
        <v>283</v>
      </c>
      <c r="DX60" t="s">
        <v>273</v>
      </c>
      <c r="DY60">
        <v>23.514897000000001</v>
      </c>
      <c r="DZ60">
        <v>2.8289999999999999E-2</v>
      </c>
      <c r="EA60">
        <v>1.2123569999999999</v>
      </c>
      <c r="EB60">
        <v>0.99312100000000003</v>
      </c>
      <c r="EC60">
        <v>81.916548000000006</v>
      </c>
      <c r="ED60">
        <v>18.765516000000002</v>
      </c>
      <c r="EE60">
        <v>598.90186100000005</v>
      </c>
      <c r="EF60">
        <v>6.829332</v>
      </c>
      <c r="EG60">
        <v>25</v>
      </c>
      <c r="EH60">
        <v>25</v>
      </c>
      <c r="EI60">
        <v>19</v>
      </c>
      <c r="EJ60">
        <v>22</v>
      </c>
      <c r="EK60" t="s">
        <v>273</v>
      </c>
      <c r="EL60" t="s">
        <v>273</v>
      </c>
      <c r="EM60">
        <v>22.481231000000001</v>
      </c>
      <c r="EN60">
        <v>1.7299999999999999E-2</v>
      </c>
      <c r="EO60">
        <v>1.3303339999999999</v>
      </c>
      <c r="EP60">
        <v>1.0404340000000001</v>
      </c>
      <c r="EQ60">
        <v>78.208494999999999</v>
      </c>
      <c r="ER60">
        <v>16.937888999999998</v>
      </c>
      <c r="ES60">
        <v>576.05987800000003</v>
      </c>
      <c r="ET60">
        <v>4.1763130000000004</v>
      </c>
      <c r="EU60">
        <v>25</v>
      </c>
      <c r="EV60">
        <v>25</v>
      </c>
      <c r="EW60">
        <v>25</v>
      </c>
      <c r="EX60">
        <v>25</v>
      </c>
      <c r="EY60" t="s">
        <v>273</v>
      </c>
      <c r="EZ60" t="s">
        <v>273</v>
      </c>
      <c r="FA60">
        <v>27.312563000000001</v>
      </c>
      <c r="FB60">
        <v>2.8569000000000001E-2</v>
      </c>
      <c r="FC60">
        <v>1.2123740000000001</v>
      </c>
      <c r="FD60">
        <v>0.99307699999999999</v>
      </c>
      <c r="FE60">
        <v>81.911749</v>
      </c>
      <c r="FF60">
        <v>21.794468999999999</v>
      </c>
      <c r="FG60">
        <v>598.95861400000001</v>
      </c>
      <c r="FH60">
        <v>6.8966649999999996</v>
      </c>
      <c r="FI60">
        <v>23</v>
      </c>
      <c r="FJ60">
        <v>23</v>
      </c>
      <c r="FK60">
        <v>19</v>
      </c>
      <c r="FL60">
        <v>22</v>
      </c>
      <c r="FM60" t="s">
        <v>273</v>
      </c>
      <c r="FN60" t="s">
        <v>273</v>
      </c>
      <c r="FO60">
        <v>26.211829000000002</v>
      </c>
      <c r="FP60">
        <v>3.4820999999999998E-2</v>
      </c>
      <c r="FQ60">
        <v>2.0710030000000001</v>
      </c>
      <c r="FR60">
        <v>1.8103340000000001</v>
      </c>
      <c r="FS60">
        <v>87.413385000000005</v>
      </c>
      <c r="FT60">
        <v>22.607764</v>
      </c>
      <c r="FU60">
        <v>389.034041</v>
      </c>
      <c r="FV60">
        <v>8.4058609999999998</v>
      </c>
      <c r="FW60">
        <v>7</v>
      </c>
      <c r="FX60">
        <v>7</v>
      </c>
      <c r="FY60">
        <v>7</v>
      </c>
      <c r="FZ60">
        <v>7</v>
      </c>
      <c r="GA60" t="s">
        <v>273</v>
      </c>
      <c r="GB60" t="s">
        <v>273</v>
      </c>
      <c r="GC60">
        <v>30.910173</v>
      </c>
      <c r="GD60">
        <v>7.0957999999999993E-2</v>
      </c>
      <c r="GE60">
        <v>1.424464</v>
      </c>
      <c r="GF60">
        <v>1.1586860000000001</v>
      </c>
      <c r="GG60">
        <v>81.341927999999996</v>
      </c>
      <c r="GH60">
        <v>24.263707</v>
      </c>
      <c r="GI60">
        <v>1389.7990119999999</v>
      </c>
      <c r="GJ60">
        <v>17.129555</v>
      </c>
      <c r="GK60">
        <v>28</v>
      </c>
      <c r="GL60">
        <v>28</v>
      </c>
      <c r="GM60">
        <v>17</v>
      </c>
      <c r="GN60">
        <v>26</v>
      </c>
      <c r="GO60" t="s">
        <v>273</v>
      </c>
      <c r="GP60" t="s">
        <v>273</v>
      </c>
      <c r="GQ60">
        <v>29.614070999999999</v>
      </c>
      <c r="GR60">
        <v>6.4048999999999995E-2</v>
      </c>
      <c r="GS60">
        <v>1.845361</v>
      </c>
      <c r="GT60">
        <v>1.6042149999999999</v>
      </c>
      <c r="GU60">
        <v>86.932314000000005</v>
      </c>
      <c r="GV60">
        <v>25.157409000000001</v>
      </c>
      <c r="GW60">
        <v>561.28735700000004</v>
      </c>
      <c r="GX60">
        <v>15.461760999999999</v>
      </c>
      <c r="GY60">
        <v>26</v>
      </c>
      <c r="GZ60">
        <v>26</v>
      </c>
      <c r="HA60">
        <v>13</v>
      </c>
      <c r="HB60">
        <v>15</v>
      </c>
      <c r="HC60" t="s">
        <v>273</v>
      </c>
      <c r="HD60" t="s">
        <v>273</v>
      </c>
      <c r="HE60">
        <v>18</v>
      </c>
      <c r="HF60">
        <v>2.9999999999999997E-4</v>
      </c>
      <c r="HG60">
        <v>2E-3</v>
      </c>
      <c r="HH60">
        <v>5.5556000000000001E-2</v>
      </c>
      <c r="HI60">
        <v>6000</v>
      </c>
    </row>
    <row r="61" spans="1:217" x14ac:dyDescent="0.3">
      <c r="A61">
        <v>448</v>
      </c>
      <c r="B61" t="s">
        <v>269</v>
      </c>
      <c r="F61" t="s">
        <v>270</v>
      </c>
      <c r="G61" t="s">
        <v>288</v>
      </c>
      <c r="H61" t="s">
        <v>289</v>
      </c>
      <c r="I61">
        <v>6000</v>
      </c>
      <c r="J61">
        <v>1</v>
      </c>
      <c r="K61">
        <v>25.293749999999999</v>
      </c>
      <c r="L61">
        <v>0.22</v>
      </c>
      <c r="M61">
        <v>1.0141000000000001E-2</v>
      </c>
      <c r="N61">
        <v>0</v>
      </c>
      <c r="O61">
        <v>0</v>
      </c>
      <c r="P61">
        <v>0</v>
      </c>
      <c r="Q61">
        <v>8.2200000000000006</v>
      </c>
      <c r="R61">
        <v>1</v>
      </c>
      <c r="S61">
        <v>1</v>
      </c>
      <c r="T61">
        <v>1</v>
      </c>
      <c r="U61">
        <v>1</v>
      </c>
      <c r="V61">
        <v>100</v>
      </c>
      <c r="W61" t="s">
        <v>273</v>
      </c>
      <c r="X61" t="s">
        <v>274</v>
      </c>
      <c r="Y61" t="s">
        <v>274</v>
      </c>
      <c r="Z61" t="s">
        <v>273</v>
      </c>
      <c r="AA61" t="s">
        <v>275</v>
      </c>
      <c r="AB61" t="s">
        <v>276</v>
      </c>
      <c r="AC61">
        <v>293</v>
      </c>
      <c r="AD61">
        <v>5</v>
      </c>
      <c r="AE61" t="s">
        <v>277</v>
      </c>
      <c r="AF61">
        <v>3.1937989999999998</v>
      </c>
      <c r="AG61">
        <v>100</v>
      </c>
      <c r="AH61">
        <v>28.8</v>
      </c>
      <c r="AI61">
        <v>1725</v>
      </c>
      <c r="AJ61">
        <v>800</v>
      </c>
      <c r="AK61">
        <v>1200</v>
      </c>
      <c r="AL61">
        <v>189.9</v>
      </c>
      <c r="AM61">
        <v>2.2000000000000002</v>
      </c>
      <c r="AN61" t="s">
        <v>273</v>
      </c>
      <c r="AO61" t="s">
        <v>278</v>
      </c>
      <c r="AP61" t="s">
        <v>291</v>
      </c>
      <c r="AQ61">
        <v>2.5</v>
      </c>
      <c r="AR61">
        <v>6</v>
      </c>
      <c r="AS61">
        <v>140</v>
      </c>
      <c r="AT61">
        <v>254.8</v>
      </c>
      <c r="AU61">
        <v>0.14535000000000001</v>
      </c>
      <c r="AV61">
        <v>36.1</v>
      </c>
      <c r="AW61">
        <v>238.9</v>
      </c>
      <c r="AX61" t="s">
        <v>280</v>
      </c>
      <c r="AY61">
        <v>0</v>
      </c>
      <c r="AZ61" t="s">
        <v>281</v>
      </c>
      <c r="BA61">
        <v>0.2</v>
      </c>
      <c r="BB61">
        <v>0.5</v>
      </c>
      <c r="BC61" t="s">
        <v>273</v>
      </c>
      <c r="BD61" t="s">
        <v>273</v>
      </c>
      <c r="BE61">
        <v>25.580914</v>
      </c>
      <c r="BF61">
        <v>25.875464000000001</v>
      </c>
      <c r="BG61">
        <v>334.87706200000002</v>
      </c>
      <c r="BH61" t="s">
        <v>273</v>
      </c>
      <c r="BI61">
        <v>46.668488000000004</v>
      </c>
      <c r="BJ61">
        <v>47.205849000000001</v>
      </c>
      <c r="BK61">
        <v>183.55986300000001</v>
      </c>
      <c r="BL61" t="s">
        <v>273</v>
      </c>
      <c r="BM61">
        <v>46.671306999999999</v>
      </c>
      <c r="BN61">
        <v>47.208700999999998</v>
      </c>
      <c r="BO61">
        <v>183.54877500000001</v>
      </c>
      <c r="BP61" t="s">
        <v>273</v>
      </c>
      <c r="BQ61">
        <v>24.656400000000001</v>
      </c>
      <c r="BR61">
        <v>24.940304000000001</v>
      </c>
      <c r="BS61">
        <v>347.433584</v>
      </c>
      <c r="BT61" t="s">
        <v>273</v>
      </c>
      <c r="BU61">
        <v>8.8369780000000002</v>
      </c>
      <c r="BV61">
        <v>8.9387310000000006</v>
      </c>
      <c r="BW61">
        <v>969.388104</v>
      </c>
      <c r="BX61" t="s">
        <v>273</v>
      </c>
      <c r="BY61">
        <v>24.74691</v>
      </c>
      <c r="BZ61">
        <v>24.516646999999999</v>
      </c>
      <c r="CA61">
        <v>28.657791</v>
      </c>
      <c r="CB61">
        <v>46.671306999999999</v>
      </c>
      <c r="CC61">
        <v>12.548937</v>
      </c>
      <c r="CD61">
        <v>34.083979999999997</v>
      </c>
      <c r="CE61" t="s">
        <v>273</v>
      </c>
      <c r="CF61">
        <v>25.031856000000001</v>
      </c>
      <c r="CG61">
        <v>24.798942</v>
      </c>
      <c r="CH61">
        <v>28.987769</v>
      </c>
      <c r="CI61">
        <v>47.208700999999998</v>
      </c>
      <c r="CJ61">
        <v>12.693431</v>
      </c>
      <c r="CK61">
        <v>34.476438000000002</v>
      </c>
      <c r="CL61" t="s">
        <v>273</v>
      </c>
      <c r="CM61">
        <v>346.162869</v>
      </c>
      <c r="CN61">
        <v>349.41406499999999</v>
      </c>
      <c r="CO61">
        <v>298.922595</v>
      </c>
      <c r="CP61">
        <v>183.54877500000001</v>
      </c>
      <c r="CQ61">
        <v>682.64438399999995</v>
      </c>
      <c r="CR61">
        <v>251.33394799999999</v>
      </c>
      <c r="CS61" t="s">
        <v>273</v>
      </c>
      <c r="CT61">
        <v>412.17630300000002</v>
      </c>
      <c r="CU61">
        <v>447.58122500000002</v>
      </c>
      <c r="CV61">
        <v>355.87159700000001</v>
      </c>
      <c r="CW61">
        <v>621.77907400000004</v>
      </c>
      <c r="CX61">
        <v>402.90545700000001</v>
      </c>
      <c r="CY61">
        <v>517.43528800000001</v>
      </c>
      <c r="CZ61" t="s">
        <v>273</v>
      </c>
      <c r="DA61">
        <v>3.6094719999999998</v>
      </c>
      <c r="DB61">
        <v>510.01</v>
      </c>
      <c r="DC61">
        <v>3.8830469999999999</v>
      </c>
      <c r="DD61">
        <v>864</v>
      </c>
      <c r="DE61">
        <v>3.6089069999999999</v>
      </c>
      <c r="DF61">
        <v>505</v>
      </c>
      <c r="DG61">
        <v>10.268943</v>
      </c>
      <c r="DH61">
        <v>765</v>
      </c>
      <c r="DI61">
        <v>1.7891619999999999</v>
      </c>
      <c r="DJ61">
        <v>235</v>
      </c>
      <c r="DK61">
        <v>6.2408830000000002</v>
      </c>
      <c r="DL61">
        <v>365</v>
      </c>
      <c r="DM61" t="s">
        <v>273</v>
      </c>
      <c r="DN61">
        <v>5.1081459999999996</v>
      </c>
      <c r="DO61">
        <v>12.974129</v>
      </c>
      <c r="DP61">
        <v>6.5770670000000004</v>
      </c>
      <c r="DQ61" t="s">
        <v>282</v>
      </c>
      <c r="DR61">
        <v>7.3225569999999998</v>
      </c>
      <c r="DS61">
        <v>19.658503</v>
      </c>
      <c r="DT61">
        <v>46.532255999999997</v>
      </c>
      <c r="DU61">
        <v>76.576453999999998</v>
      </c>
      <c r="DV61">
        <v>149.49670699999999</v>
      </c>
      <c r="DW61" t="s">
        <v>283</v>
      </c>
      <c r="DX61" t="s">
        <v>273</v>
      </c>
      <c r="DY61">
        <v>25.300498000000001</v>
      </c>
      <c r="DZ61">
        <v>4.8649999999999999E-2</v>
      </c>
      <c r="EA61">
        <v>1.210461</v>
      </c>
      <c r="EB61">
        <v>0.98614800000000002</v>
      </c>
      <c r="EC61">
        <v>81.468816000000004</v>
      </c>
      <c r="ED61">
        <v>20.172540000000001</v>
      </c>
      <c r="EE61">
        <v>598.13314400000002</v>
      </c>
      <c r="EF61">
        <v>6.8125819999999999</v>
      </c>
      <c r="EG61">
        <v>30</v>
      </c>
      <c r="EH61">
        <v>30</v>
      </c>
      <c r="EI61">
        <v>25</v>
      </c>
      <c r="EJ61">
        <v>28</v>
      </c>
      <c r="EK61" t="s">
        <v>273</v>
      </c>
      <c r="EL61" t="s">
        <v>273</v>
      </c>
      <c r="EM61">
        <v>25.420083000000002</v>
      </c>
      <c r="EN61">
        <v>2.9770999999999999E-2</v>
      </c>
      <c r="EO61">
        <v>1.320649</v>
      </c>
      <c r="EP61">
        <v>1.028462</v>
      </c>
      <c r="EQ61">
        <v>77.875467999999998</v>
      </c>
      <c r="ER61">
        <v>19.257960000000001</v>
      </c>
      <c r="ES61">
        <v>576.37760200000002</v>
      </c>
      <c r="ET61">
        <v>4.1688359999999998</v>
      </c>
      <c r="EU61">
        <v>28</v>
      </c>
      <c r="EV61">
        <v>28</v>
      </c>
      <c r="EW61">
        <v>27</v>
      </c>
      <c r="EX61">
        <v>28</v>
      </c>
      <c r="EY61" t="s">
        <v>273</v>
      </c>
      <c r="EZ61" t="s">
        <v>273</v>
      </c>
      <c r="FA61">
        <v>29.296958</v>
      </c>
      <c r="FB61">
        <v>4.913E-2</v>
      </c>
      <c r="FC61">
        <v>1.2101930000000001</v>
      </c>
      <c r="FD61">
        <v>0.98608600000000002</v>
      </c>
      <c r="FE61">
        <v>81.481718000000001</v>
      </c>
      <c r="FF61">
        <v>23.362435000000001</v>
      </c>
      <c r="FG61">
        <v>598.18567599999994</v>
      </c>
      <c r="FH61">
        <v>6.879696</v>
      </c>
      <c r="FI61">
        <v>30</v>
      </c>
      <c r="FJ61">
        <v>30</v>
      </c>
      <c r="FK61">
        <v>25</v>
      </c>
      <c r="FL61">
        <v>28</v>
      </c>
      <c r="FM61" t="s">
        <v>273</v>
      </c>
      <c r="FN61" t="s">
        <v>273</v>
      </c>
      <c r="FO61">
        <v>28.643712000000001</v>
      </c>
      <c r="FP61">
        <v>5.9919E-2</v>
      </c>
      <c r="FQ61">
        <v>2.0673029999999999</v>
      </c>
      <c r="FR61">
        <v>1.803153</v>
      </c>
      <c r="FS61">
        <v>87.222477999999995</v>
      </c>
      <c r="FT61">
        <v>24.704594</v>
      </c>
      <c r="FU61">
        <v>388.40114599999998</v>
      </c>
      <c r="FV61">
        <v>8.3906130000000001</v>
      </c>
      <c r="FW61">
        <v>20</v>
      </c>
      <c r="FX61">
        <v>20</v>
      </c>
      <c r="FY61">
        <v>20</v>
      </c>
      <c r="FZ61">
        <v>20</v>
      </c>
      <c r="GA61" t="s">
        <v>273</v>
      </c>
      <c r="GB61" t="s">
        <v>273</v>
      </c>
      <c r="GC61">
        <v>30.500451999999999</v>
      </c>
      <c r="GD61">
        <v>0.122458</v>
      </c>
      <c r="GE61">
        <v>1.4264220000000001</v>
      </c>
      <c r="GF61">
        <v>1.152121</v>
      </c>
      <c r="GG61">
        <v>80.769969000000003</v>
      </c>
      <c r="GH61">
        <v>23.934820999999999</v>
      </c>
      <c r="GI61">
        <v>1399.5276080000001</v>
      </c>
      <c r="GJ61">
        <v>17.147952</v>
      </c>
      <c r="GK61">
        <v>24</v>
      </c>
      <c r="GL61">
        <v>24</v>
      </c>
      <c r="GM61">
        <v>13</v>
      </c>
      <c r="GN61">
        <v>23</v>
      </c>
      <c r="GO61" t="s">
        <v>273</v>
      </c>
      <c r="GP61" t="s">
        <v>273</v>
      </c>
      <c r="GQ61">
        <v>30.479890000000001</v>
      </c>
      <c r="GR61">
        <v>0.109235</v>
      </c>
      <c r="GS61">
        <v>1.830662</v>
      </c>
      <c r="GT61">
        <v>1.5778110000000001</v>
      </c>
      <c r="GU61">
        <v>86.188013999999995</v>
      </c>
      <c r="GV61">
        <v>25.821536999999999</v>
      </c>
      <c r="GW61">
        <v>555.88450799999998</v>
      </c>
      <c r="GX61">
        <v>15.296308</v>
      </c>
      <c r="GY61">
        <v>27</v>
      </c>
      <c r="GZ61">
        <v>27</v>
      </c>
      <c r="HA61">
        <v>18</v>
      </c>
      <c r="HB61">
        <v>19</v>
      </c>
      <c r="HC61" t="s">
        <v>273</v>
      </c>
      <c r="HD61" t="s">
        <v>273</v>
      </c>
      <c r="HE61">
        <v>31</v>
      </c>
      <c r="HF61">
        <v>2.9999999999999997E-4</v>
      </c>
      <c r="HG61">
        <v>2E-3</v>
      </c>
      <c r="HH61">
        <v>3.2258000000000002E-2</v>
      </c>
      <c r="HI61">
        <v>6000</v>
      </c>
    </row>
    <row r="62" spans="1:217" x14ac:dyDescent="0.3">
      <c r="A62">
        <v>449</v>
      </c>
      <c r="B62" t="s">
        <v>269</v>
      </c>
      <c r="F62" t="s">
        <v>270</v>
      </c>
      <c r="G62" t="s">
        <v>288</v>
      </c>
      <c r="H62" t="s">
        <v>289</v>
      </c>
      <c r="I62">
        <v>8000</v>
      </c>
      <c r="J62">
        <v>1</v>
      </c>
      <c r="K62">
        <v>34.825000000000003</v>
      </c>
      <c r="L62">
        <v>0.22</v>
      </c>
      <c r="M62">
        <v>1.4437999999999999E-2</v>
      </c>
      <c r="N62">
        <v>0</v>
      </c>
      <c r="O62">
        <v>0</v>
      </c>
      <c r="P62">
        <v>0</v>
      </c>
      <c r="Q62">
        <v>10.92</v>
      </c>
      <c r="R62">
        <v>1</v>
      </c>
      <c r="S62">
        <v>1</v>
      </c>
      <c r="T62">
        <v>1</v>
      </c>
      <c r="U62">
        <v>1</v>
      </c>
      <c r="V62">
        <v>100</v>
      </c>
      <c r="W62" t="s">
        <v>273</v>
      </c>
      <c r="X62" t="s">
        <v>274</v>
      </c>
      <c r="Y62" t="s">
        <v>274</v>
      </c>
      <c r="Z62" t="s">
        <v>273</v>
      </c>
      <c r="AA62" t="s">
        <v>275</v>
      </c>
      <c r="AB62" t="s">
        <v>276</v>
      </c>
      <c r="AC62">
        <v>399</v>
      </c>
      <c r="AD62">
        <v>5</v>
      </c>
      <c r="AE62" t="s">
        <v>277</v>
      </c>
      <c r="AF62">
        <v>3.0734530000000002</v>
      </c>
      <c r="AG62">
        <v>100</v>
      </c>
      <c r="AH62">
        <v>27.7</v>
      </c>
      <c r="AI62">
        <v>1660</v>
      </c>
      <c r="AJ62">
        <v>800</v>
      </c>
      <c r="AK62">
        <v>1200</v>
      </c>
      <c r="AL62">
        <v>162.69999999999999</v>
      </c>
      <c r="AM62">
        <v>2.2000000000000002</v>
      </c>
      <c r="AN62" t="s">
        <v>273</v>
      </c>
      <c r="AO62" t="s">
        <v>278</v>
      </c>
      <c r="AP62" t="s">
        <v>292</v>
      </c>
      <c r="AQ62">
        <v>3.4</v>
      </c>
      <c r="AR62">
        <v>6</v>
      </c>
      <c r="AS62">
        <v>190.7</v>
      </c>
      <c r="AT62">
        <v>347</v>
      </c>
      <c r="AU62">
        <v>0.19767599999999999</v>
      </c>
      <c r="AV62">
        <v>36.5</v>
      </c>
      <c r="AW62">
        <v>235.8</v>
      </c>
      <c r="AX62" t="s">
        <v>280</v>
      </c>
      <c r="AY62">
        <v>0</v>
      </c>
      <c r="AZ62" t="s">
        <v>281</v>
      </c>
      <c r="BA62">
        <v>0.2</v>
      </c>
      <c r="BB62">
        <v>0.5</v>
      </c>
      <c r="BC62" t="s">
        <v>273</v>
      </c>
      <c r="BD62" t="s">
        <v>273</v>
      </c>
      <c r="BE62">
        <v>19.712797999999999</v>
      </c>
      <c r="BF62">
        <v>19.939779000000001</v>
      </c>
      <c r="BG62">
        <v>434.563445</v>
      </c>
      <c r="BH62" t="s">
        <v>273</v>
      </c>
      <c r="BI62">
        <v>36.154392999999999</v>
      </c>
      <c r="BJ62">
        <v>36.570689999999999</v>
      </c>
      <c r="BK62">
        <v>236.941091</v>
      </c>
      <c r="BL62" t="s">
        <v>273</v>
      </c>
      <c r="BM62">
        <v>36.156210999999999</v>
      </c>
      <c r="BN62">
        <v>36.572529000000003</v>
      </c>
      <c r="BO62">
        <v>236.92917600000001</v>
      </c>
      <c r="BP62" t="s">
        <v>273</v>
      </c>
      <c r="BQ62">
        <v>18.836376000000001</v>
      </c>
      <c r="BR62">
        <v>19.053267000000002</v>
      </c>
      <c r="BS62">
        <v>454.78286700000001</v>
      </c>
      <c r="BT62" t="s">
        <v>273</v>
      </c>
      <c r="BU62">
        <v>6.6391920000000004</v>
      </c>
      <c r="BV62">
        <v>6.7156380000000002</v>
      </c>
      <c r="BW62">
        <v>1290.2867289999999</v>
      </c>
      <c r="BX62" t="s">
        <v>273</v>
      </c>
      <c r="BY62">
        <v>18.978328999999999</v>
      </c>
      <c r="BZ62">
        <v>18.973652000000001</v>
      </c>
      <c r="CA62">
        <v>21.969968999999999</v>
      </c>
      <c r="CB62">
        <v>36.156210999999999</v>
      </c>
      <c r="CC62">
        <v>9.5699590000000008</v>
      </c>
      <c r="CD62">
        <v>26.072714000000001</v>
      </c>
      <c r="CE62" t="s">
        <v>273</v>
      </c>
      <c r="CF62">
        <v>19.196853000000001</v>
      </c>
      <c r="CG62">
        <v>19.192122999999999</v>
      </c>
      <c r="CH62">
        <v>22.222940999999999</v>
      </c>
      <c r="CI62">
        <v>36.572529000000003</v>
      </c>
      <c r="CJ62">
        <v>9.6801519999999996</v>
      </c>
      <c r="CK62">
        <v>26.372926</v>
      </c>
      <c r="CL62" t="s">
        <v>273</v>
      </c>
      <c r="CM62">
        <v>451.38122800000002</v>
      </c>
      <c r="CN62">
        <v>451.49248999999998</v>
      </c>
      <c r="CO62">
        <v>389.91685000000001</v>
      </c>
      <c r="CP62">
        <v>236.92917600000001</v>
      </c>
      <c r="CQ62">
        <v>895.14082800000006</v>
      </c>
      <c r="CR62">
        <v>328.56040100000001</v>
      </c>
      <c r="CS62" t="s">
        <v>273</v>
      </c>
      <c r="CT62">
        <v>537.52841699999999</v>
      </c>
      <c r="CU62">
        <v>578.47510799999998</v>
      </c>
      <c r="CV62">
        <v>464.26267799999999</v>
      </c>
      <c r="CW62">
        <v>802.64579000000003</v>
      </c>
      <c r="CX62">
        <v>528.27070000000003</v>
      </c>
      <c r="CY62">
        <v>676.47160399999996</v>
      </c>
      <c r="CZ62" t="s">
        <v>273</v>
      </c>
      <c r="DA62">
        <v>3.6099320000000001</v>
      </c>
      <c r="DB62">
        <v>510.01</v>
      </c>
      <c r="DC62">
        <v>3.8839649999999999</v>
      </c>
      <c r="DD62">
        <v>864</v>
      </c>
      <c r="DE62">
        <v>3.6093829999999998</v>
      </c>
      <c r="DF62">
        <v>505</v>
      </c>
      <c r="DG62">
        <v>10.269434</v>
      </c>
      <c r="DH62">
        <v>765</v>
      </c>
      <c r="DI62">
        <v>1.788983</v>
      </c>
      <c r="DJ62">
        <v>235</v>
      </c>
      <c r="DK62">
        <v>6.2413059999999998</v>
      </c>
      <c r="DL62">
        <v>365</v>
      </c>
      <c r="DM62" t="s">
        <v>273</v>
      </c>
      <c r="DN62">
        <v>5.1041280000000002</v>
      </c>
      <c r="DO62">
        <v>12.902612</v>
      </c>
      <c r="DP62">
        <v>6.5056929999999999</v>
      </c>
      <c r="DQ62" t="s">
        <v>282</v>
      </c>
      <c r="DR62">
        <v>7.0425300000000002</v>
      </c>
      <c r="DS62">
        <v>19.581077000000001</v>
      </c>
      <c r="DT62">
        <v>46.031911999999998</v>
      </c>
      <c r="DU62">
        <v>77.136792999999997</v>
      </c>
      <c r="DV62">
        <v>149.85326499999999</v>
      </c>
      <c r="DW62" t="s">
        <v>283</v>
      </c>
      <c r="DX62" t="s">
        <v>273</v>
      </c>
      <c r="DY62">
        <v>25.964459999999999</v>
      </c>
      <c r="DZ62">
        <v>4.7617E-2</v>
      </c>
      <c r="EA62">
        <v>1.6200159999999999</v>
      </c>
      <c r="EB62">
        <v>1.3149189999999999</v>
      </c>
      <c r="EC62">
        <v>81.166998000000007</v>
      </c>
      <c r="ED62">
        <v>20.619712</v>
      </c>
      <c r="EE62">
        <v>797.22853099999998</v>
      </c>
      <c r="EF62">
        <v>9.0813849999999992</v>
      </c>
      <c r="EG62">
        <v>28</v>
      </c>
      <c r="EH62">
        <v>28</v>
      </c>
      <c r="EI62">
        <v>22</v>
      </c>
      <c r="EJ62">
        <v>26</v>
      </c>
      <c r="EK62" t="s">
        <v>273</v>
      </c>
      <c r="EL62" t="s">
        <v>273</v>
      </c>
      <c r="EM62">
        <v>26.330929000000001</v>
      </c>
      <c r="EN62">
        <v>2.9132999999999999E-2</v>
      </c>
      <c r="EO62">
        <v>1.76803</v>
      </c>
      <c r="EP62">
        <v>1.371704</v>
      </c>
      <c r="EQ62">
        <v>77.583779000000007</v>
      </c>
      <c r="ER62">
        <v>19.859275</v>
      </c>
      <c r="ES62">
        <v>768.01660600000002</v>
      </c>
      <c r="ET62">
        <v>5.556241</v>
      </c>
      <c r="EU62">
        <v>28</v>
      </c>
      <c r="EV62">
        <v>28</v>
      </c>
      <c r="EW62">
        <v>27</v>
      </c>
      <c r="EX62">
        <v>28</v>
      </c>
      <c r="EY62" t="s">
        <v>273</v>
      </c>
      <c r="EZ62" t="s">
        <v>273</v>
      </c>
      <c r="FA62">
        <v>30.058093</v>
      </c>
      <c r="FB62">
        <v>4.8085999999999997E-2</v>
      </c>
      <c r="FC62">
        <v>1.6198090000000001</v>
      </c>
      <c r="FD62">
        <v>1.314837</v>
      </c>
      <c r="FE62">
        <v>81.172354999999996</v>
      </c>
      <c r="FF62">
        <v>23.871974000000002</v>
      </c>
      <c r="FG62">
        <v>797.29580599999997</v>
      </c>
      <c r="FH62">
        <v>9.1708560000000006</v>
      </c>
      <c r="FI62">
        <v>28</v>
      </c>
      <c r="FJ62">
        <v>28</v>
      </c>
      <c r="FK62">
        <v>22</v>
      </c>
      <c r="FL62">
        <v>26</v>
      </c>
      <c r="FM62" t="s">
        <v>273</v>
      </c>
      <c r="FN62" t="s">
        <v>273</v>
      </c>
      <c r="FO62">
        <v>29.580393999999998</v>
      </c>
      <c r="FP62">
        <v>5.8576999999999997E-2</v>
      </c>
      <c r="FQ62">
        <v>2.7559200000000001</v>
      </c>
      <c r="FR62">
        <v>2.4008560000000001</v>
      </c>
      <c r="FS62">
        <v>87.116337999999999</v>
      </c>
      <c r="FT62">
        <v>25.480772000000002</v>
      </c>
      <c r="FU62">
        <v>517.10944800000004</v>
      </c>
      <c r="FV62">
        <v>11.171628</v>
      </c>
      <c r="FW62">
        <v>19</v>
      </c>
      <c r="FX62">
        <v>19</v>
      </c>
      <c r="FY62">
        <v>18</v>
      </c>
      <c r="FZ62">
        <v>17</v>
      </c>
      <c r="GA62" t="s">
        <v>273</v>
      </c>
      <c r="GB62" t="s">
        <v>273</v>
      </c>
      <c r="GC62">
        <v>31.195181000000002</v>
      </c>
      <c r="GD62">
        <v>0.119823</v>
      </c>
      <c r="GE62">
        <v>1.9128579999999999</v>
      </c>
      <c r="GF62">
        <v>1.5356080000000001</v>
      </c>
      <c r="GG62">
        <v>80.278186000000005</v>
      </c>
      <c r="GH62">
        <v>24.327521999999998</v>
      </c>
      <c r="GI62">
        <v>1865.286965</v>
      </c>
      <c r="GJ62">
        <v>22.852461000000002</v>
      </c>
      <c r="GK62">
        <v>24</v>
      </c>
      <c r="GL62">
        <v>24</v>
      </c>
      <c r="GM62">
        <v>13</v>
      </c>
      <c r="GN62">
        <v>22</v>
      </c>
      <c r="GO62" t="s">
        <v>273</v>
      </c>
      <c r="GP62" t="s">
        <v>273</v>
      </c>
      <c r="GQ62">
        <v>31.127293999999999</v>
      </c>
      <c r="GR62">
        <v>0.107127</v>
      </c>
      <c r="GS62">
        <v>2.4441600000000001</v>
      </c>
      <c r="GT62">
        <v>2.1085699999999998</v>
      </c>
      <c r="GU62">
        <v>86.269726000000006</v>
      </c>
      <c r="GV62">
        <v>26.381084999999999</v>
      </c>
      <c r="GW62">
        <v>742.43651199999999</v>
      </c>
      <c r="GX62">
        <v>20.431056999999999</v>
      </c>
      <c r="GY62">
        <v>29</v>
      </c>
      <c r="GZ62">
        <v>29</v>
      </c>
      <c r="HA62">
        <v>18</v>
      </c>
      <c r="HB62">
        <v>19</v>
      </c>
      <c r="HC62" t="s">
        <v>273</v>
      </c>
      <c r="HD62" t="s">
        <v>273</v>
      </c>
      <c r="HE62">
        <v>31</v>
      </c>
      <c r="HF62">
        <v>2.9999999999999997E-4</v>
      </c>
      <c r="HG62">
        <v>2E-3</v>
      </c>
      <c r="HH62">
        <v>3.2258000000000002E-2</v>
      </c>
      <c r="HI62">
        <v>8000</v>
      </c>
    </row>
    <row r="63" spans="1:217" x14ac:dyDescent="0.3">
      <c r="A63">
        <v>450</v>
      </c>
      <c r="B63" t="s">
        <v>269</v>
      </c>
      <c r="F63" t="s">
        <v>270</v>
      </c>
      <c r="G63" t="s">
        <v>288</v>
      </c>
      <c r="H63" t="s">
        <v>289</v>
      </c>
      <c r="I63">
        <v>10000</v>
      </c>
      <c r="J63">
        <v>1</v>
      </c>
      <c r="K63">
        <v>44.356250000000003</v>
      </c>
      <c r="L63">
        <v>0.22</v>
      </c>
      <c r="M63">
        <v>1.8734000000000001E-2</v>
      </c>
      <c r="N63">
        <v>0</v>
      </c>
      <c r="O63">
        <v>0</v>
      </c>
      <c r="P63">
        <v>0</v>
      </c>
      <c r="Q63">
        <v>13.63</v>
      </c>
      <c r="R63">
        <v>1</v>
      </c>
      <c r="S63">
        <v>1</v>
      </c>
      <c r="T63">
        <v>1</v>
      </c>
      <c r="U63">
        <v>1</v>
      </c>
      <c r="V63">
        <v>100</v>
      </c>
      <c r="W63" t="s">
        <v>273</v>
      </c>
      <c r="X63" t="s">
        <v>274</v>
      </c>
      <c r="Y63" t="s">
        <v>274</v>
      </c>
      <c r="Z63" t="s">
        <v>273</v>
      </c>
      <c r="AA63" t="s">
        <v>275</v>
      </c>
      <c r="AB63" t="s">
        <v>276</v>
      </c>
      <c r="AC63">
        <v>505</v>
      </c>
      <c r="AD63">
        <v>5</v>
      </c>
      <c r="AE63" t="s">
        <v>277</v>
      </c>
      <c r="AF63">
        <v>2.9068200000000002</v>
      </c>
      <c r="AG63">
        <v>100</v>
      </c>
      <c r="AH63">
        <v>26.2</v>
      </c>
      <c r="AI63">
        <v>1570</v>
      </c>
      <c r="AJ63">
        <v>800</v>
      </c>
      <c r="AK63">
        <v>1200</v>
      </c>
      <c r="AL63">
        <v>144.6</v>
      </c>
      <c r="AM63">
        <v>2.2000000000000002</v>
      </c>
      <c r="AN63" t="s">
        <v>273</v>
      </c>
      <c r="AO63" t="s">
        <v>278</v>
      </c>
      <c r="AP63" t="s">
        <v>290</v>
      </c>
      <c r="AQ63">
        <v>4.3</v>
      </c>
      <c r="AR63">
        <v>6</v>
      </c>
      <c r="AS63">
        <v>241.4</v>
      </c>
      <c r="AT63">
        <v>439.2</v>
      </c>
      <c r="AU63">
        <v>0.250002</v>
      </c>
      <c r="AV63">
        <v>36.9</v>
      </c>
      <c r="AW63">
        <v>233.6</v>
      </c>
      <c r="AX63" t="s">
        <v>280</v>
      </c>
      <c r="AY63">
        <v>0</v>
      </c>
      <c r="AZ63" t="s">
        <v>281</v>
      </c>
      <c r="BA63">
        <v>0.2</v>
      </c>
      <c r="BB63">
        <v>0.5</v>
      </c>
      <c r="BC63" t="s">
        <v>273</v>
      </c>
      <c r="BD63" t="s">
        <v>273</v>
      </c>
      <c r="BE63">
        <v>16.055596999999999</v>
      </c>
      <c r="BF63">
        <v>16.240468</v>
      </c>
      <c r="BG63">
        <v>533.549847</v>
      </c>
      <c r="BH63" t="s">
        <v>273</v>
      </c>
      <c r="BI63">
        <v>29.342140000000001</v>
      </c>
      <c r="BJ63">
        <v>29.679998999999999</v>
      </c>
      <c r="BK63">
        <v>291.95079600000003</v>
      </c>
      <c r="BL63" t="s">
        <v>273</v>
      </c>
      <c r="BM63">
        <v>29.343527999999999</v>
      </c>
      <c r="BN63">
        <v>29.681401999999999</v>
      </c>
      <c r="BO63">
        <v>291.93699500000002</v>
      </c>
      <c r="BP63" t="s">
        <v>273</v>
      </c>
      <c r="BQ63">
        <v>15.138605</v>
      </c>
      <c r="BR63">
        <v>15.312917000000001</v>
      </c>
      <c r="BS63">
        <v>565.86861799999997</v>
      </c>
      <c r="BT63" t="s">
        <v>273</v>
      </c>
      <c r="BU63">
        <v>5.3359389999999998</v>
      </c>
      <c r="BV63">
        <v>5.3973789999999999</v>
      </c>
      <c r="BW63">
        <v>1605.427269</v>
      </c>
      <c r="BX63" t="s">
        <v>273</v>
      </c>
      <c r="BY63">
        <v>15.461285999999999</v>
      </c>
      <c r="BZ63">
        <v>15.451383</v>
      </c>
      <c r="CA63">
        <v>17.89546</v>
      </c>
      <c r="CB63">
        <v>29.343527999999999</v>
      </c>
      <c r="CC63">
        <v>7.6527589999999996</v>
      </c>
      <c r="CD63">
        <v>21.036415000000002</v>
      </c>
      <c r="CE63" t="s">
        <v>273</v>
      </c>
      <c r="CF63">
        <v>15.639314000000001</v>
      </c>
      <c r="CG63">
        <v>15.629296999999999</v>
      </c>
      <c r="CH63">
        <v>18.101516</v>
      </c>
      <c r="CI63">
        <v>29.681401999999999</v>
      </c>
      <c r="CJ63">
        <v>7.7408760000000001</v>
      </c>
      <c r="CK63">
        <v>21.278638000000001</v>
      </c>
      <c r="CL63" t="s">
        <v>273</v>
      </c>
      <c r="CM63">
        <v>554.05878199999995</v>
      </c>
      <c r="CN63">
        <v>554.41388500000005</v>
      </c>
      <c r="CO63">
        <v>478.69466999999997</v>
      </c>
      <c r="CP63">
        <v>291.93699500000002</v>
      </c>
      <c r="CQ63">
        <v>1119.3951420000001</v>
      </c>
      <c r="CR63">
        <v>407.22058199999998</v>
      </c>
      <c r="CS63" t="s">
        <v>273</v>
      </c>
      <c r="CT63">
        <v>659.89056000000005</v>
      </c>
      <c r="CU63">
        <v>710.35082299999999</v>
      </c>
      <c r="CV63">
        <v>570.04100300000005</v>
      </c>
      <c r="CW63">
        <v>989.00268900000003</v>
      </c>
      <c r="CX63">
        <v>660.53268700000001</v>
      </c>
      <c r="CY63">
        <v>838.38664200000005</v>
      </c>
      <c r="CZ63" t="s">
        <v>273</v>
      </c>
      <c r="DA63">
        <v>3.6104159999999998</v>
      </c>
      <c r="DB63">
        <v>510.01</v>
      </c>
      <c r="DC63">
        <v>3.8840059999999998</v>
      </c>
      <c r="DD63">
        <v>864</v>
      </c>
      <c r="DE63">
        <v>3.6098460000000001</v>
      </c>
      <c r="DF63">
        <v>505</v>
      </c>
      <c r="DG63">
        <v>10.269504</v>
      </c>
      <c r="DH63">
        <v>765</v>
      </c>
      <c r="DI63">
        <v>1.7887599999999999</v>
      </c>
      <c r="DJ63">
        <v>235</v>
      </c>
      <c r="DK63">
        <v>6.2410230000000002</v>
      </c>
      <c r="DL63">
        <v>365</v>
      </c>
      <c r="DM63" t="s">
        <v>273</v>
      </c>
      <c r="DN63">
        <v>5.2319880000000003</v>
      </c>
      <c r="DO63">
        <v>13.108484000000001</v>
      </c>
      <c r="DP63">
        <v>6.8107860000000002</v>
      </c>
      <c r="DQ63" t="s">
        <v>282</v>
      </c>
      <c r="DR63">
        <v>7.1973450000000003</v>
      </c>
      <c r="DS63">
        <v>19.675374000000001</v>
      </c>
      <c r="DT63">
        <v>46.791989999999998</v>
      </c>
      <c r="DU63">
        <v>77.577600000000004</v>
      </c>
      <c r="DV63">
        <v>148.895692</v>
      </c>
      <c r="DW63" t="s">
        <v>283</v>
      </c>
      <c r="DX63" t="s">
        <v>273</v>
      </c>
      <c r="DY63">
        <v>26.540835999999999</v>
      </c>
      <c r="DZ63">
        <v>4.6989999999999997E-2</v>
      </c>
      <c r="EA63">
        <v>2.0329429999999999</v>
      </c>
      <c r="EB63">
        <v>1.642771</v>
      </c>
      <c r="EC63">
        <v>80.807541999999998</v>
      </c>
      <c r="ED63">
        <v>20.980198000000001</v>
      </c>
      <c r="EE63">
        <v>995.68535899999995</v>
      </c>
      <c r="EF63">
        <v>11.343564000000001</v>
      </c>
      <c r="EG63">
        <v>22</v>
      </c>
      <c r="EH63">
        <v>22</v>
      </c>
      <c r="EI63">
        <v>21</v>
      </c>
      <c r="EJ63">
        <v>22</v>
      </c>
      <c r="EK63" t="s">
        <v>273</v>
      </c>
      <c r="EL63" t="s">
        <v>273</v>
      </c>
      <c r="EM63">
        <v>26.889707999999999</v>
      </c>
      <c r="EN63">
        <v>2.8778999999999999E-2</v>
      </c>
      <c r="EO63">
        <v>2.2171630000000002</v>
      </c>
      <c r="EP63">
        <v>1.7167140000000001</v>
      </c>
      <c r="EQ63">
        <v>77.428386000000003</v>
      </c>
      <c r="ER63">
        <v>20.221630999999999</v>
      </c>
      <c r="ES63">
        <v>960.29987400000005</v>
      </c>
      <c r="ET63">
        <v>6.9473940000000001</v>
      </c>
      <c r="EU63">
        <v>72</v>
      </c>
      <c r="EV63">
        <v>72</v>
      </c>
      <c r="EW63">
        <v>26</v>
      </c>
      <c r="EX63">
        <v>27</v>
      </c>
      <c r="EY63" t="s">
        <v>273</v>
      </c>
      <c r="EZ63" t="s">
        <v>273</v>
      </c>
      <c r="FA63">
        <v>30.723009000000001</v>
      </c>
      <c r="FB63">
        <v>4.7453000000000002E-2</v>
      </c>
      <c r="FC63">
        <v>2.0328650000000001</v>
      </c>
      <c r="FD63">
        <v>1.6426890000000001</v>
      </c>
      <c r="FE63">
        <v>80.806589000000002</v>
      </c>
      <c r="FF63">
        <v>24.285513000000002</v>
      </c>
      <c r="FG63">
        <v>995.78345999999999</v>
      </c>
      <c r="FH63">
        <v>11.455420999999999</v>
      </c>
      <c r="FI63">
        <v>22</v>
      </c>
      <c r="FJ63">
        <v>22</v>
      </c>
      <c r="FK63">
        <v>21</v>
      </c>
      <c r="FL63">
        <v>22</v>
      </c>
      <c r="FM63" t="s">
        <v>273</v>
      </c>
      <c r="FN63" t="s">
        <v>273</v>
      </c>
      <c r="FO63">
        <v>30.091241</v>
      </c>
      <c r="FP63">
        <v>5.7782E-2</v>
      </c>
      <c r="FQ63">
        <v>3.4544290000000002</v>
      </c>
      <c r="FR63">
        <v>2.997598</v>
      </c>
      <c r="FS63">
        <v>86.775492999999997</v>
      </c>
      <c r="FT63">
        <v>25.820298000000001</v>
      </c>
      <c r="FU63">
        <v>645.65670899999998</v>
      </c>
      <c r="FV63">
        <v>13.948855999999999</v>
      </c>
      <c r="FW63">
        <v>18</v>
      </c>
      <c r="FX63">
        <v>18</v>
      </c>
      <c r="FY63">
        <v>18</v>
      </c>
      <c r="FZ63">
        <v>18</v>
      </c>
      <c r="GA63" t="s">
        <v>273</v>
      </c>
      <c r="GB63" t="s">
        <v>273</v>
      </c>
      <c r="GC63">
        <v>31.099867</v>
      </c>
      <c r="GD63">
        <v>0.118314</v>
      </c>
      <c r="GE63">
        <v>2.384468</v>
      </c>
      <c r="GF63">
        <v>1.9195549999999999</v>
      </c>
      <c r="GG63">
        <v>80.502418000000006</v>
      </c>
      <c r="GH63">
        <v>24.316963000000001</v>
      </c>
      <c r="GI63">
        <v>2331.575139</v>
      </c>
      <c r="GJ63">
        <v>28.561596000000002</v>
      </c>
      <c r="GK63">
        <v>25</v>
      </c>
      <c r="GL63">
        <v>25</v>
      </c>
      <c r="GM63">
        <v>15</v>
      </c>
      <c r="GN63">
        <v>25</v>
      </c>
      <c r="GO63" t="s">
        <v>273</v>
      </c>
      <c r="GP63" t="s">
        <v>273</v>
      </c>
      <c r="GQ63">
        <v>31.515412999999999</v>
      </c>
      <c r="GR63">
        <v>0.105879</v>
      </c>
      <c r="GS63">
        <v>3.066945</v>
      </c>
      <c r="GT63">
        <v>2.6372810000000002</v>
      </c>
      <c r="GU63">
        <v>85.990482999999998</v>
      </c>
      <c r="GV63">
        <v>26.629619999999999</v>
      </c>
      <c r="GW63">
        <v>928.85113899999999</v>
      </c>
      <c r="GX63">
        <v>25.559826999999999</v>
      </c>
      <c r="GY63">
        <v>49</v>
      </c>
      <c r="GZ63">
        <v>49</v>
      </c>
      <c r="HA63">
        <v>24</v>
      </c>
      <c r="HB63">
        <v>25</v>
      </c>
      <c r="HC63" t="s">
        <v>273</v>
      </c>
      <c r="HD63" t="s">
        <v>273</v>
      </c>
      <c r="HE63">
        <v>31</v>
      </c>
      <c r="HF63">
        <v>2.9999999999999997E-4</v>
      </c>
      <c r="HG63">
        <v>2E-3</v>
      </c>
      <c r="HH63">
        <v>3.2258000000000002E-2</v>
      </c>
      <c r="HI63">
        <v>10000</v>
      </c>
    </row>
    <row r="64" spans="1:217" x14ac:dyDescent="0.3">
      <c r="A64">
        <v>465</v>
      </c>
      <c r="B64" t="s">
        <v>269</v>
      </c>
      <c r="F64" t="s">
        <v>270</v>
      </c>
      <c r="G64" t="s">
        <v>288</v>
      </c>
      <c r="H64" t="s">
        <v>289</v>
      </c>
      <c r="I64">
        <v>6000</v>
      </c>
      <c r="J64">
        <v>1</v>
      </c>
      <c r="K64">
        <v>20.606249999999999</v>
      </c>
      <c r="L64">
        <v>0.22</v>
      </c>
      <c r="M64">
        <v>2.1859E-2</v>
      </c>
      <c r="N64">
        <v>0</v>
      </c>
      <c r="O64">
        <v>0</v>
      </c>
      <c r="P64">
        <v>0</v>
      </c>
      <c r="Q64">
        <v>11.5</v>
      </c>
      <c r="R64">
        <v>1</v>
      </c>
      <c r="S64">
        <v>1</v>
      </c>
      <c r="T64">
        <v>1</v>
      </c>
      <c r="U64">
        <v>1</v>
      </c>
      <c r="V64">
        <v>100</v>
      </c>
      <c r="W64" t="s">
        <v>273</v>
      </c>
      <c r="X64" t="s">
        <v>274</v>
      </c>
      <c r="Y64" t="s">
        <v>274</v>
      </c>
      <c r="Z64" t="s">
        <v>273</v>
      </c>
      <c r="AA64" t="s">
        <v>275</v>
      </c>
      <c r="AB64" t="s">
        <v>276</v>
      </c>
      <c r="AC64">
        <v>505</v>
      </c>
      <c r="AD64">
        <v>5</v>
      </c>
      <c r="AE64" t="s">
        <v>277</v>
      </c>
      <c r="AF64">
        <v>2.9068200000000002</v>
      </c>
      <c r="AG64">
        <v>100</v>
      </c>
      <c r="AH64">
        <v>26.2</v>
      </c>
      <c r="AI64">
        <v>1570</v>
      </c>
      <c r="AJ64">
        <v>800</v>
      </c>
      <c r="AK64">
        <v>1200</v>
      </c>
      <c r="AL64">
        <v>144.6</v>
      </c>
      <c r="AM64">
        <v>2.2000000000000002</v>
      </c>
      <c r="AN64" t="s">
        <v>273</v>
      </c>
      <c r="AO64" t="s">
        <v>278</v>
      </c>
      <c r="AP64" t="s">
        <v>290</v>
      </c>
      <c r="AQ64">
        <v>4.3</v>
      </c>
      <c r="AR64">
        <v>6</v>
      </c>
      <c r="AS64">
        <v>241.4</v>
      </c>
      <c r="AT64">
        <v>439.2</v>
      </c>
      <c r="AU64">
        <v>0.250002</v>
      </c>
      <c r="AV64">
        <v>36.9</v>
      </c>
      <c r="AW64">
        <v>233.6</v>
      </c>
      <c r="AX64" t="s">
        <v>280</v>
      </c>
      <c r="AY64">
        <v>0</v>
      </c>
      <c r="AZ64" t="s">
        <v>281</v>
      </c>
      <c r="BA64">
        <v>0.2</v>
      </c>
      <c r="BB64">
        <v>0.5</v>
      </c>
      <c r="BC64" t="s">
        <v>273</v>
      </c>
      <c r="BD64" t="s">
        <v>273</v>
      </c>
      <c r="BE64">
        <v>22.408591000000001</v>
      </c>
      <c r="BF64">
        <v>22.666613000000002</v>
      </c>
      <c r="BG64">
        <v>382.28469699999999</v>
      </c>
      <c r="BH64" t="s">
        <v>273</v>
      </c>
      <c r="BI64">
        <v>36.533904</v>
      </c>
      <c r="BJ64">
        <v>36.954571000000001</v>
      </c>
      <c r="BK64">
        <v>234.479769</v>
      </c>
      <c r="BL64" t="s">
        <v>273</v>
      </c>
      <c r="BM64">
        <v>36.536043999999997</v>
      </c>
      <c r="BN64">
        <v>36.956735999999999</v>
      </c>
      <c r="BO64">
        <v>234.46603300000001</v>
      </c>
      <c r="BP64" t="s">
        <v>273</v>
      </c>
      <c r="BQ64">
        <v>21.239163999999999</v>
      </c>
      <c r="BR64">
        <v>21.483720999999999</v>
      </c>
      <c r="BS64">
        <v>403.33326</v>
      </c>
      <c r="BT64" t="s">
        <v>273</v>
      </c>
      <c r="BU64">
        <v>6.0147849999999998</v>
      </c>
      <c r="BV64">
        <v>6.0840420000000002</v>
      </c>
      <c r="BW64">
        <v>1424.233917</v>
      </c>
      <c r="BX64" t="s">
        <v>273</v>
      </c>
      <c r="BY64">
        <v>21.702563999999999</v>
      </c>
      <c r="BZ64">
        <v>21.418344000000001</v>
      </c>
      <c r="CA64">
        <v>25.232854</v>
      </c>
      <c r="CB64">
        <v>36.536043999999997</v>
      </c>
      <c r="CC64">
        <v>12.390257</v>
      </c>
      <c r="CD64">
        <v>26.738396999999999</v>
      </c>
      <c r="CE64" t="s">
        <v>273</v>
      </c>
      <c r="CF64">
        <v>21.952456999999999</v>
      </c>
      <c r="CG64">
        <v>21.664964000000001</v>
      </c>
      <c r="CH64">
        <v>25.523396000000002</v>
      </c>
      <c r="CI64">
        <v>36.956735999999999</v>
      </c>
      <c r="CJ64">
        <v>12.532924</v>
      </c>
      <c r="CK64">
        <v>27.046275000000001</v>
      </c>
      <c r="CL64" t="s">
        <v>273</v>
      </c>
      <c r="CM64">
        <v>394.72116</v>
      </c>
      <c r="CN64">
        <v>399.95909</v>
      </c>
      <c r="CO64">
        <v>339.49633399999999</v>
      </c>
      <c r="CP64">
        <v>234.46603300000001</v>
      </c>
      <c r="CQ64">
        <v>691.38687600000003</v>
      </c>
      <c r="CR64">
        <v>320.38050500000003</v>
      </c>
      <c r="CS64" t="s">
        <v>273</v>
      </c>
      <c r="CT64">
        <v>470.47437300000001</v>
      </c>
      <c r="CU64">
        <v>513.53078000000005</v>
      </c>
      <c r="CV64">
        <v>404.59585900000002</v>
      </c>
      <c r="CW64">
        <v>794.36615700000004</v>
      </c>
      <c r="CX64">
        <v>410.326955</v>
      </c>
      <c r="CY64">
        <v>660.26383999999996</v>
      </c>
      <c r="CZ64" t="s">
        <v>273</v>
      </c>
      <c r="DA64">
        <v>3.613156</v>
      </c>
      <c r="DB64">
        <v>510.01</v>
      </c>
      <c r="DC64">
        <v>3.892172</v>
      </c>
      <c r="DD64">
        <v>864</v>
      </c>
      <c r="DE64">
        <v>3.612663</v>
      </c>
      <c r="DF64">
        <v>505</v>
      </c>
      <c r="DG64">
        <v>10.270272</v>
      </c>
      <c r="DH64">
        <v>765</v>
      </c>
      <c r="DI64">
        <v>1.799078</v>
      </c>
      <c r="DJ64">
        <v>235</v>
      </c>
      <c r="DK64">
        <v>6.2473029999999996</v>
      </c>
      <c r="DL64">
        <v>365</v>
      </c>
      <c r="DM64" t="s">
        <v>273</v>
      </c>
      <c r="DN64">
        <v>3.6274829999999998</v>
      </c>
      <c r="DO64">
        <v>8.2305030000000006</v>
      </c>
      <c r="DP64">
        <v>4.3574279999999996</v>
      </c>
      <c r="DQ64" t="s">
        <v>282</v>
      </c>
      <c r="DR64">
        <v>4.7007479999999999</v>
      </c>
      <c r="DS64">
        <v>16.432599</v>
      </c>
      <c r="DT64">
        <v>33.721277999999998</v>
      </c>
      <c r="DU64">
        <v>91.136258999999995</v>
      </c>
      <c r="DV64">
        <v>159.73903899999999</v>
      </c>
      <c r="DW64" t="s">
        <v>283</v>
      </c>
      <c r="DX64" t="s">
        <v>273</v>
      </c>
      <c r="DY64">
        <v>23.887305000000001</v>
      </c>
      <c r="DZ64">
        <v>3.0624999999999999E-2</v>
      </c>
      <c r="EA64">
        <v>1.3044929999999999</v>
      </c>
      <c r="EB64">
        <v>1.072119</v>
      </c>
      <c r="EC64">
        <v>82.186639</v>
      </c>
      <c r="ED64">
        <v>19.178747000000001</v>
      </c>
      <c r="EE64">
        <v>648.43717000000004</v>
      </c>
      <c r="EF64">
        <v>7.3930699999999998</v>
      </c>
      <c r="EG64">
        <v>24</v>
      </c>
      <c r="EH64">
        <v>24</v>
      </c>
      <c r="EI64">
        <v>21</v>
      </c>
      <c r="EJ64">
        <v>23</v>
      </c>
      <c r="EK64" t="s">
        <v>273</v>
      </c>
      <c r="EL64" t="s">
        <v>273</v>
      </c>
      <c r="EM64">
        <v>22.540982</v>
      </c>
      <c r="EN64">
        <v>1.7488E-2</v>
      </c>
      <c r="EO64">
        <v>1.3436250000000001</v>
      </c>
      <c r="EP64">
        <v>1.0513870000000001</v>
      </c>
      <c r="EQ64">
        <v>78.250076000000007</v>
      </c>
      <c r="ER64">
        <v>16.997408</v>
      </c>
      <c r="ES64">
        <v>582.30979600000001</v>
      </c>
      <c r="ET64">
        <v>4.221641</v>
      </c>
      <c r="EU64">
        <v>25</v>
      </c>
      <c r="EV64">
        <v>25</v>
      </c>
      <c r="EW64">
        <v>25</v>
      </c>
      <c r="EX64">
        <v>25</v>
      </c>
      <c r="EY64" t="s">
        <v>273</v>
      </c>
      <c r="EZ64" t="s">
        <v>273</v>
      </c>
      <c r="FA64">
        <v>27.729603000000001</v>
      </c>
      <c r="FB64">
        <v>3.0929000000000002E-2</v>
      </c>
      <c r="FC64">
        <v>1.302278</v>
      </c>
      <c r="FD64">
        <v>1.0721339999999999</v>
      </c>
      <c r="FE64">
        <v>82.327555000000004</v>
      </c>
      <c r="FF64">
        <v>22.301503</v>
      </c>
      <c r="FG64">
        <v>648.52628500000003</v>
      </c>
      <c r="FH64">
        <v>7.4664229999999998</v>
      </c>
      <c r="FI64">
        <v>25</v>
      </c>
      <c r="FJ64">
        <v>25</v>
      </c>
      <c r="FK64">
        <v>19</v>
      </c>
      <c r="FL64">
        <v>22</v>
      </c>
      <c r="FM64" t="s">
        <v>273</v>
      </c>
      <c r="FN64" t="s">
        <v>273</v>
      </c>
      <c r="FO64">
        <v>28.028545000000001</v>
      </c>
      <c r="FP64">
        <v>4.3701999999999998E-2</v>
      </c>
      <c r="FQ64">
        <v>2.5844010000000002</v>
      </c>
      <c r="FR64">
        <v>2.2642500000000001</v>
      </c>
      <c r="FS64">
        <v>87.612156999999996</v>
      </c>
      <c r="FT64">
        <v>24.313238999999999</v>
      </c>
      <c r="FU64">
        <v>488.28569900000002</v>
      </c>
      <c r="FV64">
        <v>10.54978</v>
      </c>
      <c r="FW64">
        <v>7</v>
      </c>
      <c r="FX64">
        <v>7</v>
      </c>
      <c r="FY64">
        <v>7</v>
      </c>
      <c r="FZ64">
        <v>7</v>
      </c>
      <c r="GA64" t="s">
        <v>273</v>
      </c>
      <c r="GB64" t="s">
        <v>273</v>
      </c>
      <c r="GC64">
        <v>30.970281</v>
      </c>
      <c r="GD64">
        <v>7.3606000000000005E-2</v>
      </c>
      <c r="GE64">
        <v>1.475074</v>
      </c>
      <c r="GF64">
        <v>1.200728</v>
      </c>
      <c r="GG64">
        <v>81.401163999999994</v>
      </c>
      <c r="GH64">
        <v>24.353021999999999</v>
      </c>
      <c r="GI64">
        <v>1442.212344</v>
      </c>
      <c r="GJ64">
        <v>17.768889999999999</v>
      </c>
      <c r="GK64">
        <v>30</v>
      </c>
      <c r="GL64">
        <v>30</v>
      </c>
      <c r="GM64">
        <v>18</v>
      </c>
      <c r="GN64">
        <v>27</v>
      </c>
      <c r="GO64" t="s">
        <v>273</v>
      </c>
      <c r="GP64" t="s">
        <v>273</v>
      </c>
      <c r="GQ64">
        <v>30.974542</v>
      </c>
      <c r="GR64">
        <v>8.2912E-2</v>
      </c>
      <c r="GS64">
        <v>2.3738929999999998</v>
      </c>
      <c r="GT64">
        <v>2.0615199999999998</v>
      </c>
      <c r="GU64">
        <v>86.841308999999995</v>
      </c>
      <c r="GV64">
        <v>26.478878999999999</v>
      </c>
      <c r="GW64">
        <v>726.63641600000005</v>
      </c>
      <c r="GX64">
        <v>20.015467999999998</v>
      </c>
      <c r="GY64">
        <v>33</v>
      </c>
      <c r="GZ64">
        <v>33</v>
      </c>
      <c r="HA64">
        <v>15</v>
      </c>
      <c r="HB64">
        <v>15</v>
      </c>
      <c r="HC64" t="s">
        <v>273</v>
      </c>
      <c r="HD64" t="s">
        <v>273</v>
      </c>
      <c r="HE64">
        <v>18</v>
      </c>
      <c r="HF64">
        <v>2.9999999999999997E-4</v>
      </c>
      <c r="HG64">
        <v>3.0000000000000001E-3</v>
      </c>
      <c r="HH64">
        <v>5.5556000000000001E-2</v>
      </c>
      <c r="HI64">
        <v>6000</v>
      </c>
    </row>
    <row r="65" spans="1:217" x14ac:dyDescent="0.3">
      <c r="A65">
        <v>466</v>
      </c>
      <c r="B65" t="s">
        <v>269</v>
      </c>
      <c r="F65" t="s">
        <v>270</v>
      </c>
      <c r="G65" t="s">
        <v>288</v>
      </c>
      <c r="H65" t="s">
        <v>289</v>
      </c>
      <c r="I65">
        <v>6000</v>
      </c>
      <c r="J65">
        <v>1</v>
      </c>
      <c r="K65">
        <v>20.606249999999999</v>
      </c>
      <c r="L65">
        <v>0.22</v>
      </c>
      <c r="M65">
        <v>2.1859E-2</v>
      </c>
      <c r="N65">
        <v>0</v>
      </c>
      <c r="O65">
        <v>0</v>
      </c>
      <c r="P65">
        <v>0</v>
      </c>
      <c r="Q65">
        <v>11.5</v>
      </c>
      <c r="R65">
        <v>1</v>
      </c>
      <c r="S65">
        <v>1</v>
      </c>
      <c r="T65">
        <v>1</v>
      </c>
      <c r="U65">
        <v>1</v>
      </c>
      <c r="V65">
        <v>100</v>
      </c>
      <c r="W65" t="s">
        <v>273</v>
      </c>
      <c r="X65" t="s">
        <v>274</v>
      </c>
      <c r="Y65" t="s">
        <v>274</v>
      </c>
      <c r="Z65" t="s">
        <v>273</v>
      </c>
      <c r="AA65" t="s">
        <v>275</v>
      </c>
      <c r="AB65" t="s">
        <v>276</v>
      </c>
      <c r="AC65">
        <v>293</v>
      </c>
      <c r="AD65">
        <v>5</v>
      </c>
      <c r="AE65" t="s">
        <v>277</v>
      </c>
      <c r="AF65">
        <v>3.1937989999999998</v>
      </c>
      <c r="AG65">
        <v>100</v>
      </c>
      <c r="AH65">
        <v>28.8</v>
      </c>
      <c r="AI65">
        <v>1725</v>
      </c>
      <c r="AJ65">
        <v>800</v>
      </c>
      <c r="AK65">
        <v>1200</v>
      </c>
      <c r="AL65">
        <v>189.9</v>
      </c>
      <c r="AM65">
        <v>2.2000000000000002</v>
      </c>
      <c r="AN65" t="s">
        <v>273</v>
      </c>
      <c r="AO65" t="s">
        <v>278</v>
      </c>
      <c r="AP65" t="s">
        <v>291</v>
      </c>
      <c r="AQ65">
        <v>2.5</v>
      </c>
      <c r="AR65">
        <v>6</v>
      </c>
      <c r="AS65">
        <v>140</v>
      </c>
      <c r="AT65">
        <v>254.8</v>
      </c>
      <c r="AU65">
        <v>0.14535000000000001</v>
      </c>
      <c r="AV65">
        <v>36.1</v>
      </c>
      <c r="AW65">
        <v>238.9</v>
      </c>
      <c r="AX65" t="s">
        <v>280</v>
      </c>
      <c r="AY65">
        <v>0</v>
      </c>
      <c r="AZ65" t="s">
        <v>281</v>
      </c>
      <c r="BA65">
        <v>0.2</v>
      </c>
      <c r="BB65">
        <v>0.5</v>
      </c>
      <c r="BC65" t="s">
        <v>273</v>
      </c>
      <c r="BD65" t="s">
        <v>273</v>
      </c>
      <c r="BE65">
        <v>24.764085999999999</v>
      </c>
      <c r="BF65">
        <v>25.049230000000001</v>
      </c>
      <c r="BG65">
        <v>345.92277799999999</v>
      </c>
      <c r="BH65" t="s">
        <v>273</v>
      </c>
      <c r="BI65">
        <v>38.920831999999997</v>
      </c>
      <c r="BJ65">
        <v>39.368983</v>
      </c>
      <c r="BK65">
        <v>220.09964400000001</v>
      </c>
      <c r="BL65" t="s">
        <v>273</v>
      </c>
      <c r="BM65">
        <v>38.923310000000001</v>
      </c>
      <c r="BN65">
        <v>39.371490000000001</v>
      </c>
      <c r="BO65">
        <v>220.08562900000001</v>
      </c>
      <c r="BP65" t="s">
        <v>273</v>
      </c>
      <c r="BQ65">
        <v>21.212700999999999</v>
      </c>
      <c r="BR65">
        <v>21.456952999999999</v>
      </c>
      <c r="BS65">
        <v>403.83642099999997</v>
      </c>
      <c r="BT65" t="s">
        <v>273</v>
      </c>
      <c r="BU65">
        <v>8.4180150000000005</v>
      </c>
      <c r="BV65">
        <v>8.5149430000000006</v>
      </c>
      <c r="BW65">
        <v>1017.634414</v>
      </c>
      <c r="BX65" t="s">
        <v>273</v>
      </c>
      <c r="BY65">
        <v>23.291132000000001</v>
      </c>
      <c r="BZ65">
        <v>24.324760000000001</v>
      </c>
      <c r="CA65">
        <v>26.970495</v>
      </c>
      <c r="CB65">
        <v>38.923310000000001</v>
      </c>
      <c r="CC65">
        <v>12.11942</v>
      </c>
      <c r="CD65">
        <v>27.02168</v>
      </c>
      <c r="CE65" t="s">
        <v>273</v>
      </c>
      <c r="CF65">
        <v>23.559315999999999</v>
      </c>
      <c r="CG65">
        <v>24.604845999999998</v>
      </c>
      <c r="CH65">
        <v>27.281044000000001</v>
      </c>
      <c r="CI65">
        <v>39.371490000000001</v>
      </c>
      <c r="CJ65">
        <v>12.258967999999999</v>
      </c>
      <c r="CK65">
        <v>27.332819000000001</v>
      </c>
      <c r="CL65" t="s">
        <v>273</v>
      </c>
      <c r="CM65">
        <v>367.79927400000003</v>
      </c>
      <c r="CN65">
        <v>352.17042800000002</v>
      </c>
      <c r="CO65">
        <v>317.62344100000001</v>
      </c>
      <c r="CP65">
        <v>220.08562900000001</v>
      </c>
      <c r="CQ65">
        <v>706.83758699999998</v>
      </c>
      <c r="CR65">
        <v>317.02178800000002</v>
      </c>
      <c r="CS65" t="s">
        <v>273</v>
      </c>
      <c r="CT65">
        <v>437.87158199999999</v>
      </c>
      <c r="CU65">
        <v>451.107167</v>
      </c>
      <c r="CV65">
        <v>378.07755800000001</v>
      </c>
      <c r="CW65">
        <v>745.49453300000005</v>
      </c>
      <c r="CX65">
        <v>416.87047699999999</v>
      </c>
      <c r="CY65">
        <v>652.56230100000005</v>
      </c>
      <c r="CZ65" t="s">
        <v>273</v>
      </c>
      <c r="DA65">
        <v>3.6089180000000001</v>
      </c>
      <c r="DB65">
        <v>510.01</v>
      </c>
      <c r="DC65">
        <v>3.8830049999999998</v>
      </c>
      <c r="DD65">
        <v>864</v>
      </c>
      <c r="DE65">
        <v>3.6083569999999998</v>
      </c>
      <c r="DF65">
        <v>505</v>
      </c>
      <c r="DG65">
        <v>10.268190000000001</v>
      </c>
      <c r="DH65">
        <v>765</v>
      </c>
      <c r="DI65">
        <v>1.7878149999999999</v>
      </c>
      <c r="DJ65">
        <v>235</v>
      </c>
      <c r="DK65">
        <v>6.2398480000000003</v>
      </c>
      <c r="DL65">
        <v>365</v>
      </c>
      <c r="DM65" t="s">
        <v>273</v>
      </c>
      <c r="DN65">
        <v>5.1070440000000001</v>
      </c>
      <c r="DO65">
        <v>13.148510999999999</v>
      </c>
      <c r="DP65">
        <v>6.6666350000000003</v>
      </c>
      <c r="DQ65" t="s">
        <v>282</v>
      </c>
      <c r="DR65">
        <v>7.6907019999999999</v>
      </c>
      <c r="DS65">
        <v>19.759270999999998</v>
      </c>
      <c r="DT65">
        <v>47.265118999999999</v>
      </c>
      <c r="DU65">
        <v>75.347690999999998</v>
      </c>
      <c r="DV65">
        <v>126.912933</v>
      </c>
      <c r="DW65" t="s">
        <v>283</v>
      </c>
      <c r="DX65" t="s">
        <v>273</v>
      </c>
      <c r="DY65">
        <v>25.617729000000001</v>
      </c>
      <c r="DZ65">
        <v>5.2717E-2</v>
      </c>
      <c r="EA65">
        <v>1.3020449999999999</v>
      </c>
      <c r="EB65">
        <v>1.066228</v>
      </c>
      <c r="EC65">
        <v>81.888713999999993</v>
      </c>
      <c r="ED65">
        <v>20.576160000000002</v>
      </c>
      <c r="EE65">
        <v>648.23400200000003</v>
      </c>
      <c r="EF65">
        <v>7.382085</v>
      </c>
      <c r="EG65">
        <v>29</v>
      </c>
      <c r="EH65">
        <v>29</v>
      </c>
      <c r="EI65">
        <v>23</v>
      </c>
      <c r="EJ65">
        <v>28</v>
      </c>
      <c r="EK65" t="s">
        <v>273</v>
      </c>
      <c r="EL65" t="s">
        <v>273</v>
      </c>
      <c r="EM65">
        <v>25.463646000000001</v>
      </c>
      <c r="EN65">
        <v>3.0082999999999999E-2</v>
      </c>
      <c r="EO65">
        <v>1.333334</v>
      </c>
      <c r="EP65">
        <v>1.038969</v>
      </c>
      <c r="EQ65">
        <v>77.922597999999994</v>
      </c>
      <c r="ER65">
        <v>19.307613</v>
      </c>
      <c r="ES65">
        <v>582.42240500000003</v>
      </c>
      <c r="ET65">
        <v>4.2125120000000003</v>
      </c>
      <c r="EU65">
        <v>28</v>
      </c>
      <c r="EV65">
        <v>28</v>
      </c>
      <c r="EW65">
        <v>27</v>
      </c>
      <c r="EX65">
        <v>28</v>
      </c>
      <c r="EY65" t="s">
        <v>273</v>
      </c>
      <c r="EZ65" t="s">
        <v>273</v>
      </c>
      <c r="FA65">
        <v>29.664639999999999</v>
      </c>
      <c r="FB65">
        <v>5.3237E-2</v>
      </c>
      <c r="FC65">
        <v>1.3018430000000001</v>
      </c>
      <c r="FD65">
        <v>1.066182</v>
      </c>
      <c r="FE65">
        <v>81.897897</v>
      </c>
      <c r="FF65">
        <v>23.828831000000001</v>
      </c>
      <c r="FG65">
        <v>648.29698499999995</v>
      </c>
      <c r="FH65">
        <v>7.4548860000000001</v>
      </c>
      <c r="FI65">
        <v>29</v>
      </c>
      <c r="FJ65">
        <v>29</v>
      </c>
      <c r="FK65">
        <v>22</v>
      </c>
      <c r="FL65">
        <v>27</v>
      </c>
      <c r="FM65" t="s">
        <v>273</v>
      </c>
      <c r="FN65" t="s">
        <v>273</v>
      </c>
      <c r="FO65">
        <v>29.876619999999999</v>
      </c>
      <c r="FP65">
        <v>7.5236999999999998E-2</v>
      </c>
      <c r="FQ65">
        <v>2.5853220000000001</v>
      </c>
      <c r="FR65">
        <v>2.2575690000000002</v>
      </c>
      <c r="FS65">
        <v>87.322564999999997</v>
      </c>
      <c r="FT65">
        <v>25.872374000000001</v>
      </c>
      <c r="FU65">
        <v>487.72975000000002</v>
      </c>
      <c r="FV65">
        <v>10.535633000000001</v>
      </c>
      <c r="FW65">
        <v>24</v>
      </c>
      <c r="FX65">
        <v>24</v>
      </c>
      <c r="FY65">
        <v>24</v>
      </c>
      <c r="FZ65">
        <v>23</v>
      </c>
      <c r="GA65" t="s">
        <v>273</v>
      </c>
      <c r="GB65" t="s">
        <v>273</v>
      </c>
      <c r="GC65">
        <v>30.496621999999999</v>
      </c>
      <c r="GD65">
        <v>0.12690799999999999</v>
      </c>
      <c r="GE65">
        <v>1.475678</v>
      </c>
      <c r="GF65">
        <v>1.192949</v>
      </c>
      <c r="GG65">
        <v>80.840745999999996</v>
      </c>
      <c r="GH65">
        <v>23.973668</v>
      </c>
      <c r="GI65">
        <v>1451.4792480000001</v>
      </c>
      <c r="GJ65">
        <v>17.771108000000002</v>
      </c>
      <c r="GK65">
        <v>25</v>
      </c>
      <c r="GL65">
        <v>25</v>
      </c>
      <c r="GM65">
        <v>15</v>
      </c>
      <c r="GN65">
        <v>25</v>
      </c>
      <c r="GO65" t="s">
        <v>273</v>
      </c>
      <c r="GP65" t="s">
        <v>273</v>
      </c>
      <c r="GQ65">
        <v>31.186931999999999</v>
      </c>
      <c r="GR65">
        <v>0.14213300000000001</v>
      </c>
      <c r="GS65">
        <v>2.3622909999999999</v>
      </c>
      <c r="GT65">
        <v>2.0420699999999998</v>
      </c>
      <c r="GU65">
        <v>86.444502</v>
      </c>
      <c r="GV65">
        <v>26.640953</v>
      </c>
      <c r="GW65">
        <v>723.41970100000003</v>
      </c>
      <c r="GX65">
        <v>19.903082999999999</v>
      </c>
      <c r="GY65">
        <v>36</v>
      </c>
      <c r="GZ65">
        <v>36</v>
      </c>
      <c r="HA65">
        <v>28</v>
      </c>
      <c r="HB65">
        <v>30</v>
      </c>
      <c r="HC65" t="s">
        <v>273</v>
      </c>
      <c r="HD65" t="s">
        <v>273</v>
      </c>
      <c r="HE65">
        <v>31</v>
      </c>
      <c r="HF65">
        <v>2.9999999999999997E-4</v>
      </c>
      <c r="HG65">
        <v>3.0000000000000001E-3</v>
      </c>
      <c r="HH65">
        <v>3.2258000000000002E-2</v>
      </c>
      <c r="HI65">
        <v>6000</v>
      </c>
    </row>
    <row r="66" spans="1:217" x14ac:dyDescent="0.3">
      <c r="A66">
        <v>467</v>
      </c>
      <c r="B66" t="s">
        <v>269</v>
      </c>
      <c r="F66" t="s">
        <v>270</v>
      </c>
      <c r="G66" t="s">
        <v>288</v>
      </c>
      <c r="H66" t="s">
        <v>289</v>
      </c>
      <c r="I66">
        <v>8000</v>
      </c>
      <c r="J66">
        <v>1</v>
      </c>
      <c r="K66">
        <v>28.574999999999999</v>
      </c>
      <c r="L66">
        <v>0.22</v>
      </c>
      <c r="M66">
        <v>3.0062999999999999E-2</v>
      </c>
      <c r="N66">
        <v>0</v>
      </c>
      <c r="O66">
        <v>0</v>
      </c>
      <c r="P66">
        <v>0</v>
      </c>
      <c r="Q66">
        <v>15.3</v>
      </c>
      <c r="R66">
        <v>1</v>
      </c>
      <c r="S66">
        <v>1</v>
      </c>
      <c r="T66">
        <v>1</v>
      </c>
      <c r="U66">
        <v>1</v>
      </c>
      <c r="V66">
        <v>100</v>
      </c>
      <c r="W66" t="s">
        <v>273</v>
      </c>
      <c r="X66" t="s">
        <v>274</v>
      </c>
      <c r="Y66" t="s">
        <v>274</v>
      </c>
      <c r="Z66" t="s">
        <v>273</v>
      </c>
      <c r="AA66" t="s">
        <v>275</v>
      </c>
      <c r="AB66" t="s">
        <v>276</v>
      </c>
      <c r="AC66">
        <v>399</v>
      </c>
      <c r="AD66">
        <v>5</v>
      </c>
      <c r="AE66" t="s">
        <v>277</v>
      </c>
      <c r="AF66">
        <v>3.0734530000000002</v>
      </c>
      <c r="AG66">
        <v>100</v>
      </c>
      <c r="AH66">
        <v>27.7</v>
      </c>
      <c r="AI66">
        <v>1660</v>
      </c>
      <c r="AJ66">
        <v>800</v>
      </c>
      <c r="AK66">
        <v>1200</v>
      </c>
      <c r="AL66">
        <v>162.69999999999999</v>
      </c>
      <c r="AM66">
        <v>2.2000000000000002</v>
      </c>
      <c r="AN66" t="s">
        <v>273</v>
      </c>
      <c r="AO66" t="s">
        <v>278</v>
      </c>
      <c r="AP66" t="s">
        <v>292</v>
      </c>
      <c r="AQ66">
        <v>3.4</v>
      </c>
      <c r="AR66">
        <v>6</v>
      </c>
      <c r="AS66">
        <v>190.7</v>
      </c>
      <c r="AT66">
        <v>347</v>
      </c>
      <c r="AU66">
        <v>0.19767599999999999</v>
      </c>
      <c r="AV66">
        <v>36.5</v>
      </c>
      <c r="AW66">
        <v>235.8</v>
      </c>
      <c r="AX66" t="s">
        <v>280</v>
      </c>
      <c r="AY66">
        <v>0</v>
      </c>
      <c r="AZ66" t="s">
        <v>281</v>
      </c>
      <c r="BA66">
        <v>0.2</v>
      </c>
      <c r="BB66">
        <v>0.5</v>
      </c>
      <c r="BC66" t="s">
        <v>273</v>
      </c>
      <c r="BD66" t="s">
        <v>273</v>
      </c>
      <c r="BE66">
        <v>19.071487000000001</v>
      </c>
      <c r="BF66">
        <v>19.291084000000001</v>
      </c>
      <c r="BG66">
        <v>449.17637000000002</v>
      </c>
      <c r="BH66" t="s">
        <v>273</v>
      </c>
      <c r="BI66">
        <v>30.099919</v>
      </c>
      <c r="BJ66">
        <v>30.446503</v>
      </c>
      <c r="BK66">
        <v>284.60080699999997</v>
      </c>
      <c r="BL66" t="s">
        <v>273</v>
      </c>
      <c r="BM66">
        <v>30.100774000000001</v>
      </c>
      <c r="BN66">
        <v>30.447367</v>
      </c>
      <c r="BO66">
        <v>284.59272499999997</v>
      </c>
      <c r="BP66" t="s">
        <v>273</v>
      </c>
      <c r="BQ66">
        <v>16.134478999999999</v>
      </c>
      <c r="BR66">
        <v>16.320259</v>
      </c>
      <c r="BS66">
        <v>530.94128899999998</v>
      </c>
      <c r="BT66" t="s">
        <v>273</v>
      </c>
      <c r="BU66">
        <v>6.2935350000000003</v>
      </c>
      <c r="BV66">
        <v>6.3660019999999999</v>
      </c>
      <c r="BW66">
        <v>1361.1525180000001</v>
      </c>
      <c r="BX66" t="s">
        <v>273</v>
      </c>
      <c r="BY66">
        <v>17.852371999999999</v>
      </c>
      <c r="BZ66">
        <v>18.819566999999999</v>
      </c>
      <c r="CA66">
        <v>20.657889000000001</v>
      </c>
      <c r="CB66">
        <v>30.100774000000001</v>
      </c>
      <c r="CC66">
        <v>9.1664949999999994</v>
      </c>
      <c r="CD66">
        <v>20.627580999999999</v>
      </c>
      <c r="CE66" t="s">
        <v>273</v>
      </c>
      <c r="CF66">
        <v>18.057932000000001</v>
      </c>
      <c r="CG66">
        <v>19.036263999999999</v>
      </c>
      <c r="CH66">
        <v>20.895752999999999</v>
      </c>
      <c r="CI66">
        <v>30.447367</v>
      </c>
      <c r="CJ66">
        <v>9.2720420000000008</v>
      </c>
      <c r="CK66">
        <v>20.865096000000001</v>
      </c>
      <c r="CL66" t="s">
        <v>273</v>
      </c>
      <c r="CM66">
        <v>479.85001899999997</v>
      </c>
      <c r="CN66">
        <v>455.18907200000001</v>
      </c>
      <c r="CO66">
        <v>414.682321</v>
      </c>
      <c r="CP66">
        <v>284.59272499999997</v>
      </c>
      <c r="CQ66">
        <v>934.54052899999999</v>
      </c>
      <c r="CR66">
        <v>415.29161099999999</v>
      </c>
      <c r="CS66" t="s">
        <v>273</v>
      </c>
      <c r="CT66">
        <v>571.33643099999995</v>
      </c>
      <c r="CU66">
        <v>583.205332</v>
      </c>
      <c r="CV66">
        <v>493.66945399999997</v>
      </c>
      <c r="CW66">
        <v>964.02088700000002</v>
      </c>
      <c r="CX66">
        <v>551.25861699999996</v>
      </c>
      <c r="CY66">
        <v>854.90198199999998</v>
      </c>
      <c r="CZ66" t="s">
        <v>273</v>
      </c>
      <c r="DA66">
        <v>3.6093380000000002</v>
      </c>
      <c r="DB66">
        <v>510.01</v>
      </c>
      <c r="DC66">
        <v>3.8839250000000001</v>
      </c>
      <c r="DD66">
        <v>864</v>
      </c>
      <c r="DE66">
        <v>3.6087920000000002</v>
      </c>
      <c r="DF66">
        <v>505</v>
      </c>
      <c r="DG66">
        <v>10.268424</v>
      </c>
      <c r="DH66">
        <v>765</v>
      </c>
      <c r="DI66">
        <v>1.788127</v>
      </c>
      <c r="DJ66">
        <v>235</v>
      </c>
      <c r="DK66">
        <v>6.2402829999999998</v>
      </c>
      <c r="DL66">
        <v>365</v>
      </c>
      <c r="DM66" t="s">
        <v>273</v>
      </c>
      <c r="DN66">
        <v>5.1031089999999999</v>
      </c>
      <c r="DO66">
        <v>13.077738999999999</v>
      </c>
      <c r="DP66">
        <v>6.5971950000000001</v>
      </c>
      <c r="DQ66" t="s">
        <v>282</v>
      </c>
      <c r="DR66">
        <v>7.358301</v>
      </c>
      <c r="DS66">
        <v>19.682261</v>
      </c>
      <c r="DT66">
        <v>46.715494999999997</v>
      </c>
      <c r="DU66">
        <v>75.926580999999999</v>
      </c>
      <c r="DV66">
        <v>126.463545</v>
      </c>
      <c r="DW66" t="s">
        <v>283</v>
      </c>
      <c r="DX66" t="s">
        <v>273</v>
      </c>
      <c r="DY66">
        <v>26.267444000000001</v>
      </c>
      <c r="DZ66">
        <v>5.1596999999999997E-2</v>
      </c>
      <c r="EA66">
        <v>1.7420009999999999</v>
      </c>
      <c r="EB66">
        <v>1.421672</v>
      </c>
      <c r="EC66">
        <v>81.611425999999994</v>
      </c>
      <c r="ED66">
        <v>21.021153000000002</v>
      </c>
      <c r="EE66">
        <v>864.00977999999998</v>
      </c>
      <c r="EF66">
        <v>9.8404819999999997</v>
      </c>
      <c r="EG66">
        <v>28</v>
      </c>
      <c r="EH66">
        <v>28</v>
      </c>
      <c r="EI66">
        <v>22</v>
      </c>
      <c r="EJ66">
        <v>27</v>
      </c>
      <c r="EK66" t="s">
        <v>273</v>
      </c>
      <c r="EL66" t="s">
        <v>273</v>
      </c>
      <c r="EM66">
        <v>26.368438000000001</v>
      </c>
      <c r="EN66">
        <v>2.9440000000000001E-2</v>
      </c>
      <c r="EO66">
        <v>1.785026</v>
      </c>
      <c r="EP66">
        <v>1.3857969999999999</v>
      </c>
      <c r="EQ66">
        <v>77.634525999999994</v>
      </c>
      <c r="ER66">
        <v>19.905677000000001</v>
      </c>
      <c r="ES66">
        <v>776.11413200000004</v>
      </c>
      <c r="ET66">
        <v>5.6147640000000001</v>
      </c>
      <c r="EU66">
        <v>28</v>
      </c>
      <c r="EV66">
        <v>28</v>
      </c>
      <c r="EW66">
        <v>27</v>
      </c>
      <c r="EX66">
        <v>28</v>
      </c>
      <c r="EY66" t="s">
        <v>273</v>
      </c>
      <c r="EZ66" t="s">
        <v>273</v>
      </c>
      <c r="FA66">
        <v>30.397459999999999</v>
      </c>
      <c r="FB66">
        <v>5.2106E-2</v>
      </c>
      <c r="FC66">
        <v>1.7418560000000001</v>
      </c>
      <c r="FD66">
        <v>1.4215979999999999</v>
      </c>
      <c r="FE66">
        <v>81.613957999999997</v>
      </c>
      <c r="FF66">
        <v>24.327023000000001</v>
      </c>
      <c r="FG66">
        <v>864.09849599999995</v>
      </c>
      <c r="FH66">
        <v>9.9376259999999998</v>
      </c>
      <c r="FI66">
        <v>28</v>
      </c>
      <c r="FJ66">
        <v>28</v>
      </c>
      <c r="FK66">
        <v>22</v>
      </c>
      <c r="FL66">
        <v>27</v>
      </c>
      <c r="FM66" t="s">
        <v>273</v>
      </c>
      <c r="FN66" t="s">
        <v>273</v>
      </c>
      <c r="FO66">
        <v>30.818684999999999</v>
      </c>
      <c r="FP66">
        <v>7.3566999999999994E-2</v>
      </c>
      <c r="FQ66">
        <v>3.4485709999999998</v>
      </c>
      <c r="FR66">
        <v>3.0065170000000001</v>
      </c>
      <c r="FS66">
        <v>87.181515000000005</v>
      </c>
      <c r="FT66">
        <v>26.644701999999999</v>
      </c>
      <c r="FU66">
        <v>649.51020200000005</v>
      </c>
      <c r="FV66">
        <v>14.030631</v>
      </c>
      <c r="FW66">
        <v>24</v>
      </c>
      <c r="FX66">
        <v>24</v>
      </c>
      <c r="FY66">
        <v>23</v>
      </c>
      <c r="FZ66">
        <v>22</v>
      </c>
      <c r="GA66" t="s">
        <v>273</v>
      </c>
      <c r="GB66" t="s">
        <v>273</v>
      </c>
      <c r="GC66">
        <v>30.650959</v>
      </c>
      <c r="GD66">
        <v>0.124248</v>
      </c>
      <c r="GE66">
        <v>1.961273</v>
      </c>
      <c r="GF66">
        <v>1.5910120000000001</v>
      </c>
      <c r="GG66">
        <v>81.121368000000004</v>
      </c>
      <c r="GH66">
        <v>24.174016000000002</v>
      </c>
      <c r="GI66">
        <v>1935.09935</v>
      </c>
      <c r="GJ66">
        <v>23.696417</v>
      </c>
      <c r="GK66">
        <v>25</v>
      </c>
      <c r="GL66">
        <v>25</v>
      </c>
      <c r="GM66">
        <v>16</v>
      </c>
      <c r="GN66">
        <v>25</v>
      </c>
      <c r="GO66" t="s">
        <v>273</v>
      </c>
      <c r="GP66" t="s">
        <v>273</v>
      </c>
      <c r="GQ66">
        <v>31.777384000000001</v>
      </c>
      <c r="GR66">
        <v>0.13932900000000001</v>
      </c>
      <c r="GS66">
        <v>3.1533570000000002</v>
      </c>
      <c r="GT66">
        <v>2.727503</v>
      </c>
      <c r="GU66">
        <v>86.495203000000004</v>
      </c>
      <c r="GV66">
        <v>27.149909999999998</v>
      </c>
      <c r="GW66">
        <v>965.76845900000001</v>
      </c>
      <c r="GX66">
        <v>26.572557</v>
      </c>
      <c r="GY66">
        <v>41</v>
      </c>
      <c r="GZ66">
        <v>41</v>
      </c>
      <c r="HA66">
        <v>31</v>
      </c>
      <c r="HB66">
        <v>33</v>
      </c>
      <c r="HC66" t="s">
        <v>273</v>
      </c>
      <c r="HD66" t="s">
        <v>273</v>
      </c>
      <c r="HE66">
        <v>31</v>
      </c>
      <c r="HF66">
        <v>2.9999999999999997E-4</v>
      </c>
      <c r="HG66">
        <v>3.0000000000000001E-3</v>
      </c>
      <c r="HH66">
        <v>3.2258000000000002E-2</v>
      </c>
      <c r="HI66">
        <v>8000</v>
      </c>
    </row>
    <row r="67" spans="1:217" x14ac:dyDescent="0.3">
      <c r="A67">
        <v>468</v>
      </c>
      <c r="B67" t="s">
        <v>269</v>
      </c>
      <c r="F67" t="s">
        <v>270</v>
      </c>
      <c r="G67" t="s">
        <v>288</v>
      </c>
      <c r="H67" t="s">
        <v>289</v>
      </c>
      <c r="I67">
        <v>10000</v>
      </c>
      <c r="J67">
        <v>1</v>
      </c>
      <c r="K67">
        <v>36.543750000000003</v>
      </c>
      <c r="L67">
        <v>0.22</v>
      </c>
      <c r="M67">
        <v>3.8266000000000001E-2</v>
      </c>
      <c r="N67">
        <v>0</v>
      </c>
      <c r="O67">
        <v>0</v>
      </c>
      <c r="P67">
        <v>0</v>
      </c>
      <c r="Q67">
        <v>19.09</v>
      </c>
      <c r="R67">
        <v>1</v>
      </c>
      <c r="S67">
        <v>1</v>
      </c>
      <c r="T67">
        <v>1</v>
      </c>
      <c r="U67">
        <v>1</v>
      </c>
      <c r="V67">
        <v>100</v>
      </c>
      <c r="W67" t="s">
        <v>273</v>
      </c>
      <c r="X67" t="s">
        <v>274</v>
      </c>
      <c r="Y67" t="s">
        <v>274</v>
      </c>
      <c r="Z67" t="s">
        <v>273</v>
      </c>
      <c r="AA67" t="s">
        <v>275</v>
      </c>
      <c r="AB67" t="s">
        <v>276</v>
      </c>
      <c r="AC67">
        <v>505</v>
      </c>
      <c r="AD67">
        <v>5</v>
      </c>
      <c r="AE67" t="s">
        <v>277</v>
      </c>
      <c r="AF67">
        <v>2.9068200000000002</v>
      </c>
      <c r="AG67">
        <v>100</v>
      </c>
      <c r="AH67">
        <v>26.2</v>
      </c>
      <c r="AI67">
        <v>1570</v>
      </c>
      <c r="AJ67">
        <v>800</v>
      </c>
      <c r="AK67">
        <v>1200</v>
      </c>
      <c r="AL67">
        <v>144.6</v>
      </c>
      <c r="AM67">
        <v>2.2000000000000002</v>
      </c>
      <c r="AN67" t="s">
        <v>273</v>
      </c>
      <c r="AO67" t="s">
        <v>278</v>
      </c>
      <c r="AP67" t="s">
        <v>290</v>
      </c>
      <c r="AQ67">
        <v>4.3</v>
      </c>
      <c r="AR67">
        <v>6</v>
      </c>
      <c r="AS67">
        <v>241.4</v>
      </c>
      <c r="AT67">
        <v>439.2</v>
      </c>
      <c r="AU67">
        <v>0.250002</v>
      </c>
      <c r="AV67">
        <v>36.9</v>
      </c>
      <c r="AW67">
        <v>233.6</v>
      </c>
      <c r="AX67" t="s">
        <v>280</v>
      </c>
      <c r="AY67">
        <v>0</v>
      </c>
      <c r="AZ67" t="s">
        <v>281</v>
      </c>
      <c r="BA67">
        <v>0.2</v>
      </c>
      <c r="BB67">
        <v>0.5</v>
      </c>
      <c r="BC67" t="s">
        <v>273</v>
      </c>
      <c r="BD67" t="s">
        <v>273</v>
      </c>
      <c r="BE67">
        <v>15.505943</v>
      </c>
      <c r="BF67">
        <v>15.684485</v>
      </c>
      <c r="BG67">
        <v>552.46310700000004</v>
      </c>
      <c r="BH67" t="s">
        <v>273</v>
      </c>
      <c r="BI67">
        <v>24.381375999999999</v>
      </c>
      <c r="BJ67">
        <v>24.662113999999999</v>
      </c>
      <c r="BK67">
        <v>351.35265399999997</v>
      </c>
      <c r="BL67" t="s">
        <v>273</v>
      </c>
      <c r="BM67">
        <v>24.382394000000001</v>
      </c>
      <c r="BN67">
        <v>24.663143000000002</v>
      </c>
      <c r="BO67">
        <v>351.33798899999999</v>
      </c>
      <c r="BP67" t="s">
        <v>273</v>
      </c>
      <c r="BQ67">
        <v>13.025105</v>
      </c>
      <c r="BR67">
        <v>13.175082</v>
      </c>
      <c r="BS67">
        <v>657.68845699999997</v>
      </c>
      <c r="BT67" t="s">
        <v>273</v>
      </c>
      <c r="BU67">
        <v>4.9944670000000002</v>
      </c>
      <c r="BV67">
        <v>5.0519749999999997</v>
      </c>
      <c r="BW67">
        <v>1715.1903950000001</v>
      </c>
      <c r="BX67" t="s">
        <v>273</v>
      </c>
      <c r="BY67">
        <v>14.515636000000001</v>
      </c>
      <c r="BZ67">
        <v>15.301629999999999</v>
      </c>
      <c r="CA67">
        <v>16.793634000000001</v>
      </c>
      <c r="CB67">
        <v>24.382394000000001</v>
      </c>
      <c r="CC67">
        <v>7.3972100000000003</v>
      </c>
      <c r="CD67">
        <v>16.656818999999999</v>
      </c>
      <c r="CE67" t="s">
        <v>273</v>
      </c>
      <c r="CF67">
        <v>14.682774999999999</v>
      </c>
      <c r="CG67">
        <v>15.477819999999999</v>
      </c>
      <c r="CH67">
        <v>16.987003000000001</v>
      </c>
      <c r="CI67">
        <v>24.663143000000002</v>
      </c>
      <c r="CJ67">
        <v>7.4823849999999998</v>
      </c>
      <c r="CK67">
        <v>16.848613</v>
      </c>
      <c r="CL67" t="s">
        <v>273</v>
      </c>
      <c r="CM67">
        <v>590.15406299999995</v>
      </c>
      <c r="CN67">
        <v>559.83977000000004</v>
      </c>
      <c r="CO67">
        <v>510.10170699999998</v>
      </c>
      <c r="CP67">
        <v>351.33798899999999</v>
      </c>
      <c r="CQ67">
        <v>1158.066474</v>
      </c>
      <c r="CR67">
        <v>514.291561</v>
      </c>
      <c r="CS67" t="s">
        <v>273</v>
      </c>
      <c r="CT67">
        <v>702.79472299999998</v>
      </c>
      <c r="CU67">
        <v>717.29847600000005</v>
      </c>
      <c r="CV67">
        <v>607.36738000000003</v>
      </c>
      <c r="CW67">
        <v>1190.137246</v>
      </c>
      <c r="CX67">
        <v>683.11263399999996</v>
      </c>
      <c r="CY67">
        <v>1058.5873449999999</v>
      </c>
      <c r="CZ67" t="s">
        <v>273</v>
      </c>
      <c r="DA67">
        <v>3.6099749999999999</v>
      </c>
      <c r="DB67">
        <v>510.01</v>
      </c>
      <c r="DC67">
        <v>3.8839830000000002</v>
      </c>
      <c r="DD67">
        <v>864</v>
      </c>
      <c r="DE67">
        <v>3.609407</v>
      </c>
      <c r="DF67">
        <v>505</v>
      </c>
      <c r="DG67">
        <v>10.268643000000001</v>
      </c>
      <c r="DH67">
        <v>765</v>
      </c>
      <c r="DI67">
        <v>1.7881339999999999</v>
      </c>
      <c r="DJ67">
        <v>235</v>
      </c>
      <c r="DK67">
        <v>6.2396240000000001</v>
      </c>
      <c r="DL67">
        <v>365</v>
      </c>
      <c r="DM67" t="s">
        <v>273</v>
      </c>
      <c r="DN67">
        <v>5.2310439999999998</v>
      </c>
      <c r="DO67">
        <v>13.293628999999999</v>
      </c>
      <c r="DP67">
        <v>6.9123429999999999</v>
      </c>
      <c r="DQ67" t="s">
        <v>282</v>
      </c>
      <c r="DR67">
        <v>7.5118140000000002</v>
      </c>
      <c r="DS67">
        <v>19.778424000000001</v>
      </c>
      <c r="DT67">
        <v>47.496209999999998</v>
      </c>
      <c r="DU67">
        <v>76.478658999999993</v>
      </c>
      <c r="DV67">
        <v>125.024727</v>
      </c>
      <c r="DW67" t="s">
        <v>283</v>
      </c>
      <c r="DX67" t="s">
        <v>273</v>
      </c>
      <c r="DY67">
        <v>26.808904999999999</v>
      </c>
      <c r="DZ67">
        <v>5.0918999999999999E-2</v>
      </c>
      <c r="EA67">
        <v>2.1869869999999998</v>
      </c>
      <c r="EB67">
        <v>1.776192</v>
      </c>
      <c r="EC67">
        <v>81.216386999999997</v>
      </c>
      <c r="ED67">
        <v>21.346858999999998</v>
      </c>
      <c r="EE67">
        <v>1079.0863859999999</v>
      </c>
      <c r="EF67">
        <v>12.292229000000001</v>
      </c>
      <c r="EG67">
        <v>23</v>
      </c>
      <c r="EH67">
        <v>23</v>
      </c>
      <c r="EI67">
        <v>21</v>
      </c>
      <c r="EJ67">
        <v>22</v>
      </c>
      <c r="EK67" t="s">
        <v>273</v>
      </c>
      <c r="EL67" t="s">
        <v>273</v>
      </c>
      <c r="EM67">
        <v>26.952576000000001</v>
      </c>
      <c r="EN67">
        <v>2.9083000000000001E-2</v>
      </c>
      <c r="EO67">
        <v>2.2440829999999998</v>
      </c>
      <c r="EP67">
        <v>1.7344630000000001</v>
      </c>
      <c r="EQ67">
        <v>77.290497999999999</v>
      </c>
      <c r="ER67">
        <v>20.237485</v>
      </c>
      <c r="ES67">
        <v>970.45847700000002</v>
      </c>
      <c r="ET67">
        <v>7.0208449999999996</v>
      </c>
      <c r="EU67">
        <v>27</v>
      </c>
      <c r="EV67">
        <v>27</v>
      </c>
      <c r="EW67">
        <v>26</v>
      </c>
      <c r="EX67">
        <v>27</v>
      </c>
      <c r="EY67" t="s">
        <v>273</v>
      </c>
      <c r="EZ67" t="s">
        <v>273</v>
      </c>
      <c r="FA67">
        <v>31.020856999999999</v>
      </c>
      <c r="FB67">
        <v>5.1422000000000002E-2</v>
      </c>
      <c r="FC67">
        <v>2.186976</v>
      </c>
      <c r="FD67">
        <v>1.7761169999999999</v>
      </c>
      <c r="FE67">
        <v>81.213397999999998</v>
      </c>
      <c r="FF67">
        <v>24.699573000000001</v>
      </c>
      <c r="FG67">
        <v>1079.207576</v>
      </c>
      <c r="FH67">
        <v>12.413615999999999</v>
      </c>
      <c r="FI67">
        <v>23</v>
      </c>
      <c r="FJ67">
        <v>23</v>
      </c>
      <c r="FK67">
        <v>21</v>
      </c>
      <c r="FL67">
        <v>22</v>
      </c>
      <c r="FM67" t="s">
        <v>273</v>
      </c>
      <c r="FN67" t="s">
        <v>273</v>
      </c>
      <c r="FO67">
        <v>31.255775</v>
      </c>
      <c r="FP67">
        <v>7.2593000000000005E-2</v>
      </c>
      <c r="FQ67">
        <v>4.3178349999999996</v>
      </c>
      <c r="FR67">
        <v>3.7549779999999999</v>
      </c>
      <c r="FS67">
        <v>86.964371</v>
      </c>
      <c r="FT67">
        <v>26.956734000000001</v>
      </c>
      <c r="FU67">
        <v>811.22936600000003</v>
      </c>
      <c r="FV67">
        <v>17.524442000000001</v>
      </c>
      <c r="FW67">
        <v>20</v>
      </c>
      <c r="FX67">
        <v>20</v>
      </c>
      <c r="FY67">
        <v>20</v>
      </c>
      <c r="FZ67">
        <v>20</v>
      </c>
      <c r="GA67" t="s">
        <v>273</v>
      </c>
      <c r="GB67" t="s">
        <v>273</v>
      </c>
      <c r="GC67">
        <v>31.090779000000001</v>
      </c>
      <c r="GD67">
        <v>0.122679</v>
      </c>
      <c r="GE67">
        <v>2.4652590000000001</v>
      </c>
      <c r="GF67">
        <v>1.988686</v>
      </c>
      <c r="GG67">
        <v>80.668428000000006</v>
      </c>
      <c r="GH67">
        <v>24.380769000000001</v>
      </c>
      <c r="GI67">
        <v>2418.4531160000001</v>
      </c>
      <c r="GJ67">
        <v>29.615472</v>
      </c>
      <c r="GK67">
        <v>24</v>
      </c>
      <c r="GL67">
        <v>24</v>
      </c>
      <c r="GM67">
        <v>16</v>
      </c>
      <c r="GN67">
        <v>24</v>
      </c>
      <c r="GO67" t="s">
        <v>273</v>
      </c>
      <c r="GP67" t="s">
        <v>273</v>
      </c>
      <c r="GQ67">
        <v>32.120519999999999</v>
      </c>
      <c r="GR67">
        <v>0.13764599999999999</v>
      </c>
      <c r="GS67">
        <v>3.9468260000000002</v>
      </c>
      <c r="GT67">
        <v>3.4103659999999998</v>
      </c>
      <c r="GU67">
        <v>86.407830000000004</v>
      </c>
      <c r="GV67">
        <v>27.417916999999999</v>
      </c>
      <c r="GW67">
        <v>1207.8005330000001</v>
      </c>
      <c r="GX67">
        <v>33.228419000000002</v>
      </c>
      <c r="GY67">
        <v>62</v>
      </c>
      <c r="GZ67">
        <v>62</v>
      </c>
      <c r="HA67">
        <v>37</v>
      </c>
      <c r="HB67">
        <v>39</v>
      </c>
      <c r="HC67" t="s">
        <v>273</v>
      </c>
      <c r="HD67" t="s">
        <v>273</v>
      </c>
      <c r="HE67">
        <v>31</v>
      </c>
      <c r="HF67">
        <v>2.9999999999999997E-4</v>
      </c>
      <c r="HG67">
        <v>3.0000000000000001E-3</v>
      </c>
      <c r="HH67">
        <v>3.2258000000000002E-2</v>
      </c>
      <c r="HI67">
        <v>10000</v>
      </c>
    </row>
    <row r="68" spans="1:217" x14ac:dyDescent="0.3">
      <c r="A68">
        <v>483</v>
      </c>
      <c r="B68" t="s">
        <v>269</v>
      </c>
      <c r="F68" t="s">
        <v>270</v>
      </c>
      <c r="G68" t="s">
        <v>288</v>
      </c>
      <c r="H68" t="s">
        <v>289</v>
      </c>
      <c r="I68">
        <v>6000</v>
      </c>
      <c r="J68">
        <v>1</v>
      </c>
      <c r="K68">
        <v>15.918749999999999</v>
      </c>
      <c r="L68">
        <v>0.22</v>
      </c>
      <c r="M68">
        <v>3.3577999999999997E-2</v>
      </c>
      <c r="N68">
        <v>0</v>
      </c>
      <c r="O68">
        <v>0</v>
      </c>
      <c r="P68">
        <v>0</v>
      </c>
      <c r="Q68">
        <v>14.78</v>
      </c>
      <c r="R68">
        <v>1</v>
      </c>
      <c r="S68">
        <v>1</v>
      </c>
      <c r="T68">
        <v>1</v>
      </c>
      <c r="U68">
        <v>1</v>
      </c>
      <c r="V68">
        <v>100</v>
      </c>
      <c r="W68" t="s">
        <v>273</v>
      </c>
      <c r="X68" t="s">
        <v>274</v>
      </c>
      <c r="Y68" t="s">
        <v>274</v>
      </c>
      <c r="Z68" t="s">
        <v>273</v>
      </c>
      <c r="AA68" t="s">
        <v>275</v>
      </c>
      <c r="AB68" t="s">
        <v>276</v>
      </c>
      <c r="AC68">
        <v>505</v>
      </c>
      <c r="AD68">
        <v>5</v>
      </c>
      <c r="AE68" t="s">
        <v>277</v>
      </c>
      <c r="AF68">
        <v>2.9068200000000002</v>
      </c>
      <c r="AG68">
        <v>100</v>
      </c>
      <c r="AH68">
        <v>26.2</v>
      </c>
      <c r="AI68">
        <v>1570</v>
      </c>
      <c r="AJ68">
        <v>800</v>
      </c>
      <c r="AK68">
        <v>1200</v>
      </c>
      <c r="AL68">
        <v>144.6</v>
      </c>
      <c r="AM68">
        <v>2.2000000000000002</v>
      </c>
      <c r="AN68" t="s">
        <v>273</v>
      </c>
      <c r="AO68" t="s">
        <v>278</v>
      </c>
      <c r="AP68" t="s">
        <v>290</v>
      </c>
      <c r="AQ68">
        <v>4.3</v>
      </c>
      <c r="AR68">
        <v>6</v>
      </c>
      <c r="AS68">
        <v>241.4</v>
      </c>
      <c r="AT68">
        <v>439.2</v>
      </c>
      <c r="AU68">
        <v>0.250002</v>
      </c>
      <c r="AV68">
        <v>36.9</v>
      </c>
      <c r="AW68">
        <v>233.6</v>
      </c>
      <c r="AX68" t="s">
        <v>280</v>
      </c>
      <c r="AY68">
        <v>0</v>
      </c>
      <c r="AZ68" t="s">
        <v>281</v>
      </c>
      <c r="BA68">
        <v>0.2</v>
      </c>
      <c r="BB68">
        <v>0.5</v>
      </c>
      <c r="BC68" t="s">
        <v>273</v>
      </c>
      <c r="BD68" t="s">
        <v>273</v>
      </c>
      <c r="BE68">
        <v>21.727387</v>
      </c>
      <c r="BF68">
        <v>21.977565999999999</v>
      </c>
      <c r="BG68">
        <v>394.27020099999999</v>
      </c>
      <c r="BH68" t="s">
        <v>273</v>
      </c>
      <c r="BI68">
        <v>31.846178999999999</v>
      </c>
      <c r="BJ68">
        <v>32.212870000000002</v>
      </c>
      <c r="BK68">
        <v>268.99494900000002</v>
      </c>
      <c r="BL68" t="s">
        <v>273</v>
      </c>
      <c r="BM68">
        <v>31.84787</v>
      </c>
      <c r="BN68">
        <v>32.214579999999998</v>
      </c>
      <c r="BO68">
        <v>268.98066799999998</v>
      </c>
      <c r="BP68" t="s">
        <v>273</v>
      </c>
      <c r="BQ68">
        <v>18.995369</v>
      </c>
      <c r="BR68">
        <v>19.214089999999999</v>
      </c>
      <c r="BS68">
        <v>450.97629699999999</v>
      </c>
      <c r="BT68" t="s">
        <v>273</v>
      </c>
      <c r="BU68">
        <v>5.8070930000000001</v>
      </c>
      <c r="BV68">
        <v>5.873958</v>
      </c>
      <c r="BW68">
        <v>1475.172055</v>
      </c>
      <c r="BX68" t="s">
        <v>273</v>
      </c>
      <c r="BY68">
        <v>20.502697000000001</v>
      </c>
      <c r="BZ68">
        <v>21.259796999999999</v>
      </c>
      <c r="CA68">
        <v>23.788429000000001</v>
      </c>
      <c r="CB68">
        <v>31.84787</v>
      </c>
      <c r="CC68">
        <v>12.580273999999999</v>
      </c>
      <c r="CD68">
        <v>22.265245</v>
      </c>
      <c r="CE68" t="s">
        <v>273</v>
      </c>
      <c r="CF68">
        <v>20.738773999999999</v>
      </c>
      <c r="CG68">
        <v>21.504591000000001</v>
      </c>
      <c r="CH68">
        <v>24.062339999999999</v>
      </c>
      <c r="CI68">
        <v>32.214579999999998</v>
      </c>
      <c r="CJ68">
        <v>12.725129000000001</v>
      </c>
      <c r="CK68">
        <v>22.521616000000002</v>
      </c>
      <c r="CL68" t="s">
        <v>273</v>
      </c>
      <c r="CM68">
        <v>417.82119699999998</v>
      </c>
      <c r="CN68">
        <v>402.94182000000001</v>
      </c>
      <c r="CO68">
        <v>360.11041799999998</v>
      </c>
      <c r="CP68">
        <v>268.98066799999998</v>
      </c>
      <c r="CQ68">
        <v>680.94391199999995</v>
      </c>
      <c r="CR68">
        <v>384.74588799999998</v>
      </c>
      <c r="CS68" t="s">
        <v>273</v>
      </c>
      <c r="CT68">
        <v>497.96080699999999</v>
      </c>
      <c r="CU68">
        <v>517.36319400000002</v>
      </c>
      <c r="CV68">
        <v>429.11450100000002</v>
      </c>
      <c r="CW68">
        <v>911.24974999999995</v>
      </c>
      <c r="CX68">
        <v>404.09530100000001</v>
      </c>
      <c r="CY68">
        <v>792.78548599999999</v>
      </c>
      <c r="CZ68" t="s">
        <v>273</v>
      </c>
      <c r="DA68">
        <v>3.612816</v>
      </c>
      <c r="DB68">
        <v>510.01</v>
      </c>
      <c r="DC68">
        <v>3.8921929999999998</v>
      </c>
      <c r="DD68">
        <v>864</v>
      </c>
      <c r="DE68">
        <v>3.6122570000000001</v>
      </c>
      <c r="DF68">
        <v>505</v>
      </c>
      <c r="DG68">
        <v>10.269693999999999</v>
      </c>
      <c r="DH68">
        <v>765</v>
      </c>
      <c r="DI68">
        <v>1.7989269999999999</v>
      </c>
      <c r="DJ68">
        <v>235</v>
      </c>
      <c r="DK68">
        <v>6.2462999999999997</v>
      </c>
      <c r="DL68">
        <v>365</v>
      </c>
      <c r="DM68" t="s">
        <v>273</v>
      </c>
      <c r="DN68">
        <v>3.6269680000000002</v>
      </c>
      <c r="DO68">
        <v>8.2880789999999998</v>
      </c>
      <c r="DP68">
        <v>4.3943760000000003</v>
      </c>
      <c r="DQ68" t="s">
        <v>282</v>
      </c>
      <c r="DR68">
        <v>4.815925</v>
      </c>
      <c r="DS68">
        <v>16.521242000000001</v>
      </c>
      <c r="DT68">
        <v>34.019621999999998</v>
      </c>
      <c r="DU68">
        <v>89.583337</v>
      </c>
      <c r="DV68">
        <v>139.284008</v>
      </c>
      <c r="DW68" t="s">
        <v>283</v>
      </c>
      <c r="DX68" t="s">
        <v>273</v>
      </c>
      <c r="DY68">
        <v>24.209841999999998</v>
      </c>
      <c r="DZ68">
        <v>3.3117000000000001E-2</v>
      </c>
      <c r="EA68">
        <v>1.399348</v>
      </c>
      <c r="EB68">
        <v>1.156593</v>
      </c>
      <c r="EC68">
        <v>82.652294999999995</v>
      </c>
      <c r="ED68">
        <v>19.594707</v>
      </c>
      <c r="EE68">
        <v>701.27123400000005</v>
      </c>
      <c r="EF68">
        <v>7.9946979999999996</v>
      </c>
      <c r="EG68">
        <v>25</v>
      </c>
      <c r="EH68">
        <v>25</v>
      </c>
      <c r="EI68">
        <v>19</v>
      </c>
      <c r="EJ68">
        <v>22</v>
      </c>
      <c r="EK68" t="s">
        <v>273</v>
      </c>
      <c r="EL68" t="s">
        <v>273</v>
      </c>
      <c r="EM68">
        <v>22.600632000000001</v>
      </c>
      <c r="EN68">
        <v>1.7680000000000001E-2</v>
      </c>
      <c r="EO68">
        <v>1.3572340000000001</v>
      </c>
      <c r="EP68">
        <v>1.06257</v>
      </c>
      <c r="EQ68">
        <v>78.289353000000006</v>
      </c>
      <c r="ER68">
        <v>17.057216</v>
      </c>
      <c r="ES68">
        <v>588.71682799999996</v>
      </c>
      <c r="ET68">
        <v>4.2681129999999996</v>
      </c>
      <c r="EU68">
        <v>25</v>
      </c>
      <c r="EV68">
        <v>25</v>
      </c>
      <c r="EW68">
        <v>25</v>
      </c>
      <c r="EX68">
        <v>25</v>
      </c>
      <c r="EY68" t="s">
        <v>273</v>
      </c>
      <c r="EZ68" t="s">
        <v>273</v>
      </c>
      <c r="FA68">
        <v>28.083137000000001</v>
      </c>
      <c r="FB68">
        <v>3.3445000000000003E-2</v>
      </c>
      <c r="FC68">
        <v>1.398806</v>
      </c>
      <c r="FD68">
        <v>1.156563</v>
      </c>
      <c r="FE68">
        <v>82.682145000000006</v>
      </c>
      <c r="FF68">
        <v>22.737486000000001</v>
      </c>
      <c r="FG68">
        <v>701.35301900000002</v>
      </c>
      <c r="FH68">
        <v>8.0737039999999993</v>
      </c>
      <c r="FI68">
        <v>25</v>
      </c>
      <c r="FJ68">
        <v>25</v>
      </c>
      <c r="FK68">
        <v>19</v>
      </c>
      <c r="FL68">
        <v>22</v>
      </c>
      <c r="FM68" t="s">
        <v>273</v>
      </c>
      <c r="FN68" t="s">
        <v>273</v>
      </c>
      <c r="FO68">
        <v>29.532181000000001</v>
      </c>
      <c r="FP68">
        <v>5.2998999999999998E-2</v>
      </c>
      <c r="FQ68">
        <v>3.1237170000000001</v>
      </c>
      <c r="FR68">
        <v>2.7406820000000001</v>
      </c>
      <c r="FS68">
        <v>87.737842000000001</v>
      </c>
      <c r="FT68">
        <v>25.703693000000001</v>
      </c>
      <c r="FU68">
        <v>592.19924600000002</v>
      </c>
      <c r="FV68">
        <v>12.79419</v>
      </c>
      <c r="FW68">
        <v>8</v>
      </c>
      <c r="FX68">
        <v>8</v>
      </c>
      <c r="FY68">
        <v>8</v>
      </c>
      <c r="FZ68">
        <v>8</v>
      </c>
      <c r="GA68" t="s">
        <v>273</v>
      </c>
      <c r="GB68" t="s">
        <v>273</v>
      </c>
      <c r="GC68">
        <v>31.136054000000001</v>
      </c>
      <c r="GD68">
        <v>7.6355000000000006E-2</v>
      </c>
      <c r="GE68">
        <v>1.460448</v>
      </c>
      <c r="GF68">
        <v>1.2444789999999999</v>
      </c>
      <c r="GG68">
        <v>85.212140000000005</v>
      </c>
      <c r="GH68">
        <v>25.651979999999998</v>
      </c>
      <c r="GI68">
        <v>1496.197216</v>
      </c>
      <c r="GJ68">
        <v>18.432466999999999</v>
      </c>
      <c r="GK68">
        <v>35</v>
      </c>
      <c r="GL68">
        <v>35</v>
      </c>
      <c r="GM68">
        <v>15</v>
      </c>
      <c r="GN68">
        <v>25</v>
      </c>
      <c r="GO68" t="s">
        <v>273</v>
      </c>
      <c r="GP68" t="s">
        <v>273</v>
      </c>
      <c r="GQ68">
        <v>31.832818</v>
      </c>
      <c r="GR68">
        <v>0.10342800000000001</v>
      </c>
      <c r="GS68">
        <v>2.929338</v>
      </c>
      <c r="GT68">
        <v>2.5586380000000002</v>
      </c>
      <c r="GU68">
        <v>87.345254999999995</v>
      </c>
      <c r="GV68">
        <v>27.509335</v>
      </c>
      <c r="GW68">
        <v>906.57858899999997</v>
      </c>
      <c r="GX68">
        <v>24.968032999999998</v>
      </c>
      <c r="GY68">
        <v>34</v>
      </c>
      <c r="GZ68">
        <v>34</v>
      </c>
      <c r="HA68">
        <v>23</v>
      </c>
      <c r="HB68">
        <v>24</v>
      </c>
      <c r="HC68" t="s">
        <v>273</v>
      </c>
      <c r="HD68" t="s">
        <v>273</v>
      </c>
      <c r="HE68">
        <v>18</v>
      </c>
      <c r="HF68">
        <v>2.9999999999999997E-4</v>
      </c>
      <c r="HG68">
        <v>4.0000000000000001E-3</v>
      </c>
      <c r="HH68">
        <v>5.5556000000000001E-2</v>
      </c>
      <c r="HI68">
        <v>6000</v>
      </c>
    </row>
    <row r="69" spans="1:217" x14ac:dyDescent="0.3">
      <c r="A69">
        <v>484</v>
      </c>
      <c r="B69" t="s">
        <v>269</v>
      </c>
      <c r="F69" t="s">
        <v>270</v>
      </c>
      <c r="G69" t="s">
        <v>288</v>
      </c>
      <c r="H69" t="s">
        <v>289</v>
      </c>
      <c r="I69">
        <v>6000</v>
      </c>
      <c r="J69">
        <v>1</v>
      </c>
      <c r="K69">
        <v>15.918749999999999</v>
      </c>
      <c r="L69">
        <v>0.22</v>
      </c>
      <c r="M69">
        <v>3.3577999999999997E-2</v>
      </c>
      <c r="N69">
        <v>0</v>
      </c>
      <c r="O69">
        <v>0</v>
      </c>
      <c r="P69">
        <v>0</v>
      </c>
      <c r="Q69">
        <v>14.78</v>
      </c>
      <c r="R69">
        <v>1</v>
      </c>
      <c r="S69">
        <v>1</v>
      </c>
      <c r="T69">
        <v>1</v>
      </c>
      <c r="U69">
        <v>1</v>
      </c>
      <c r="V69">
        <v>100</v>
      </c>
      <c r="W69" t="s">
        <v>273</v>
      </c>
      <c r="X69" t="s">
        <v>274</v>
      </c>
      <c r="Y69" t="s">
        <v>274</v>
      </c>
      <c r="Z69" t="s">
        <v>273</v>
      </c>
      <c r="AA69" t="s">
        <v>275</v>
      </c>
      <c r="AB69" t="s">
        <v>276</v>
      </c>
      <c r="AC69">
        <v>293</v>
      </c>
      <c r="AD69">
        <v>5</v>
      </c>
      <c r="AE69" t="s">
        <v>277</v>
      </c>
      <c r="AF69">
        <v>3.1937989999999998</v>
      </c>
      <c r="AG69">
        <v>100</v>
      </c>
      <c r="AH69">
        <v>28.8</v>
      </c>
      <c r="AI69">
        <v>1725</v>
      </c>
      <c r="AJ69">
        <v>800</v>
      </c>
      <c r="AK69">
        <v>1200</v>
      </c>
      <c r="AL69">
        <v>189.9</v>
      </c>
      <c r="AM69">
        <v>2.2000000000000002</v>
      </c>
      <c r="AN69" t="s">
        <v>273</v>
      </c>
      <c r="AO69" t="s">
        <v>278</v>
      </c>
      <c r="AP69" t="s">
        <v>291</v>
      </c>
      <c r="AQ69">
        <v>2.5</v>
      </c>
      <c r="AR69">
        <v>6</v>
      </c>
      <c r="AS69">
        <v>140</v>
      </c>
      <c r="AT69">
        <v>254.8</v>
      </c>
      <c r="AU69">
        <v>0.14535000000000001</v>
      </c>
      <c r="AV69">
        <v>36.1</v>
      </c>
      <c r="AW69">
        <v>238.9</v>
      </c>
      <c r="AX69" t="s">
        <v>280</v>
      </c>
      <c r="AY69">
        <v>0</v>
      </c>
      <c r="AZ69" t="s">
        <v>281</v>
      </c>
      <c r="BA69">
        <v>0.2</v>
      </c>
      <c r="BB69">
        <v>0.5</v>
      </c>
      <c r="BC69" t="s">
        <v>273</v>
      </c>
      <c r="BD69" t="s">
        <v>273</v>
      </c>
      <c r="BE69">
        <v>23.932144999999998</v>
      </c>
      <c r="BF69">
        <v>24.207709999999999</v>
      </c>
      <c r="BG69">
        <v>357.94790599999999</v>
      </c>
      <c r="BH69" t="s">
        <v>273</v>
      </c>
      <c r="BI69">
        <v>33.156708000000002</v>
      </c>
      <c r="BJ69">
        <v>33.538488999999998</v>
      </c>
      <c r="BK69">
        <v>258.36283700000001</v>
      </c>
      <c r="BL69" t="s">
        <v>273</v>
      </c>
      <c r="BM69">
        <v>33.158788999999999</v>
      </c>
      <c r="BN69">
        <v>33.540593999999999</v>
      </c>
      <c r="BO69">
        <v>258.34662300000002</v>
      </c>
      <c r="BP69" t="s">
        <v>273</v>
      </c>
      <c r="BQ69">
        <v>18.486196</v>
      </c>
      <c r="BR69">
        <v>18.699054</v>
      </c>
      <c r="BS69">
        <v>463.39773700000001</v>
      </c>
      <c r="BT69" t="s">
        <v>273</v>
      </c>
      <c r="BU69">
        <v>7.9650220000000003</v>
      </c>
      <c r="BV69">
        <v>8.0567349999999998</v>
      </c>
      <c r="BW69">
        <v>1075.509998</v>
      </c>
      <c r="BX69" t="s">
        <v>273</v>
      </c>
      <c r="BY69">
        <v>21.889009000000001</v>
      </c>
      <c r="BZ69">
        <v>24.129292</v>
      </c>
      <c r="CA69">
        <v>25.324835</v>
      </c>
      <c r="CB69">
        <v>33.158788999999999</v>
      </c>
      <c r="CC69">
        <v>11.712243000000001</v>
      </c>
      <c r="CD69">
        <v>22.154982</v>
      </c>
      <c r="CE69" t="s">
        <v>273</v>
      </c>
      <c r="CF69">
        <v>22.141048999999999</v>
      </c>
      <c r="CG69">
        <v>24.407126999999999</v>
      </c>
      <c r="CH69">
        <v>25.616437000000001</v>
      </c>
      <c r="CI69">
        <v>33.540593999999999</v>
      </c>
      <c r="CJ69">
        <v>11.847103000000001</v>
      </c>
      <c r="CK69">
        <v>22.410084000000001</v>
      </c>
      <c r="CL69" t="s">
        <v>273</v>
      </c>
      <c r="CM69">
        <v>391.35901899999999</v>
      </c>
      <c r="CN69">
        <v>355.02331600000002</v>
      </c>
      <c r="CO69">
        <v>338.26325400000002</v>
      </c>
      <c r="CP69">
        <v>258.34662300000002</v>
      </c>
      <c r="CQ69">
        <v>731.41082400000005</v>
      </c>
      <c r="CR69">
        <v>386.66072700000001</v>
      </c>
      <c r="CS69" t="s">
        <v>273</v>
      </c>
      <c r="CT69">
        <v>465.82638900000001</v>
      </c>
      <c r="CU69">
        <v>454.75698399999999</v>
      </c>
      <c r="CV69">
        <v>402.56440400000002</v>
      </c>
      <c r="CW69">
        <v>875.05072800000005</v>
      </c>
      <c r="CX69">
        <v>430.93735199999998</v>
      </c>
      <c r="CY69">
        <v>795.67175699999996</v>
      </c>
      <c r="CZ69" t="s">
        <v>273</v>
      </c>
      <c r="DA69">
        <v>3.6081940000000001</v>
      </c>
      <c r="DB69">
        <v>510.01</v>
      </c>
      <c r="DC69">
        <v>3.8829660000000001</v>
      </c>
      <c r="DD69">
        <v>864</v>
      </c>
      <c r="DE69">
        <v>3.6076269999999999</v>
      </c>
      <c r="DF69">
        <v>505</v>
      </c>
      <c r="DG69">
        <v>10.267662</v>
      </c>
      <c r="DH69">
        <v>765</v>
      </c>
      <c r="DI69">
        <v>1.7860510000000001</v>
      </c>
      <c r="DJ69">
        <v>235</v>
      </c>
      <c r="DK69">
        <v>6.2379949999999997</v>
      </c>
      <c r="DL69">
        <v>365</v>
      </c>
      <c r="DM69" t="s">
        <v>273</v>
      </c>
      <c r="DN69">
        <v>5.1059599999999996</v>
      </c>
      <c r="DO69">
        <v>13.323124999999999</v>
      </c>
      <c r="DP69">
        <v>6.7590979999999998</v>
      </c>
      <c r="DQ69" t="s">
        <v>282</v>
      </c>
      <c r="DR69">
        <v>8.1213130000000007</v>
      </c>
      <c r="DS69">
        <v>19.855177999999999</v>
      </c>
      <c r="DT69">
        <v>48.058714999999999</v>
      </c>
      <c r="DU69">
        <v>74.170038000000005</v>
      </c>
      <c r="DV69">
        <v>109.987324</v>
      </c>
      <c r="DW69" t="s">
        <v>283</v>
      </c>
      <c r="DX69" t="s">
        <v>273</v>
      </c>
      <c r="DY69">
        <v>25.871001</v>
      </c>
      <c r="DZ69">
        <v>5.7029000000000003E-2</v>
      </c>
      <c r="EA69">
        <v>1.3988659999999999</v>
      </c>
      <c r="EB69">
        <v>1.151265</v>
      </c>
      <c r="EC69">
        <v>82.299921999999995</v>
      </c>
      <c r="ED69">
        <v>20.923123</v>
      </c>
      <c r="EE69">
        <v>701.38820399999997</v>
      </c>
      <c r="EF69">
        <v>7.9858019999999996</v>
      </c>
      <c r="EG69">
        <v>31</v>
      </c>
      <c r="EH69">
        <v>31</v>
      </c>
      <c r="EI69">
        <v>25</v>
      </c>
      <c r="EJ69">
        <v>30</v>
      </c>
      <c r="EK69" t="s">
        <v>273</v>
      </c>
      <c r="EL69" t="s">
        <v>273</v>
      </c>
      <c r="EM69">
        <v>25.507811</v>
      </c>
      <c r="EN69">
        <v>3.0405999999999999E-2</v>
      </c>
      <c r="EO69">
        <v>1.3464529999999999</v>
      </c>
      <c r="EP69">
        <v>1.0498479999999999</v>
      </c>
      <c r="EQ69">
        <v>77.971374999999995</v>
      </c>
      <c r="ER69">
        <v>19.358764000000001</v>
      </c>
      <c r="ES69">
        <v>588.69627500000001</v>
      </c>
      <c r="ET69">
        <v>4.2578469999999999</v>
      </c>
      <c r="EU69">
        <v>28</v>
      </c>
      <c r="EV69">
        <v>28</v>
      </c>
      <c r="EW69">
        <v>27</v>
      </c>
      <c r="EX69">
        <v>28</v>
      </c>
      <c r="EY69" t="s">
        <v>273</v>
      </c>
      <c r="EZ69" t="s">
        <v>273</v>
      </c>
      <c r="FA69">
        <v>29.933285000000001</v>
      </c>
      <c r="FB69">
        <v>5.7591000000000003E-2</v>
      </c>
      <c r="FC69">
        <v>1.398712</v>
      </c>
      <c r="FD69">
        <v>1.151214</v>
      </c>
      <c r="FE69">
        <v>82.305259000000007</v>
      </c>
      <c r="FF69">
        <v>24.209819</v>
      </c>
      <c r="FG69">
        <v>701.46375899999998</v>
      </c>
      <c r="FH69">
        <v>8.0646299999999993</v>
      </c>
      <c r="FI69">
        <v>31</v>
      </c>
      <c r="FJ69">
        <v>31</v>
      </c>
      <c r="FK69">
        <v>25</v>
      </c>
      <c r="FL69">
        <v>30</v>
      </c>
      <c r="FM69" t="s">
        <v>273</v>
      </c>
      <c r="FN69" t="s">
        <v>273</v>
      </c>
      <c r="FO69">
        <v>30.791388000000001</v>
      </c>
      <c r="FP69">
        <v>9.1281000000000001E-2</v>
      </c>
      <c r="FQ69">
        <v>3.1275279999999999</v>
      </c>
      <c r="FR69">
        <v>2.7347999999999999</v>
      </c>
      <c r="FS69">
        <v>87.442875000000001</v>
      </c>
      <c r="FT69">
        <v>26.74193</v>
      </c>
      <c r="FU69">
        <v>591.761661</v>
      </c>
      <c r="FV69">
        <v>12.782207</v>
      </c>
      <c r="FW69">
        <v>26</v>
      </c>
      <c r="FX69">
        <v>26</v>
      </c>
      <c r="FY69">
        <v>25</v>
      </c>
      <c r="FZ69">
        <v>24</v>
      </c>
      <c r="GA69" t="s">
        <v>273</v>
      </c>
      <c r="GB69" t="s">
        <v>273</v>
      </c>
      <c r="GC69">
        <v>30.490254</v>
      </c>
      <c r="GD69">
        <v>0.13139000000000001</v>
      </c>
      <c r="GE69">
        <v>1.525155</v>
      </c>
      <c r="GF69">
        <v>1.2340230000000001</v>
      </c>
      <c r="GG69">
        <v>80.911310999999998</v>
      </c>
      <c r="GH69">
        <v>24.010161</v>
      </c>
      <c r="GI69">
        <v>1504.226973</v>
      </c>
      <c r="GJ69">
        <v>18.398748999999999</v>
      </c>
      <c r="GK69">
        <v>25</v>
      </c>
      <c r="GL69">
        <v>25</v>
      </c>
      <c r="GM69">
        <v>15</v>
      </c>
      <c r="GN69">
        <v>25</v>
      </c>
      <c r="GO69" t="s">
        <v>273</v>
      </c>
      <c r="GP69" t="s">
        <v>273</v>
      </c>
      <c r="GQ69">
        <v>31.808599000000001</v>
      </c>
      <c r="GR69">
        <v>0.17755899999999999</v>
      </c>
      <c r="GS69">
        <v>2.9377659999999999</v>
      </c>
      <c r="GT69">
        <v>2.5424220000000002</v>
      </c>
      <c r="GU69">
        <v>86.542708000000005</v>
      </c>
      <c r="GV69">
        <v>27.295231000000001</v>
      </c>
      <c r="GW69">
        <v>903.999774</v>
      </c>
      <c r="GX69">
        <v>24.863906</v>
      </c>
      <c r="GY69">
        <v>49</v>
      </c>
      <c r="GZ69">
        <v>49</v>
      </c>
      <c r="HA69">
        <v>38</v>
      </c>
      <c r="HB69">
        <v>38</v>
      </c>
      <c r="HC69" t="s">
        <v>273</v>
      </c>
      <c r="HD69" t="s">
        <v>273</v>
      </c>
      <c r="HE69">
        <v>31</v>
      </c>
      <c r="HF69">
        <v>2.9999999999999997E-4</v>
      </c>
      <c r="HG69">
        <v>4.0000000000000001E-3</v>
      </c>
      <c r="HH69">
        <v>3.2258000000000002E-2</v>
      </c>
      <c r="HI69">
        <v>6000</v>
      </c>
    </row>
    <row r="70" spans="1:217" x14ac:dyDescent="0.3">
      <c r="A70">
        <v>485</v>
      </c>
      <c r="B70" t="s">
        <v>269</v>
      </c>
      <c r="F70" t="s">
        <v>270</v>
      </c>
      <c r="G70" t="s">
        <v>288</v>
      </c>
      <c r="H70" t="s">
        <v>289</v>
      </c>
      <c r="I70">
        <v>8000</v>
      </c>
      <c r="J70">
        <v>1</v>
      </c>
      <c r="K70">
        <v>22.324999999999999</v>
      </c>
      <c r="L70">
        <v>0.22</v>
      </c>
      <c r="M70">
        <v>4.5686999999999998E-2</v>
      </c>
      <c r="N70">
        <v>0</v>
      </c>
      <c r="O70">
        <v>0</v>
      </c>
      <c r="P70">
        <v>0</v>
      </c>
      <c r="Q70">
        <v>19.670000000000002</v>
      </c>
      <c r="R70">
        <v>1</v>
      </c>
      <c r="S70">
        <v>1</v>
      </c>
      <c r="T70">
        <v>1</v>
      </c>
      <c r="U70">
        <v>1</v>
      </c>
      <c r="V70">
        <v>100</v>
      </c>
      <c r="W70" t="s">
        <v>273</v>
      </c>
      <c r="X70" t="s">
        <v>274</v>
      </c>
      <c r="Y70" t="s">
        <v>274</v>
      </c>
      <c r="Z70" t="s">
        <v>273</v>
      </c>
      <c r="AA70" t="s">
        <v>275</v>
      </c>
      <c r="AB70" t="s">
        <v>276</v>
      </c>
      <c r="AC70">
        <v>399</v>
      </c>
      <c r="AD70">
        <v>5</v>
      </c>
      <c r="AE70" t="s">
        <v>277</v>
      </c>
      <c r="AF70">
        <v>3.0734530000000002</v>
      </c>
      <c r="AG70">
        <v>100</v>
      </c>
      <c r="AH70">
        <v>27.7</v>
      </c>
      <c r="AI70">
        <v>1660</v>
      </c>
      <c r="AJ70">
        <v>800</v>
      </c>
      <c r="AK70">
        <v>1200</v>
      </c>
      <c r="AL70">
        <v>162.69999999999999</v>
      </c>
      <c r="AM70">
        <v>2.2000000000000002</v>
      </c>
      <c r="AN70" t="s">
        <v>273</v>
      </c>
      <c r="AO70" t="s">
        <v>278</v>
      </c>
      <c r="AP70" t="s">
        <v>292</v>
      </c>
      <c r="AQ70">
        <v>3.4</v>
      </c>
      <c r="AR70">
        <v>6</v>
      </c>
      <c r="AS70">
        <v>190.7</v>
      </c>
      <c r="AT70">
        <v>347</v>
      </c>
      <c r="AU70">
        <v>0.19767599999999999</v>
      </c>
      <c r="AV70">
        <v>36.5</v>
      </c>
      <c r="AW70">
        <v>235.8</v>
      </c>
      <c r="AX70" t="s">
        <v>280</v>
      </c>
      <c r="AY70">
        <v>0</v>
      </c>
      <c r="AZ70" t="s">
        <v>281</v>
      </c>
      <c r="BA70">
        <v>0.2</v>
      </c>
      <c r="BB70">
        <v>0.5</v>
      </c>
      <c r="BC70" t="s">
        <v>273</v>
      </c>
      <c r="BD70" t="s">
        <v>273</v>
      </c>
      <c r="BE70">
        <v>18.427945999999999</v>
      </c>
      <c r="BF70">
        <v>18.640134</v>
      </c>
      <c r="BG70">
        <v>464.86250799999999</v>
      </c>
      <c r="BH70" t="s">
        <v>273</v>
      </c>
      <c r="BI70">
        <v>25.713809000000001</v>
      </c>
      <c r="BJ70">
        <v>26.009889000000001</v>
      </c>
      <c r="BK70">
        <v>333.146342</v>
      </c>
      <c r="BL70" t="s">
        <v>273</v>
      </c>
      <c r="BM70">
        <v>25.714758</v>
      </c>
      <c r="BN70">
        <v>26.010849</v>
      </c>
      <c r="BO70">
        <v>333.13404100000002</v>
      </c>
      <c r="BP70" t="s">
        <v>273</v>
      </c>
      <c r="BQ70">
        <v>14.069474</v>
      </c>
      <c r="BR70">
        <v>14.231476000000001</v>
      </c>
      <c r="BS70">
        <v>608.868604</v>
      </c>
      <c r="BT70" t="s">
        <v>273</v>
      </c>
      <c r="BU70">
        <v>5.8806539999999998</v>
      </c>
      <c r="BV70">
        <v>5.948366</v>
      </c>
      <c r="BW70">
        <v>1456.71919</v>
      </c>
      <c r="BX70" t="s">
        <v>273</v>
      </c>
      <c r="BY70">
        <v>16.770464</v>
      </c>
      <c r="BZ70">
        <v>18.670921</v>
      </c>
      <c r="CA70">
        <v>19.397646000000002</v>
      </c>
      <c r="CB70">
        <v>25.714758</v>
      </c>
      <c r="CC70">
        <v>8.8764430000000001</v>
      </c>
      <c r="CD70">
        <v>16.902515999999999</v>
      </c>
      <c r="CE70" t="s">
        <v>273</v>
      </c>
      <c r="CF70">
        <v>16.963566</v>
      </c>
      <c r="CG70">
        <v>18.885905999999999</v>
      </c>
      <c r="CH70">
        <v>19.620999000000001</v>
      </c>
      <c r="CI70">
        <v>26.010849</v>
      </c>
      <c r="CJ70">
        <v>8.97865</v>
      </c>
      <c r="CK70">
        <v>17.097138999999999</v>
      </c>
      <c r="CL70" t="s">
        <v>273</v>
      </c>
      <c r="CM70">
        <v>510.80646300000001</v>
      </c>
      <c r="CN70">
        <v>458.812996</v>
      </c>
      <c r="CO70">
        <v>441.62375100000003</v>
      </c>
      <c r="CP70">
        <v>333.13404100000002</v>
      </c>
      <c r="CQ70">
        <v>965.07817699999998</v>
      </c>
      <c r="CR70">
        <v>506.81575500000002</v>
      </c>
      <c r="CS70" t="s">
        <v>273</v>
      </c>
      <c r="CT70">
        <v>608.10958400000004</v>
      </c>
      <c r="CU70">
        <v>587.84252700000002</v>
      </c>
      <c r="CV70">
        <v>525.66775099999995</v>
      </c>
      <c r="CW70">
        <v>1128.4094930000001</v>
      </c>
      <c r="CX70">
        <v>569.04193699999996</v>
      </c>
      <c r="CY70">
        <v>1043.0673200000001</v>
      </c>
      <c r="CZ70" t="s">
        <v>273</v>
      </c>
      <c r="DA70">
        <v>3.6088309999999999</v>
      </c>
      <c r="DB70">
        <v>510.01</v>
      </c>
      <c r="DC70">
        <v>3.8838859999999999</v>
      </c>
      <c r="DD70">
        <v>864</v>
      </c>
      <c r="DE70">
        <v>3.608279</v>
      </c>
      <c r="DF70">
        <v>505</v>
      </c>
      <c r="DG70">
        <v>10.268071000000001</v>
      </c>
      <c r="DH70">
        <v>765</v>
      </c>
      <c r="DI70">
        <v>1.7874049999999999</v>
      </c>
      <c r="DJ70">
        <v>235</v>
      </c>
      <c r="DK70">
        <v>6.2388329999999996</v>
      </c>
      <c r="DL70">
        <v>365</v>
      </c>
      <c r="DM70" t="s">
        <v>273</v>
      </c>
      <c r="DN70">
        <v>5.1021109999999998</v>
      </c>
      <c r="DO70">
        <v>13.262783000000001</v>
      </c>
      <c r="DP70">
        <v>6.6917809999999998</v>
      </c>
      <c r="DQ70" t="s">
        <v>282</v>
      </c>
      <c r="DR70">
        <v>7.690785</v>
      </c>
      <c r="DS70">
        <v>19.78246</v>
      </c>
      <c r="DT70">
        <v>47.427809000000003</v>
      </c>
      <c r="DU70">
        <v>74.786332999999999</v>
      </c>
      <c r="DV70">
        <v>109.329616</v>
      </c>
      <c r="DW70" t="s">
        <v>283</v>
      </c>
      <c r="DX70" t="s">
        <v>273</v>
      </c>
      <c r="DY70">
        <v>26.505264</v>
      </c>
      <c r="DZ70">
        <v>5.5830999999999999E-2</v>
      </c>
      <c r="EA70">
        <v>1.8709089999999999</v>
      </c>
      <c r="EB70">
        <v>1.53542</v>
      </c>
      <c r="EC70">
        <v>82.068147999999994</v>
      </c>
      <c r="ED70">
        <v>21.370638</v>
      </c>
      <c r="EE70">
        <v>935.04087100000004</v>
      </c>
      <c r="EF70">
        <v>10.647983999999999</v>
      </c>
      <c r="EG70">
        <v>29</v>
      </c>
      <c r="EH70">
        <v>29</v>
      </c>
      <c r="EI70">
        <v>24</v>
      </c>
      <c r="EJ70">
        <v>28</v>
      </c>
      <c r="EK70" t="s">
        <v>273</v>
      </c>
      <c r="EL70" t="s">
        <v>273</v>
      </c>
      <c r="EM70">
        <v>26.414767000000001</v>
      </c>
      <c r="EN70">
        <v>2.9756000000000001E-2</v>
      </c>
      <c r="EO70">
        <v>1.8023800000000001</v>
      </c>
      <c r="EP70">
        <v>1.400231</v>
      </c>
      <c r="EQ70">
        <v>77.687887000000003</v>
      </c>
      <c r="ER70">
        <v>19.960567999999999</v>
      </c>
      <c r="ES70">
        <v>784.45065199999999</v>
      </c>
      <c r="ET70">
        <v>5.6750170000000004</v>
      </c>
      <c r="EU70">
        <v>28</v>
      </c>
      <c r="EV70">
        <v>28</v>
      </c>
      <c r="EW70">
        <v>27</v>
      </c>
      <c r="EX70">
        <v>28</v>
      </c>
      <c r="EY70" t="s">
        <v>273</v>
      </c>
      <c r="EZ70" t="s">
        <v>273</v>
      </c>
      <c r="FA70">
        <v>30.661456999999999</v>
      </c>
      <c r="FB70">
        <v>5.6382000000000002E-2</v>
      </c>
      <c r="FC70">
        <v>1.8708670000000001</v>
      </c>
      <c r="FD70">
        <v>1.5353509999999999</v>
      </c>
      <c r="FE70">
        <v>82.066288999999998</v>
      </c>
      <c r="FF70">
        <v>24.721124</v>
      </c>
      <c r="FG70">
        <v>935.14636299999995</v>
      </c>
      <c r="FH70">
        <v>10.753185999999999</v>
      </c>
      <c r="FI70">
        <v>29</v>
      </c>
      <c r="FJ70">
        <v>29</v>
      </c>
      <c r="FK70">
        <v>24</v>
      </c>
      <c r="FL70">
        <v>28</v>
      </c>
      <c r="FM70" t="s">
        <v>273</v>
      </c>
      <c r="FN70" t="s">
        <v>273</v>
      </c>
      <c r="FO70">
        <v>31.810941</v>
      </c>
      <c r="FP70">
        <v>8.9274000000000006E-2</v>
      </c>
      <c r="FQ70">
        <v>4.166601</v>
      </c>
      <c r="FR70">
        <v>3.642976</v>
      </c>
      <c r="FS70">
        <v>87.432792000000006</v>
      </c>
      <c r="FT70">
        <v>27.623052000000001</v>
      </c>
      <c r="FU70">
        <v>788.21015699999998</v>
      </c>
      <c r="FV70">
        <v>17.026223999999999</v>
      </c>
      <c r="FW70">
        <v>27</v>
      </c>
      <c r="FX70">
        <v>27</v>
      </c>
      <c r="FY70">
        <v>23</v>
      </c>
      <c r="FZ70">
        <v>22</v>
      </c>
      <c r="GA70" t="s">
        <v>273</v>
      </c>
      <c r="GB70" t="s">
        <v>273</v>
      </c>
      <c r="GC70">
        <v>30.683060999999999</v>
      </c>
      <c r="GD70">
        <v>0.128802</v>
      </c>
      <c r="GE70">
        <v>2.0266639999999998</v>
      </c>
      <c r="GF70">
        <v>1.6479410000000001</v>
      </c>
      <c r="GG70">
        <v>81.313012999999998</v>
      </c>
      <c r="GH70">
        <v>24.276751999999998</v>
      </c>
      <c r="GI70">
        <v>2006.826963</v>
      </c>
      <c r="GJ70">
        <v>24.564836</v>
      </c>
      <c r="GK70">
        <v>25</v>
      </c>
      <c r="GL70">
        <v>25</v>
      </c>
      <c r="GM70">
        <v>16</v>
      </c>
      <c r="GN70">
        <v>25</v>
      </c>
      <c r="GO70" t="s">
        <v>273</v>
      </c>
      <c r="GP70" t="s">
        <v>273</v>
      </c>
      <c r="GQ70">
        <v>32.375686000000002</v>
      </c>
      <c r="GR70">
        <v>0.17404600000000001</v>
      </c>
      <c r="GS70">
        <v>3.9198550000000001</v>
      </c>
      <c r="GT70">
        <v>3.3953329999999999</v>
      </c>
      <c r="GU70">
        <v>86.618846000000005</v>
      </c>
      <c r="GV70">
        <v>27.796894999999999</v>
      </c>
      <c r="GW70">
        <v>1206.695678</v>
      </c>
      <c r="GX70">
        <v>33.193812999999999</v>
      </c>
      <c r="GY70">
        <v>52</v>
      </c>
      <c r="GZ70">
        <v>52</v>
      </c>
      <c r="HA70">
        <v>40</v>
      </c>
      <c r="HB70">
        <v>40</v>
      </c>
      <c r="HC70" t="s">
        <v>273</v>
      </c>
      <c r="HD70" t="s">
        <v>273</v>
      </c>
      <c r="HE70">
        <v>31</v>
      </c>
      <c r="HF70">
        <v>2.9999999999999997E-4</v>
      </c>
      <c r="HG70">
        <v>4.0000000000000001E-3</v>
      </c>
      <c r="HH70">
        <v>3.2258000000000002E-2</v>
      </c>
      <c r="HI70">
        <v>8000</v>
      </c>
    </row>
    <row r="71" spans="1:217" x14ac:dyDescent="0.3">
      <c r="A71">
        <v>486</v>
      </c>
      <c r="B71" t="s">
        <v>269</v>
      </c>
      <c r="F71" t="s">
        <v>270</v>
      </c>
      <c r="G71" t="s">
        <v>288</v>
      </c>
      <c r="H71" t="s">
        <v>289</v>
      </c>
      <c r="I71">
        <v>10000</v>
      </c>
      <c r="J71">
        <v>1</v>
      </c>
      <c r="K71">
        <v>28.731249999999999</v>
      </c>
      <c r="L71">
        <v>0.22</v>
      </c>
      <c r="M71">
        <v>5.7797000000000001E-2</v>
      </c>
      <c r="N71">
        <v>0</v>
      </c>
      <c r="O71">
        <v>0</v>
      </c>
      <c r="P71">
        <v>0</v>
      </c>
      <c r="Q71">
        <v>24.56</v>
      </c>
      <c r="R71">
        <v>1</v>
      </c>
      <c r="S71">
        <v>1</v>
      </c>
      <c r="T71">
        <v>1</v>
      </c>
      <c r="U71">
        <v>1</v>
      </c>
      <c r="V71">
        <v>100</v>
      </c>
      <c r="W71" t="s">
        <v>273</v>
      </c>
      <c r="X71" t="s">
        <v>274</v>
      </c>
      <c r="Y71" t="s">
        <v>274</v>
      </c>
      <c r="Z71" t="s">
        <v>273</v>
      </c>
      <c r="AA71" t="s">
        <v>275</v>
      </c>
      <c r="AB71" t="s">
        <v>276</v>
      </c>
      <c r="AC71">
        <v>505</v>
      </c>
      <c r="AD71">
        <v>5</v>
      </c>
      <c r="AE71" t="s">
        <v>277</v>
      </c>
      <c r="AF71">
        <v>2.9068200000000002</v>
      </c>
      <c r="AG71">
        <v>100</v>
      </c>
      <c r="AH71">
        <v>26.2</v>
      </c>
      <c r="AI71">
        <v>1570</v>
      </c>
      <c r="AJ71">
        <v>800</v>
      </c>
      <c r="AK71">
        <v>1200</v>
      </c>
      <c r="AL71">
        <v>144.6</v>
      </c>
      <c r="AM71">
        <v>2.2000000000000002</v>
      </c>
      <c r="AN71" t="s">
        <v>273</v>
      </c>
      <c r="AO71" t="s">
        <v>278</v>
      </c>
      <c r="AP71" t="s">
        <v>290</v>
      </c>
      <c r="AQ71">
        <v>4.3</v>
      </c>
      <c r="AR71">
        <v>6</v>
      </c>
      <c r="AS71">
        <v>241.4</v>
      </c>
      <c r="AT71">
        <v>439.2</v>
      </c>
      <c r="AU71">
        <v>0.250002</v>
      </c>
      <c r="AV71">
        <v>36.9</v>
      </c>
      <c r="AW71">
        <v>233.6</v>
      </c>
      <c r="AX71" t="s">
        <v>280</v>
      </c>
      <c r="AY71">
        <v>0</v>
      </c>
      <c r="AZ71" t="s">
        <v>281</v>
      </c>
      <c r="BA71">
        <v>0.2</v>
      </c>
      <c r="BB71">
        <v>0.5</v>
      </c>
      <c r="BC71" t="s">
        <v>273</v>
      </c>
      <c r="BD71" t="s">
        <v>273</v>
      </c>
      <c r="BE71">
        <v>14.981351</v>
      </c>
      <c r="BF71">
        <v>15.153852000000001</v>
      </c>
      <c r="BG71">
        <v>571.80833900000005</v>
      </c>
      <c r="BH71" t="s">
        <v>273</v>
      </c>
      <c r="BI71">
        <v>20.729641000000001</v>
      </c>
      <c r="BJ71">
        <v>20.968332</v>
      </c>
      <c r="BK71">
        <v>413.24695800000001</v>
      </c>
      <c r="BL71" t="s">
        <v>273</v>
      </c>
      <c r="BM71">
        <v>20.730049000000001</v>
      </c>
      <c r="BN71">
        <v>20.968744000000001</v>
      </c>
      <c r="BO71">
        <v>413.23882800000001</v>
      </c>
      <c r="BP71" t="s">
        <v>273</v>
      </c>
      <c r="BQ71">
        <v>11.287203</v>
      </c>
      <c r="BR71">
        <v>11.417168999999999</v>
      </c>
      <c r="BS71">
        <v>758.95338700000002</v>
      </c>
      <c r="BT71" t="s">
        <v>273</v>
      </c>
      <c r="BU71">
        <v>4.5414640000000004</v>
      </c>
      <c r="BV71">
        <v>4.593756</v>
      </c>
      <c r="BW71">
        <v>1886.277542</v>
      </c>
      <c r="BX71" t="s">
        <v>273</v>
      </c>
      <c r="BY71">
        <v>13.636523</v>
      </c>
      <c r="BZ71">
        <v>15.17695</v>
      </c>
      <c r="CA71">
        <v>15.771008</v>
      </c>
      <c r="CB71">
        <v>20.730049000000001</v>
      </c>
      <c r="CC71">
        <v>7.1550940000000001</v>
      </c>
      <c r="CD71">
        <v>13.525088</v>
      </c>
      <c r="CE71" t="s">
        <v>273</v>
      </c>
      <c r="CF71">
        <v>13.79354</v>
      </c>
      <c r="CG71">
        <v>15.351704</v>
      </c>
      <c r="CH71">
        <v>15.952602000000001</v>
      </c>
      <c r="CI71">
        <v>20.968744000000001</v>
      </c>
      <c r="CJ71">
        <v>7.2374809999999998</v>
      </c>
      <c r="CK71">
        <v>13.680821</v>
      </c>
      <c r="CL71" t="s">
        <v>273</v>
      </c>
      <c r="CM71">
        <v>628.19983300000001</v>
      </c>
      <c r="CN71">
        <v>564.43891699999995</v>
      </c>
      <c r="CO71">
        <v>543.17779800000005</v>
      </c>
      <c r="CP71">
        <v>413.23882800000001</v>
      </c>
      <c r="CQ71">
        <v>1197.2534310000001</v>
      </c>
      <c r="CR71">
        <v>633.37566100000004</v>
      </c>
      <c r="CS71" t="s">
        <v>273</v>
      </c>
      <c r="CT71">
        <v>747.98732199999995</v>
      </c>
      <c r="CU71">
        <v>723.18420200000003</v>
      </c>
      <c r="CV71">
        <v>646.65112499999998</v>
      </c>
      <c r="CW71">
        <v>1399.738445</v>
      </c>
      <c r="CX71">
        <v>705.94385799999998</v>
      </c>
      <c r="CY71">
        <v>1303.479926</v>
      </c>
      <c r="CZ71" t="s">
        <v>273</v>
      </c>
      <c r="DA71">
        <v>3.6094210000000002</v>
      </c>
      <c r="DB71">
        <v>510.01</v>
      </c>
      <c r="DC71">
        <v>3.8839450000000002</v>
      </c>
      <c r="DD71">
        <v>864</v>
      </c>
      <c r="DE71">
        <v>3.6088529999999999</v>
      </c>
      <c r="DF71">
        <v>505</v>
      </c>
      <c r="DG71">
        <v>10.268025</v>
      </c>
      <c r="DH71">
        <v>765</v>
      </c>
      <c r="DI71">
        <v>1.7874140000000001</v>
      </c>
      <c r="DJ71">
        <v>235</v>
      </c>
      <c r="DK71">
        <v>6.2385570000000001</v>
      </c>
      <c r="DL71">
        <v>365</v>
      </c>
      <c r="DM71" t="s">
        <v>273</v>
      </c>
      <c r="DN71">
        <v>5.2301190000000002</v>
      </c>
      <c r="DO71">
        <v>13.48981</v>
      </c>
      <c r="DP71">
        <v>7.0173490000000003</v>
      </c>
      <c r="DQ71" t="s">
        <v>282</v>
      </c>
      <c r="DR71">
        <v>7.8406370000000001</v>
      </c>
      <c r="DS71">
        <v>19.881772999999999</v>
      </c>
      <c r="DT71">
        <v>48.229568999999998</v>
      </c>
      <c r="DU71">
        <v>75.476876000000004</v>
      </c>
      <c r="DV71">
        <v>113.022121</v>
      </c>
      <c r="DW71" t="s">
        <v>283</v>
      </c>
      <c r="DX71" t="s">
        <v>273</v>
      </c>
      <c r="DY71">
        <v>27.095210000000002</v>
      </c>
      <c r="DZ71">
        <v>5.5101999999999998E-2</v>
      </c>
      <c r="EA71">
        <v>2.3524769999999999</v>
      </c>
      <c r="EB71">
        <v>1.9183779999999999</v>
      </c>
      <c r="EC71">
        <v>81.547145</v>
      </c>
      <c r="ED71">
        <v>21.704450000000001</v>
      </c>
      <c r="EE71">
        <v>1167.893642</v>
      </c>
      <c r="EF71">
        <v>13.301819</v>
      </c>
      <c r="EG71">
        <v>24</v>
      </c>
      <c r="EH71">
        <v>24</v>
      </c>
      <c r="EI71">
        <v>23</v>
      </c>
      <c r="EJ71">
        <v>24</v>
      </c>
      <c r="EK71" t="s">
        <v>273</v>
      </c>
      <c r="EL71" t="s">
        <v>273</v>
      </c>
      <c r="EM71">
        <v>26.987947999999999</v>
      </c>
      <c r="EN71">
        <v>2.9395999999999999E-2</v>
      </c>
      <c r="EO71">
        <v>2.265466</v>
      </c>
      <c r="EP71">
        <v>1.7526250000000001</v>
      </c>
      <c r="EQ71">
        <v>77.362689000000003</v>
      </c>
      <c r="ER71">
        <v>20.288633000000001</v>
      </c>
      <c r="ES71">
        <v>980.90391999999997</v>
      </c>
      <c r="ET71">
        <v>7.0963450000000003</v>
      </c>
      <c r="EU71">
        <v>27</v>
      </c>
      <c r="EV71">
        <v>27</v>
      </c>
      <c r="EW71">
        <v>26</v>
      </c>
      <c r="EX71">
        <v>27</v>
      </c>
      <c r="EY71" t="s">
        <v>273</v>
      </c>
      <c r="EZ71" t="s">
        <v>273</v>
      </c>
      <c r="FA71">
        <v>31.340472999999999</v>
      </c>
      <c r="FB71">
        <v>5.5647000000000002E-2</v>
      </c>
      <c r="FC71">
        <v>2.352417</v>
      </c>
      <c r="FD71">
        <v>1.918307</v>
      </c>
      <c r="FE71">
        <v>81.546204000000003</v>
      </c>
      <c r="FF71">
        <v>25.104839999999999</v>
      </c>
      <c r="FG71">
        <v>1168.041573</v>
      </c>
      <c r="FH71">
        <v>13.43337</v>
      </c>
      <c r="FI71">
        <v>24</v>
      </c>
      <c r="FJ71">
        <v>24</v>
      </c>
      <c r="FK71">
        <v>23</v>
      </c>
      <c r="FL71">
        <v>24</v>
      </c>
      <c r="FM71" t="s">
        <v>273</v>
      </c>
      <c r="FN71" t="s">
        <v>273</v>
      </c>
      <c r="FO71">
        <v>32.209091999999998</v>
      </c>
      <c r="FP71">
        <v>8.8093000000000005E-2</v>
      </c>
      <c r="FQ71">
        <v>5.233161</v>
      </c>
      <c r="FR71">
        <v>4.5495979999999996</v>
      </c>
      <c r="FS71">
        <v>86.937859000000003</v>
      </c>
      <c r="FT71">
        <v>27.813958</v>
      </c>
      <c r="FU71">
        <v>984.49893099999997</v>
      </c>
      <c r="FV71">
        <v>21.266186000000001</v>
      </c>
      <c r="FW71">
        <v>23</v>
      </c>
      <c r="FX71">
        <v>23</v>
      </c>
      <c r="FY71">
        <v>22</v>
      </c>
      <c r="FZ71">
        <v>22</v>
      </c>
      <c r="GA71" t="s">
        <v>273</v>
      </c>
      <c r="GB71" t="s">
        <v>273</v>
      </c>
      <c r="GC71">
        <v>31.096913000000001</v>
      </c>
      <c r="GD71">
        <v>0.12720100000000001</v>
      </c>
      <c r="GE71">
        <v>2.5481569999999998</v>
      </c>
      <c r="GF71">
        <v>2.060133</v>
      </c>
      <c r="GG71">
        <v>80.847987000000003</v>
      </c>
      <c r="GH71">
        <v>24.461753000000002</v>
      </c>
      <c r="GI71">
        <v>2508.5943189999998</v>
      </c>
      <c r="GJ71">
        <v>30.706949000000002</v>
      </c>
      <c r="GK71">
        <v>24</v>
      </c>
      <c r="GL71">
        <v>24</v>
      </c>
      <c r="GM71">
        <v>16</v>
      </c>
      <c r="GN71">
        <v>24</v>
      </c>
      <c r="GO71" t="s">
        <v>273</v>
      </c>
      <c r="GP71" t="s">
        <v>273</v>
      </c>
      <c r="GQ71">
        <v>32.704534000000002</v>
      </c>
      <c r="GR71">
        <v>0.171988</v>
      </c>
      <c r="GS71">
        <v>4.9482429999999997</v>
      </c>
      <c r="GT71">
        <v>4.2462429999999998</v>
      </c>
      <c r="GU71">
        <v>85.813145000000006</v>
      </c>
      <c r="GV71">
        <v>27.82225</v>
      </c>
      <c r="GW71">
        <v>1509.402114</v>
      </c>
      <c r="GX71">
        <v>41.518827999999999</v>
      </c>
      <c r="GY71">
        <v>71</v>
      </c>
      <c r="GZ71">
        <v>71</v>
      </c>
      <c r="HA71">
        <v>45</v>
      </c>
      <c r="HB71">
        <v>41</v>
      </c>
      <c r="HC71" t="s">
        <v>273</v>
      </c>
      <c r="HD71" t="s">
        <v>273</v>
      </c>
      <c r="HE71">
        <v>31</v>
      </c>
      <c r="HF71">
        <v>2.9999999999999997E-4</v>
      </c>
      <c r="HG71">
        <v>4.0000000000000001E-3</v>
      </c>
      <c r="HH71">
        <v>3.2258000000000002E-2</v>
      </c>
      <c r="HI71">
        <v>10000</v>
      </c>
    </row>
    <row r="72" spans="1:217" x14ac:dyDescent="0.3">
      <c r="A72">
        <v>499</v>
      </c>
      <c r="B72" t="s">
        <v>269</v>
      </c>
      <c r="F72" t="s">
        <v>270</v>
      </c>
      <c r="G72" t="s">
        <v>288</v>
      </c>
      <c r="H72" t="s">
        <v>289</v>
      </c>
      <c r="I72">
        <v>3375</v>
      </c>
      <c r="J72">
        <v>1</v>
      </c>
      <c r="K72">
        <v>24.385546999999999</v>
      </c>
      <c r="L72">
        <v>0.22</v>
      </c>
      <c r="M72">
        <v>7.1380000000000002E-3</v>
      </c>
      <c r="N72">
        <v>0</v>
      </c>
      <c r="O72">
        <v>0</v>
      </c>
      <c r="P72">
        <v>0</v>
      </c>
      <c r="Q72">
        <v>7.1</v>
      </c>
      <c r="R72">
        <v>1</v>
      </c>
      <c r="S72">
        <v>1</v>
      </c>
      <c r="T72">
        <v>1</v>
      </c>
      <c r="U72">
        <v>1</v>
      </c>
      <c r="V72">
        <v>100</v>
      </c>
      <c r="W72" t="s">
        <v>273</v>
      </c>
      <c r="X72" t="s">
        <v>274</v>
      </c>
      <c r="Y72" t="s">
        <v>274</v>
      </c>
      <c r="Z72" t="s">
        <v>273</v>
      </c>
      <c r="AA72" t="s">
        <v>275</v>
      </c>
      <c r="AB72" t="s">
        <v>276</v>
      </c>
      <c r="AC72">
        <v>293</v>
      </c>
      <c r="AD72">
        <v>5</v>
      </c>
      <c r="AE72" t="s">
        <v>277</v>
      </c>
      <c r="AF72">
        <v>3.1937989999999998</v>
      </c>
      <c r="AG72">
        <v>100</v>
      </c>
      <c r="AH72">
        <v>28.8</v>
      </c>
      <c r="AI72">
        <v>1725</v>
      </c>
      <c r="AJ72">
        <v>800</v>
      </c>
      <c r="AK72">
        <v>1200</v>
      </c>
      <c r="AL72">
        <v>189.9</v>
      </c>
      <c r="AM72">
        <v>2.2000000000000002</v>
      </c>
      <c r="AN72" t="s">
        <v>273</v>
      </c>
      <c r="AO72" t="s">
        <v>278</v>
      </c>
      <c r="AP72" t="s">
        <v>291</v>
      </c>
      <c r="AQ72">
        <v>2.5</v>
      </c>
      <c r="AR72">
        <v>6</v>
      </c>
      <c r="AS72">
        <v>140</v>
      </c>
      <c r="AT72">
        <v>254.8</v>
      </c>
      <c r="AU72">
        <v>0.14535000000000001</v>
      </c>
      <c r="AV72">
        <v>36.1</v>
      </c>
      <c r="AW72">
        <v>238.9</v>
      </c>
      <c r="AX72" t="s">
        <v>280</v>
      </c>
      <c r="AY72">
        <v>0</v>
      </c>
      <c r="AZ72" t="s">
        <v>281</v>
      </c>
      <c r="BA72">
        <v>0.2</v>
      </c>
      <c r="BB72">
        <v>0.5</v>
      </c>
      <c r="BC72" t="s">
        <v>273</v>
      </c>
      <c r="BD72" t="s">
        <v>273</v>
      </c>
      <c r="BE72">
        <v>34.746715000000002</v>
      </c>
      <c r="BF72">
        <v>35.146804000000003</v>
      </c>
      <c r="BG72">
        <v>246.540176</v>
      </c>
      <c r="BH72" t="s">
        <v>273</v>
      </c>
      <c r="BI72">
        <v>57.731228000000002</v>
      </c>
      <c r="BJ72">
        <v>58.395969999999998</v>
      </c>
      <c r="BK72">
        <v>148.38522499999999</v>
      </c>
      <c r="BL72" t="s">
        <v>273</v>
      </c>
      <c r="BM72">
        <v>57.735447000000001</v>
      </c>
      <c r="BN72">
        <v>58.400238000000002</v>
      </c>
      <c r="BO72">
        <v>148.374382</v>
      </c>
      <c r="BP72" t="s">
        <v>273</v>
      </c>
      <c r="BQ72">
        <v>36.523012000000001</v>
      </c>
      <c r="BR72">
        <v>36.943553999999999</v>
      </c>
      <c r="BS72">
        <v>234.54969199999999</v>
      </c>
      <c r="BT72" t="s">
        <v>273</v>
      </c>
      <c r="BU72">
        <v>10.978839000000001</v>
      </c>
      <c r="BV72">
        <v>11.105254</v>
      </c>
      <c r="BW72">
        <v>780.27021500000001</v>
      </c>
      <c r="BX72" t="s">
        <v>273</v>
      </c>
      <c r="BY72">
        <v>34.532665999999999</v>
      </c>
      <c r="BZ72">
        <v>32.525686</v>
      </c>
      <c r="CA72">
        <v>40.108632</v>
      </c>
      <c r="CB72">
        <v>57.735447000000001</v>
      </c>
      <c r="CC72">
        <v>20.896494000000001</v>
      </c>
      <c r="CD72">
        <v>46.54701</v>
      </c>
      <c r="CE72" t="s">
        <v>273</v>
      </c>
      <c r="CF72">
        <v>34.930290999999997</v>
      </c>
      <c r="CG72">
        <v>32.900199999999998</v>
      </c>
      <c r="CH72">
        <v>40.570459999999997</v>
      </c>
      <c r="CI72">
        <v>58.400238000000002</v>
      </c>
      <c r="CJ72">
        <v>21.137105999999999</v>
      </c>
      <c r="CK72">
        <v>47.082973000000003</v>
      </c>
      <c r="CL72" t="s">
        <v>273</v>
      </c>
      <c r="CM72">
        <v>248.068341</v>
      </c>
      <c r="CN72">
        <v>263.375271</v>
      </c>
      <c r="CO72">
        <v>213.58148600000001</v>
      </c>
      <c r="CP72">
        <v>148.374382</v>
      </c>
      <c r="CQ72">
        <v>409.947292</v>
      </c>
      <c r="CR72">
        <v>184.038915</v>
      </c>
      <c r="CS72" t="s">
        <v>273</v>
      </c>
      <c r="CT72">
        <v>295.59448099999997</v>
      </c>
      <c r="CU72">
        <v>337.91923000000003</v>
      </c>
      <c r="CV72">
        <v>254.46183300000001</v>
      </c>
      <c r="CW72">
        <v>502.65348399999999</v>
      </c>
      <c r="CX72">
        <v>243.29943900000001</v>
      </c>
      <c r="CY72">
        <v>379.282107</v>
      </c>
      <c r="CZ72" t="s">
        <v>273</v>
      </c>
      <c r="DA72">
        <v>3.6121530000000002</v>
      </c>
      <c r="DB72">
        <v>510.01</v>
      </c>
      <c r="DC72">
        <v>3.8893680000000002</v>
      </c>
      <c r="DD72">
        <v>864</v>
      </c>
      <c r="DE72">
        <v>3.611605</v>
      </c>
      <c r="DF72">
        <v>505</v>
      </c>
      <c r="DG72">
        <v>10.269538000000001</v>
      </c>
      <c r="DH72">
        <v>765</v>
      </c>
      <c r="DI72">
        <v>1.799096</v>
      </c>
      <c r="DJ72">
        <v>235</v>
      </c>
      <c r="DK72">
        <v>6.2473210000000003</v>
      </c>
      <c r="DL72">
        <v>365</v>
      </c>
      <c r="DM72" t="s">
        <v>273</v>
      </c>
      <c r="DN72">
        <v>3.4445739999999998</v>
      </c>
      <c r="DO72">
        <v>7.7400070000000003</v>
      </c>
      <c r="DP72">
        <v>3.9153150000000001</v>
      </c>
      <c r="DQ72" t="s">
        <v>282</v>
      </c>
      <c r="DR72">
        <v>4.3973440000000004</v>
      </c>
      <c r="DS72">
        <v>16.082104999999999</v>
      </c>
      <c r="DT72">
        <v>32.134771000000001</v>
      </c>
      <c r="DU72">
        <v>93.393202000000002</v>
      </c>
      <c r="DV72">
        <v>174.46496500000001</v>
      </c>
      <c r="DW72" t="s">
        <v>283</v>
      </c>
      <c r="DX72" t="s">
        <v>273</v>
      </c>
      <c r="DY72">
        <v>22.429224999999999</v>
      </c>
      <c r="DZ72">
        <v>3.1629999999999998E-2</v>
      </c>
      <c r="EA72">
        <v>0.76957200000000003</v>
      </c>
      <c r="EB72">
        <v>0.64117299999999999</v>
      </c>
      <c r="EC72">
        <v>83.315545999999998</v>
      </c>
      <c r="ED72">
        <v>18.287756999999999</v>
      </c>
      <c r="EE72">
        <v>388.58714800000001</v>
      </c>
      <c r="EF72">
        <v>4.4291939999999999</v>
      </c>
      <c r="EG72">
        <v>23</v>
      </c>
      <c r="EH72">
        <v>23</v>
      </c>
      <c r="EI72">
        <v>18</v>
      </c>
      <c r="EJ72">
        <v>22</v>
      </c>
      <c r="EK72" t="s">
        <v>273</v>
      </c>
      <c r="EL72" t="s">
        <v>273</v>
      </c>
      <c r="EM72">
        <v>21.053730000000002</v>
      </c>
      <c r="EN72">
        <v>1.8803E-2</v>
      </c>
      <c r="EO72">
        <v>0.82581099999999996</v>
      </c>
      <c r="EP72">
        <v>0.652478</v>
      </c>
      <c r="EQ72">
        <v>79.010523000000006</v>
      </c>
      <c r="ER72">
        <v>16.110496999999999</v>
      </c>
      <c r="ES72">
        <v>363.44525800000002</v>
      </c>
      <c r="ET72">
        <v>2.6330140000000002</v>
      </c>
      <c r="EU72">
        <v>27</v>
      </c>
      <c r="EV72">
        <v>27</v>
      </c>
      <c r="EW72">
        <v>27</v>
      </c>
      <c r="EX72">
        <v>27</v>
      </c>
      <c r="EY72" t="s">
        <v>273</v>
      </c>
      <c r="EZ72" t="s">
        <v>273</v>
      </c>
      <c r="FA72">
        <v>26.041654999999999</v>
      </c>
      <c r="FB72">
        <v>3.1940999999999997E-2</v>
      </c>
      <c r="FC72">
        <v>0.76918299999999995</v>
      </c>
      <c r="FD72">
        <v>0.64114000000000004</v>
      </c>
      <c r="FE72">
        <v>83.353263999999996</v>
      </c>
      <c r="FF72">
        <v>21.242273000000001</v>
      </c>
      <c r="FG72">
        <v>388.61794500000002</v>
      </c>
      <c r="FH72">
        <v>4.4728110000000001</v>
      </c>
      <c r="FI72">
        <v>23</v>
      </c>
      <c r="FJ72">
        <v>23</v>
      </c>
      <c r="FK72">
        <v>18</v>
      </c>
      <c r="FL72">
        <v>22</v>
      </c>
      <c r="FM72" t="s">
        <v>273</v>
      </c>
      <c r="FN72" t="s">
        <v>273</v>
      </c>
      <c r="FO72">
        <v>26.26782</v>
      </c>
      <c r="FP72">
        <v>4.4783000000000003E-2</v>
      </c>
      <c r="FQ72">
        <v>1.5326090000000001</v>
      </c>
      <c r="FR72">
        <v>1.3452280000000001</v>
      </c>
      <c r="FS72">
        <v>87.773742999999996</v>
      </c>
      <c r="FT72">
        <v>22.839699</v>
      </c>
      <c r="FU72">
        <v>290.26894600000003</v>
      </c>
      <c r="FV72">
        <v>6.2710309999999998</v>
      </c>
      <c r="FW72">
        <v>10</v>
      </c>
      <c r="FX72">
        <v>10</v>
      </c>
      <c r="FY72">
        <v>10</v>
      </c>
      <c r="FZ72">
        <v>9</v>
      </c>
      <c r="GA72" t="s">
        <v>273</v>
      </c>
      <c r="GB72" t="s">
        <v>273</v>
      </c>
      <c r="GC72">
        <v>29.453468999999998</v>
      </c>
      <c r="GD72">
        <v>7.2460999999999998E-2</v>
      </c>
      <c r="GE72">
        <v>0.83179499999999995</v>
      </c>
      <c r="GF72">
        <v>0.685087</v>
      </c>
      <c r="GG72">
        <v>82.362483999999995</v>
      </c>
      <c r="GH72">
        <v>23.453797000000002</v>
      </c>
      <c r="GI72">
        <v>823.56436499999995</v>
      </c>
      <c r="GJ72">
        <v>10.146886</v>
      </c>
      <c r="GK72">
        <v>28</v>
      </c>
      <c r="GL72">
        <v>28</v>
      </c>
      <c r="GM72">
        <v>16</v>
      </c>
      <c r="GN72">
        <v>25</v>
      </c>
      <c r="GO72" t="s">
        <v>273</v>
      </c>
      <c r="GP72" t="s">
        <v>273</v>
      </c>
      <c r="GQ72">
        <v>28.66159</v>
      </c>
      <c r="GR72">
        <v>7.7965999999999994E-2</v>
      </c>
      <c r="GS72">
        <v>1.2618309999999999</v>
      </c>
      <c r="GT72">
        <v>1.126098</v>
      </c>
      <c r="GU72">
        <v>89.243144000000001</v>
      </c>
      <c r="GV72">
        <v>25.143284999999999</v>
      </c>
      <c r="GW72">
        <v>396.35391900000002</v>
      </c>
      <c r="GX72">
        <v>10.917747</v>
      </c>
      <c r="GY72">
        <v>25</v>
      </c>
      <c r="GZ72">
        <v>25</v>
      </c>
      <c r="HA72">
        <v>11</v>
      </c>
      <c r="HB72">
        <v>13</v>
      </c>
      <c r="HC72" t="s">
        <v>273</v>
      </c>
      <c r="HD72" t="s">
        <v>273</v>
      </c>
      <c r="HE72">
        <v>18</v>
      </c>
      <c r="HF72">
        <v>5.0000000000000001E-4</v>
      </c>
      <c r="HG72">
        <v>3.0000000000000001E-3</v>
      </c>
      <c r="HH72">
        <v>5.5556000000000001E-2</v>
      </c>
      <c r="HI72">
        <v>3375</v>
      </c>
    </row>
    <row r="73" spans="1:217" x14ac:dyDescent="0.3">
      <c r="A73">
        <v>500</v>
      </c>
      <c r="B73" t="s">
        <v>269</v>
      </c>
      <c r="F73" t="s">
        <v>270</v>
      </c>
      <c r="G73" t="s">
        <v>288</v>
      </c>
      <c r="H73" t="s">
        <v>289</v>
      </c>
      <c r="I73">
        <v>4500</v>
      </c>
      <c r="J73">
        <v>1</v>
      </c>
      <c r="K73">
        <v>33.614061999999997</v>
      </c>
      <c r="L73">
        <v>0.22</v>
      </c>
      <c r="M73">
        <v>1.0434000000000001E-2</v>
      </c>
      <c r="N73">
        <v>0</v>
      </c>
      <c r="O73">
        <v>0</v>
      </c>
      <c r="P73">
        <v>0</v>
      </c>
      <c r="Q73">
        <v>9.43</v>
      </c>
      <c r="R73">
        <v>1</v>
      </c>
      <c r="S73">
        <v>1</v>
      </c>
      <c r="T73">
        <v>1</v>
      </c>
      <c r="U73">
        <v>1</v>
      </c>
      <c r="V73">
        <v>100</v>
      </c>
      <c r="W73" t="s">
        <v>273</v>
      </c>
      <c r="X73" t="s">
        <v>274</v>
      </c>
      <c r="Y73" t="s">
        <v>274</v>
      </c>
      <c r="Z73" t="s">
        <v>273</v>
      </c>
      <c r="AA73" t="s">
        <v>275</v>
      </c>
      <c r="AB73" t="s">
        <v>276</v>
      </c>
      <c r="AC73">
        <v>399</v>
      </c>
      <c r="AD73">
        <v>5</v>
      </c>
      <c r="AE73" t="s">
        <v>277</v>
      </c>
      <c r="AF73">
        <v>3.0734530000000002</v>
      </c>
      <c r="AG73">
        <v>100</v>
      </c>
      <c r="AH73">
        <v>27.7</v>
      </c>
      <c r="AI73">
        <v>1660</v>
      </c>
      <c r="AJ73">
        <v>800</v>
      </c>
      <c r="AK73">
        <v>1200</v>
      </c>
      <c r="AL73">
        <v>162.69999999999999</v>
      </c>
      <c r="AM73">
        <v>2.2000000000000002</v>
      </c>
      <c r="AN73" t="s">
        <v>273</v>
      </c>
      <c r="AO73" t="s">
        <v>278</v>
      </c>
      <c r="AP73" t="s">
        <v>292</v>
      </c>
      <c r="AQ73">
        <v>3.4</v>
      </c>
      <c r="AR73">
        <v>6</v>
      </c>
      <c r="AS73">
        <v>190.7</v>
      </c>
      <c r="AT73">
        <v>347</v>
      </c>
      <c r="AU73">
        <v>0.19767599999999999</v>
      </c>
      <c r="AV73">
        <v>36.5</v>
      </c>
      <c r="AW73">
        <v>235.8</v>
      </c>
      <c r="AX73" t="s">
        <v>280</v>
      </c>
      <c r="AY73">
        <v>0</v>
      </c>
      <c r="AZ73" t="s">
        <v>281</v>
      </c>
      <c r="BA73">
        <v>0.2</v>
      </c>
      <c r="BB73">
        <v>0.5</v>
      </c>
      <c r="BC73" t="s">
        <v>273</v>
      </c>
      <c r="BD73" t="s">
        <v>273</v>
      </c>
      <c r="BE73">
        <v>26.966144</v>
      </c>
      <c r="BF73">
        <v>27.276644000000001</v>
      </c>
      <c r="BG73">
        <v>317.67467900000003</v>
      </c>
      <c r="BH73" t="s">
        <v>273</v>
      </c>
      <c r="BI73">
        <v>44.953254000000001</v>
      </c>
      <c r="BJ73">
        <v>45.470865000000003</v>
      </c>
      <c r="BK73">
        <v>190.56376399999999</v>
      </c>
      <c r="BL73" t="s">
        <v>273</v>
      </c>
      <c r="BM73">
        <v>44.955834000000003</v>
      </c>
      <c r="BN73">
        <v>45.473475000000001</v>
      </c>
      <c r="BO73">
        <v>190.55282500000001</v>
      </c>
      <c r="BP73" t="s">
        <v>273</v>
      </c>
      <c r="BQ73">
        <v>28.027726999999999</v>
      </c>
      <c r="BR73">
        <v>28.350449999999999</v>
      </c>
      <c r="BS73">
        <v>305.64238699999999</v>
      </c>
      <c r="BT73" t="s">
        <v>273</v>
      </c>
      <c r="BU73">
        <v>8.2000279999999997</v>
      </c>
      <c r="BV73">
        <v>8.2944469999999999</v>
      </c>
      <c r="BW73">
        <v>1044.6867950000001</v>
      </c>
      <c r="BX73" t="s">
        <v>273</v>
      </c>
      <c r="BY73">
        <v>26.590160999999998</v>
      </c>
      <c r="BZ73">
        <v>25.405932</v>
      </c>
      <c r="CA73">
        <v>30.878727999999999</v>
      </c>
      <c r="CB73">
        <v>44.955834000000003</v>
      </c>
      <c r="CC73">
        <v>15.981854999999999</v>
      </c>
      <c r="CD73">
        <v>35.799843000000003</v>
      </c>
      <c r="CE73" t="s">
        <v>273</v>
      </c>
      <c r="CF73">
        <v>26.896332000000001</v>
      </c>
      <c r="CG73">
        <v>25.698467000000001</v>
      </c>
      <c r="CH73">
        <v>31.234279000000001</v>
      </c>
      <c r="CI73">
        <v>45.473475000000001</v>
      </c>
      <c r="CJ73">
        <v>16.165876999999998</v>
      </c>
      <c r="CK73">
        <v>36.212057999999999</v>
      </c>
      <c r="CL73" t="s">
        <v>273</v>
      </c>
      <c r="CM73">
        <v>322.16657900000001</v>
      </c>
      <c r="CN73">
        <v>337.18350400000003</v>
      </c>
      <c r="CO73">
        <v>277.42273699999998</v>
      </c>
      <c r="CP73">
        <v>190.55282500000001</v>
      </c>
      <c r="CQ73">
        <v>536.01168800000005</v>
      </c>
      <c r="CR73">
        <v>239.287676</v>
      </c>
      <c r="CS73" t="s">
        <v>273</v>
      </c>
      <c r="CT73">
        <v>383.92241200000001</v>
      </c>
      <c r="CU73">
        <v>432.72610700000001</v>
      </c>
      <c r="CV73">
        <v>330.55245000000002</v>
      </c>
      <c r="CW73">
        <v>645.57061699999997</v>
      </c>
      <c r="CX73">
        <v>318.18253600000003</v>
      </c>
      <c r="CY73">
        <v>493.14570500000002</v>
      </c>
      <c r="CZ73" t="s">
        <v>273</v>
      </c>
      <c r="DA73">
        <v>3.6124689999999999</v>
      </c>
      <c r="DB73">
        <v>510.01</v>
      </c>
      <c r="DC73">
        <v>3.8903430000000001</v>
      </c>
      <c r="DD73">
        <v>864</v>
      </c>
      <c r="DE73">
        <v>3.6119309999999998</v>
      </c>
      <c r="DF73">
        <v>505</v>
      </c>
      <c r="DG73">
        <v>10.269978</v>
      </c>
      <c r="DH73">
        <v>765</v>
      </c>
      <c r="DI73">
        <v>1.799464</v>
      </c>
      <c r="DJ73">
        <v>235</v>
      </c>
      <c r="DK73">
        <v>6.2473530000000004</v>
      </c>
      <c r="DL73">
        <v>365</v>
      </c>
      <c r="DM73" t="s">
        <v>273</v>
      </c>
      <c r="DN73">
        <v>3.4267379999999998</v>
      </c>
      <c r="DO73">
        <v>7.6849030000000003</v>
      </c>
      <c r="DP73">
        <v>3.9808379999999999</v>
      </c>
      <c r="DQ73" t="s">
        <v>282</v>
      </c>
      <c r="DR73">
        <v>4.3808759999999998</v>
      </c>
      <c r="DS73">
        <v>16.008911999999999</v>
      </c>
      <c r="DT73">
        <v>32.055529999999997</v>
      </c>
      <c r="DU73">
        <v>93.801953999999995</v>
      </c>
      <c r="DV73">
        <v>172.82811599999999</v>
      </c>
      <c r="DW73" t="s">
        <v>283</v>
      </c>
      <c r="DX73" t="s">
        <v>273</v>
      </c>
      <c r="DY73">
        <v>23.130281</v>
      </c>
      <c r="DZ73">
        <v>3.0945E-2</v>
      </c>
      <c r="EA73">
        <v>1.0307729999999999</v>
      </c>
      <c r="EB73">
        <v>0.85481099999999999</v>
      </c>
      <c r="EC73">
        <v>82.929106000000004</v>
      </c>
      <c r="ED73">
        <v>18.761683999999999</v>
      </c>
      <c r="EE73">
        <v>517.73690499999998</v>
      </c>
      <c r="EF73">
        <v>5.9017860000000004</v>
      </c>
      <c r="EG73">
        <v>24</v>
      </c>
      <c r="EH73">
        <v>24</v>
      </c>
      <c r="EI73">
        <v>20</v>
      </c>
      <c r="EJ73">
        <v>23</v>
      </c>
      <c r="EK73" t="s">
        <v>273</v>
      </c>
      <c r="EL73" t="s">
        <v>273</v>
      </c>
      <c r="EM73">
        <v>21.986425000000001</v>
      </c>
      <c r="EN73">
        <v>1.8398999999999999E-2</v>
      </c>
      <c r="EO73">
        <v>1.104349</v>
      </c>
      <c r="EP73">
        <v>0.87058500000000005</v>
      </c>
      <c r="EQ73">
        <v>78.832392999999996</v>
      </c>
      <c r="ER73">
        <v>16.766100999999999</v>
      </c>
      <c r="ES73">
        <v>484.231897</v>
      </c>
      <c r="ET73">
        <v>3.5089440000000001</v>
      </c>
      <c r="EU73">
        <v>27</v>
      </c>
      <c r="EV73">
        <v>27</v>
      </c>
      <c r="EW73">
        <v>27</v>
      </c>
      <c r="EX73">
        <v>27</v>
      </c>
      <c r="EY73" t="s">
        <v>273</v>
      </c>
      <c r="EZ73" t="s">
        <v>273</v>
      </c>
      <c r="FA73">
        <v>26.847812000000001</v>
      </c>
      <c r="FB73">
        <v>3.125E-2</v>
      </c>
      <c r="FC73">
        <v>1.0301199999999999</v>
      </c>
      <c r="FD73">
        <v>0.85475500000000004</v>
      </c>
      <c r="FE73">
        <v>82.976211000000006</v>
      </c>
      <c r="FF73">
        <v>21.789238000000001</v>
      </c>
      <c r="FG73">
        <v>517.77637600000003</v>
      </c>
      <c r="FH73">
        <v>5.9599029999999997</v>
      </c>
      <c r="FI73">
        <v>24</v>
      </c>
      <c r="FJ73">
        <v>24</v>
      </c>
      <c r="FK73">
        <v>20</v>
      </c>
      <c r="FL73">
        <v>23</v>
      </c>
      <c r="FM73" t="s">
        <v>273</v>
      </c>
      <c r="FN73" t="s">
        <v>273</v>
      </c>
      <c r="FO73">
        <v>27.241866000000002</v>
      </c>
      <c r="FP73">
        <v>4.3749999999999997E-2</v>
      </c>
      <c r="FQ73">
        <v>2.0413589999999999</v>
      </c>
      <c r="FR73">
        <v>1.789944</v>
      </c>
      <c r="FS73">
        <v>87.683978999999994</v>
      </c>
      <c r="FT73">
        <v>23.661921</v>
      </c>
      <c r="FU73">
        <v>386.20390600000002</v>
      </c>
      <c r="FV73">
        <v>8.3439870000000003</v>
      </c>
      <c r="FW73">
        <v>9</v>
      </c>
      <c r="FX73">
        <v>9</v>
      </c>
      <c r="FY73">
        <v>9</v>
      </c>
      <c r="FZ73">
        <v>9</v>
      </c>
      <c r="GA73" t="s">
        <v>273</v>
      </c>
      <c r="GB73" t="s">
        <v>273</v>
      </c>
      <c r="GC73">
        <v>30.224247999999999</v>
      </c>
      <c r="GD73">
        <v>7.0933999999999997E-2</v>
      </c>
      <c r="GE73">
        <v>1.1162730000000001</v>
      </c>
      <c r="GF73">
        <v>0.91434000000000004</v>
      </c>
      <c r="GG73">
        <v>81.910047000000006</v>
      </c>
      <c r="GH73">
        <v>23.910651000000001</v>
      </c>
      <c r="GI73">
        <v>1097.7952740000001</v>
      </c>
      <c r="GJ73">
        <v>13.528373999999999</v>
      </c>
      <c r="GK73">
        <v>26</v>
      </c>
      <c r="GL73">
        <v>26</v>
      </c>
      <c r="GM73">
        <v>14</v>
      </c>
      <c r="GN73">
        <v>23</v>
      </c>
      <c r="GO73" t="s">
        <v>273</v>
      </c>
      <c r="GP73" t="s">
        <v>273</v>
      </c>
      <c r="GQ73">
        <v>29.598852000000001</v>
      </c>
      <c r="GR73">
        <v>7.6474E-2</v>
      </c>
      <c r="GS73">
        <v>1.694294</v>
      </c>
      <c r="GT73">
        <v>1.5045740000000001</v>
      </c>
      <c r="GU73">
        <v>88.802426999999994</v>
      </c>
      <c r="GV73">
        <v>25.833490999999999</v>
      </c>
      <c r="GW73">
        <v>529.48670100000004</v>
      </c>
      <c r="GX73">
        <v>14.585024000000001</v>
      </c>
      <c r="GY73">
        <v>24</v>
      </c>
      <c r="GZ73">
        <v>24</v>
      </c>
      <c r="HA73">
        <v>11</v>
      </c>
      <c r="HB73">
        <v>12</v>
      </c>
      <c r="HC73" t="s">
        <v>273</v>
      </c>
      <c r="HD73" t="s">
        <v>273</v>
      </c>
      <c r="HE73">
        <v>18</v>
      </c>
      <c r="HF73">
        <v>5.0000000000000001E-4</v>
      </c>
      <c r="HG73">
        <v>3.0000000000000001E-3</v>
      </c>
      <c r="HH73">
        <v>5.5556000000000001E-2</v>
      </c>
      <c r="HI73">
        <v>4500</v>
      </c>
    </row>
    <row r="74" spans="1:217" x14ac:dyDescent="0.3">
      <c r="A74">
        <v>501</v>
      </c>
      <c r="B74" t="s">
        <v>269</v>
      </c>
      <c r="F74" t="s">
        <v>270</v>
      </c>
      <c r="G74" t="s">
        <v>288</v>
      </c>
      <c r="H74" t="s">
        <v>289</v>
      </c>
      <c r="I74">
        <v>6000</v>
      </c>
      <c r="J74">
        <v>1</v>
      </c>
      <c r="K74">
        <v>45.918750000000003</v>
      </c>
      <c r="L74">
        <v>0.22</v>
      </c>
      <c r="M74">
        <v>1.4827999999999999E-2</v>
      </c>
      <c r="N74">
        <v>0</v>
      </c>
      <c r="O74">
        <v>0</v>
      </c>
      <c r="P74">
        <v>0</v>
      </c>
      <c r="Q74">
        <v>12.53</v>
      </c>
      <c r="R74">
        <v>1</v>
      </c>
      <c r="S74">
        <v>1</v>
      </c>
      <c r="T74">
        <v>1</v>
      </c>
      <c r="U74">
        <v>1</v>
      </c>
      <c r="V74">
        <v>100</v>
      </c>
      <c r="W74" t="s">
        <v>273</v>
      </c>
      <c r="X74" t="s">
        <v>274</v>
      </c>
      <c r="Y74" t="s">
        <v>274</v>
      </c>
      <c r="Z74" t="s">
        <v>273</v>
      </c>
      <c r="AA74" t="s">
        <v>275</v>
      </c>
      <c r="AB74" t="s">
        <v>276</v>
      </c>
      <c r="AC74">
        <v>505</v>
      </c>
      <c r="AD74">
        <v>5</v>
      </c>
      <c r="AE74" t="s">
        <v>277</v>
      </c>
      <c r="AF74">
        <v>2.9068200000000002</v>
      </c>
      <c r="AG74">
        <v>100</v>
      </c>
      <c r="AH74">
        <v>26.2</v>
      </c>
      <c r="AI74">
        <v>1570</v>
      </c>
      <c r="AJ74">
        <v>800</v>
      </c>
      <c r="AK74">
        <v>1200</v>
      </c>
      <c r="AL74">
        <v>144.6</v>
      </c>
      <c r="AM74">
        <v>2.2000000000000002</v>
      </c>
      <c r="AN74" t="s">
        <v>273</v>
      </c>
      <c r="AO74" t="s">
        <v>278</v>
      </c>
      <c r="AP74" t="s">
        <v>290</v>
      </c>
      <c r="AQ74">
        <v>4.3</v>
      </c>
      <c r="AR74">
        <v>6</v>
      </c>
      <c r="AS74">
        <v>241.4</v>
      </c>
      <c r="AT74">
        <v>439.2</v>
      </c>
      <c r="AU74">
        <v>0.250002</v>
      </c>
      <c r="AV74">
        <v>36.9</v>
      </c>
      <c r="AW74">
        <v>233.6</v>
      </c>
      <c r="AX74" t="s">
        <v>280</v>
      </c>
      <c r="AY74">
        <v>0</v>
      </c>
      <c r="AZ74" t="s">
        <v>281</v>
      </c>
      <c r="BA74">
        <v>0.2</v>
      </c>
      <c r="BB74">
        <v>0.5</v>
      </c>
      <c r="BC74" t="s">
        <v>273</v>
      </c>
      <c r="BD74" t="s">
        <v>273</v>
      </c>
      <c r="BE74">
        <v>21.116672999999999</v>
      </c>
      <c r="BF74">
        <v>21.359819000000002</v>
      </c>
      <c r="BG74">
        <v>405.67287299999998</v>
      </c>
      <c r="BH74" t="s">
        <v>273</v>
      </c>
      <c r="BI74">
        <v>35.266748</v>
      </c>
      <c r="BJ74">
        <v>35.672823999999999</v>
      </c>
      <c r="BK74">
        <v>242.90477200000001</v>
      </c>
      <c r="BL74" t="s">
        <v>273</v>
      </c>
      <c r="BM74">
        <v>35.268889999999999</v>
      </c>
      <c r="BN74">
        <v>35.674990999999999</v>
      </c>
      <c r="BO74">
        <v>242.890016</v>
      </c>
      <c r="BP74" t="s">
        <v>273</v>
      </c>
      <c r="BQ74">
        <v>21.831043999999999</v>
      </c>
      <c r="BR74">
        <v>22.082415999999998</v>
      </c>
      <c r="BS74">
        <v>392.39815399999998</v>
      </c>
      <c r="BT74" t="s">
        <v>273</v>
      </c>
      <c r="BU74">
        <v>6.3307099999999998</v>
      </c>
      <c r="BV74">
        <v>6.4036049999999998</v>
      </c>
      <c r="BW74">
        <v>1353.1596469999999</v>
      </c>
      <c r="BX74" t="s">
        <v>273</v>
      </c>
      <c r="BY74">
        <v>20.68411</v>
      </c>
      <c r="BZ74">
        <v>20.010268</v>
      </c>
      <c r="CA74">
        <v>24.002855</v>
      </c>
      <c r="CB74">
        <v>35.268889999999999</v>
      </c>
      <c r="CC74">
        <v>12.791039</v>
      </c>
      <c r="CD74">
        <v>27.408238999999998</v>
      </c>
      <c r="CE74" t="s">
        <v>273</v>
      </c>
      <c r="CF74">
        <v>20.922276</v>
      </c>
      <c r="CG74">
        <v>20.240675</v>
      </c>
      <c r="CH74">
        <v>24.279235</v>
      </c>
      <c r="CI74">
        <v>35.674990999999999</v>
      </c>
      <c r="CJ74">
        <v>12.938321</v>
      </c>
      <c r="CK74">
        <v>27.723828999999999</v>
      </c>
      <c r="CL74" t="s">
        <v>273</v>
      </c>
      <c r="CM74">
        <v>414.15662400000002</v>
      </c>
      <c r="CN74">
        <v>428.10327799999999</v>
      </c>
      <c r="CO74">
        <v>356.89342399999998</v>
      </c>
      <c r="CP74">
        <v>242.890016</v>
      </c>
      <c r="CQ74">
        <v>669.72361999999998</v>
      </c>
      <c r="CR74">
        <v>312.55059299999999</v>
      </c>
      <c r="CS74" t="s">
        <v>273</v>
      </c>
      <c r="CT74">
        <v>493.49842899999999</v>
      </c>
      <c r="CU74">
        <v>549.293091</v>
      </c>
      <c r="CV74">
        <v>425.19944600000002</v>
      </c>
      <c r="CW74">
        <v>822.87237900000002</v>
      </c>
      <c r="CX74">
        <v>397.37474700000001</v>
      </c>
      <c r="CY74">
        <v>644.09966899999995</v>
      </c>
      <c r="CZ74" t="s">
        <v>273</v>
      </c>
      <c r="DA74">
        <v>3.6121210000000001</v>
      </c>
      <c r="DB74">
        <v>510.01</v>
      </c>
      <c r="DC74">
        <v>3.889526</v>
      </c>
      <c r="DD74">
        <v>864</v>
      </c>
      <c r="DE74">
        <v>3.611564</v>
      </c>
      <c r="DF74">
        <v>505</v>
      </c>
      <c r="DG74">
        <v>10.269847</v>
      </c>
      <c r="DH74">
        <v>765</v>
      </c>
      <c r="DI74">
        <v>1.798646</v>
      </c>
      <c r="DJ74">
        <v>235</v>
      </c>
      <c r="DK74">
        <v>6.2470340000000002</v>
      </c>
      <c r="DL74">
        <v>365</v>
      </c>
      <c r="DM74" t="s">
        <v>273</v>
      </c>
      <c r="DN74">
        <v>3.6501800000000002</v>
      </c>
      <c r="DO74">
        <v>8.2756570000000007</v>
      </c>
      <c r="DP74">
        <v>4.3945790000000002</v>
      </c>
      <c r="DQ74" t="s">
        <v>282</v>
      </c>
      <c r="DR74">
        <v>4.7018779999999998</v>
      </c>
      <c r="DS74">
        <v>16.449138999999999</v>
      </c>
      <c r="DT74">
        <v>33.821252999999999</v>
      </c>
      <c r="DU74">
        <v>91.518893000000006</v>
      </c>
      <c r="DV74">
        <v>167.02977899999999</v>
      </c>
      <c r="DW74" t="s">
        <v>283</v>
      </c>
      <c r="DX74" t="s">
        <v>273</v>
      </c>
      <c r="DY74">
        <v>24.164724</v>
      </c>
      <c r="DZ74">
        <v>3.2548000000000001E-2</v>
      </c>
      <c r="EA74">
        <v>1.3842239999999999</v>
      </c>
      <c r="EB74">
        <v>1.137726</v>
      </c>
      <c r="EC74">
        <v>82.192363999999998</v>
      </c>
      <c r="ED74">
        <v>19.431916000000001</v>
      </c>
      <c r="EE74">
        <v>689.34646299999997</v>
      </c>
      <c r="EF74">
        <v>7.8572410000000001</v>
      </c>
      <c r="EG74">
        <v>24</v>
      </c>
      <c r="EH74">
        <v>24</v>
      </c>
      <c r="EI74">
        <v>21</v>
      </c>
      <c r="EJ74">
        <v>23</v>
      </c>
      <c r="EK74" t="s">
        <v>273</v>
      </c>
      <c r="EL74" t="s">
        <v>273</v>
      </c>
      <c r="EM74">
        <v>23.223894999999999</v>
      </c>
      <c r="EN74">
        <v>1.9368E-2</v>
      </c>
      <c r="EO74">
        <v>1.480737</v>
      </c>
      <c r="EP74">
        <v>1.160277</v>
      </c>
      <c r="EQ74">
        <v>78.358081999999996</v>
      </c>
      <c r="ER74">
        <v>17.599608</v>
      </c>
      <c r="ES74">
        <v>645.36680000000001</v>
      </c>
      <c r="ET74">
        <v>4.6756120000000001</v>
      </c>
      <c r="EU74">
        <v>25</v>
      </c>
      <c r="EV74">
        <v>25</v>
      </c>
      <c r="EW74">
        <v>25</v>
      </c>
      <c r="EX74">
        <v>25</v>
      </c>
      <c r="EY74" t="s">
        <v>273</v>
      </c>
      <c r="EZ74" t="s">
        <v>273</v>
      </c>
      <c r="FA74">
        <v>28.033923999999999</v>
      </c>
      <c r="FB74">
        <v>3.2869000000000002E-2</v>
      </c>
      <c r="FC74">
        <v>1.383615</v>
      </c>
      <c r="FD74">
        <v>1.1376729999999999</v>
      </c>
      <c r="FE74">
        <v>82.224706999999995</v>
      </c>
      <c r="FF74">
        <v>22.551729000000002</v>
      </c>
      <c r="FG74">
        <v>689.40857800000003</v>
      </c>
      <c r="FH74">
        <v>7.9346810000000003</v>
      </c>
      <c r="FI74">
        <v>24</v>
      </c>
      <c r="FJ74">
        <v>24</v>
      </c>
      <c r="FK74">
        <v>21</v>
      </c>
      <c r="FL74">
        <v>23</v>
      </c>
      <c r="FM74" t="s">
        <v>273</v>
      </c>
      <c r="FN74" t="s">
        <v>273</v>
      </c>
      <c r="FO74">
        <v>28.465993999999998</v>
      </c>
      <c r="FP74">
        <v>4.6004999999999997E-2</v>
      </c>
      <c r="FQ74">
        <v>2.7189269999999999</v>
      </c>
      <c r="FR74">
        <v>2.3821089999999998</v>
      </c>
      <c r="FS74">
        <v>87.612116999999998</v>
      </c>
      <c r="FT74">
        <v>24.708231999999999</v>
      </c>
      <c r="FU74">
        <v>514.04668900000001</v>
      </c>
      <c r="FV74">
        <v>11.105905999999999</v>
      </c>
      <c r="FW74">
        <v>8</v>
      </c>
      <c r="FX74">
        <v>8</v>
      </c>
      <c r="FY74">
        <v>8</v>
      </c>
      <c r="FZ74">
        <v>8</v>
      </c>
      <c r="GA74" t="s">
        <v>273</v>
      </c>
      <c r="GB74" t="s">
        <v>273</v>
      </c>
      <c r="GC74">
        <v>31.009689000000002</v>
      </c>
      <c r="GD74">
        <v>7.4685000000000001E-2</v>
      </c>
      <c r="GE74">
        <v>1.4303300000000001</v>
      </c>
      <c r="GF74">
        <v>1.217657</v>
      </c>
      <c r="GG74">
        <v>85.131158999999997</v>
      </c>
      <c r="GH74">
        <v>25.515533999999999</v>
      </c>
      <c r="GI74">
        <v>1463.714017</v>
      </c>
      <c r="GJ74">
        <v>18.029472999999999</v>
      </c>
      <c r="GK74">
        <v>35</v>
      </c>
      <c r="GL74">
        <v>35</v>
      </c>
      <c r="GM74">
        <v>16</v>
      </c>
      <c r="GN74">
        <v>25</v>
      </c>
      <c r="GO74" t="s">
        <v>273</v>
      </c>
      <c r="GP74" t="s">
        <v>273</v>
      </c>
      <c r="GQ74">
        <v>30.819068000000001</v>
      </c>
      <c r="GR74">
        <v>8.0600000000000005E-2</v>
      </c>
      <c r="GS74">
        <v>2.3041529999999999</v>
      </c>
      <c r="GT74">
        <v>2.0052599999999998</v>
      </c>
      <c r="GU74">
        <v>87.028093999999996</v>
      </c>
      <c r="GV74">
        <v>26.386303000000002</v>
      </c>
      <c r="GW74">
        <v>706.39936499999999</v>
      </c>
      <c r="GX74">
        <v>19.457194000000001</v>
      </c>
      <c r="GY74">
        <v>26</v>
      </c>
      <c r="GZ74">
        <v>26</v>
      </c>
      <c r="HA74">
        <v>15</v>
      </c>
      <c r="HB74">
        <v>15</v>
      </c>
      <c r="HC74" t="s">
        <v>273</v>
      </c>
      <c r="HD74" t="s">
        <v>273</v>
      </c>
      <c r="HE74">
        <v>18</v>
      </c>
      <c r="HF74">
        <v>5.0000000000000001E-4</v>
      </c>
      <c r="HG74">
        <v>3.0000000000000001E-3</v>
      </c>
      <c r="HH74">
        <v>5.5556000000000001E-2</v>
      </c>
      <c r="HI74">
        <v>6000</v>
      </c>
    </row>
    <row r="75" spans="1:217" x14ac:dyDescent="0.3">
      <c r="A75">
        <v>502</v>
      </c>
      <c r="B75" t="s">
        <v>269</v>
      </c>
      <c r="F75" t="s">
        <v>270</v>
      </c>
      <c r="G75" t="s">
        <v>288</v>
      </c>
      <c r="H75" t="s">
        <v>289</v>
      </c>
      <c r="I75">
        <v>6000</v>
      </c>
      <c r="J75">
        <v>1</v>
      </c>
      <c r="K75">
        <v>45.918750000000003</v>
      </c>
      <c r="L75">
        <v>0.22</v>
      </c>
      <c r="M75">
        <v>1.4827999999999999E-2</v>
      </c>
      <c r="N75">
        <v>0</v>
      </c>
      <c r="O75">
        <v>0</v>
      </c>
      <c r="P75">
        <v>0</v>
      </c>
      <c r="Q75">
        <v>12.53</v>
      </c>
      <c r="R75">
        <v>1</v>
      </c>
      <c r="S75">
        <v>1</v>
      </c>
      <c r="T75">
        <v>1</v>
      </c>
      <c r="U75">
        <v>1</v>
      </c>
      <c r="V75">
        <v>100</v>
      </c>
      <c r="W75" t="s">
        <v>273</v>
      </c>
      <c r="X75" t="s">
        <v>274</v>
      </c>
      <c r="Y75" t="s">
        <v>274</v>
      </c>
      <c r="Z75" t="s">
        <v>273</v>
      </c>
      <c r="AA75" t="s">
        <v>275</v>
      </c>
      <c r="AB75" t="s">
        <v>276</v>
      </c>
      <c r="AC75">
        <v>293</v>
      </c>
      <c r="AD75">
        <v>5</v>
      </c>
      <c r="AE75" t="s">
        <v>277</v>
      </c>
      <c r="AF75">
        <v>3.1937989999999998</v>
      </c>
      <c r="AG75">
        <v>100</v>
      </c>
      <c r="AH75">
        <v>28.8</v>
      </c>
      <c r="AI75">
        <v>1725</v>
      </c>
      <c r="AJ75">
        <v>800</v>
      </c>
      <c r="AK75">
        <v>1200</v>
      </c>
      <c r="AL75">
        <v>189.9</v>
      </c>
      <c r="AM75">
        <v>2.2000000000000002</v>
      </c>
      <c r="AN75" t="s">
        <v>273</v>
      </c>
      <c r="AO75" t="s">
        <v>278</v>
      </c>
      <c r="AP75" t="s">
        <v>291</v>
      </c>
      <c r="AQ75">
        <v>2.5</v>
      </c>
      <c r="AR75">
        <v>6</v>
      </c>
      <c r="AS75">
        <v>140</v>
      </c>
      <c r="AT75">
        <v>254.8</v>
      </c>
      <c r="AU75">
        <v>0.14535000000000001</v>
      </c>
      <c r="AV75">
        <v>36.1</v>
      </c>
      <c r="AW75">
        <v>238.9</v>
      </c>
      <c r="AX75" t="s">
        <v>280</v>
      </c>
      <c r="AY75">
        <v>0</v>
      </c>
      <c r="AZ75" t="s">
        <v>281</v>
      </c>
      <c r="BA75">
        <v>0.2</v>
      </c>
      <c r="BB75">
        <v>0.5</v>
      </c>
      <c r="BC75" t="s">
        <v>273</v>
      </c>
      <c r="BD75" t="s">
        <v>273</v>
      </c>
      <c r="BE75">
        <v>23.200015</v>
      </c>
      <c r="BF75">
        <v>23.46715</v>
      </c>
      <c r="BG75">
        <v>369.24378100000001</v>
      </c>
      <c r="BH75" t="s">
        <v>273</v>
      </c>
      <c r="BI75">
        <v>37.238534999999999</v>
      </c>
      <c r="BJ75">
        <v>37.667316</v>
      </c>
      <c r="BK75">
        <v>230.04291799999999</v>
      </c>
      <c r="BL75" t="s">
        <v>273</v>
      </c>
      <c r="BM75">
        <v>37.240478000000003</v>
      </c>
      <c r="BN75">
        <v>37.669280999999998</v>
      </c>
      <c r="BO75">
        <v>230.03091699999999</v>
      </c>
      <c r="BP75" t="s">
        <v>273</v>
      </c>
      <c r="BQ75">
        <v>21.406023000000001</v>
      </c>
      <c r="BR75">
        <v>21.652501000000001</v>
      </c>
      <c r="BS75">
        <v>400.18929200000002</v>
      </c>
      <c r="BT75" t="s">
        <v>273</v>
      </c>
      <c r="BU75">
        <v>8.5454480000000004</v>
      </c>
      <c r="BV75">
        <v>8.6438439999999996</v>
      </c>
      <c r="BW75">
        <v>1002.4590449999999</v>
      </c>
      <c r="BX75" t="s">
        <v>273</v>
      </c>
      <c r="BY75">
        <v>22.149134</v>
      </c>
      <c r="BZ75">
        <v>22.497031</v>
      </c>
      <c r="CA75">
        <v>25.628733</v>
      </c>
      <c r="CB75">
        <v>37.240478000000003</v>
      </c>
      <c r="CC75">
        <v>11.936384</v>
      </c>
      <c r="CD75">
        <v>27.698967</v>
      </c>
      <c r="CE75" t="s">
        <v>273</v>
      </c>
      <c r="CF75">
        <v>22.404169</v>
      </c>
      <c r="CG75">
        <v>22.756072</v>
      </c>
      <c r="CH75">
        <v>25.923832999999998</v>
      </c>
      <c r="CI75">
        <v>37.669280999999998</v>
      </c>
      <c r="CJ75">
        <v>12.073824999999999</v>
      </c>
      <c r="CK75">
        <v>28.017904999999999</v>
      </c>
      <c r="CL75" t="s">
        <v>273</v>
      </c>
      <c r="CM75">
        <v>386.76280400000002</v>
      </c>
      <c r="CN75">
        <v>380.781857</v>
      </c>
      <c r="CO75">
        <v>334.25223699999998</v>
      </c>
      <c r="CP75">
        <v>230.03091699999999</v>
      </c>
      <c r="CQ75">
        <v>717.67640700000004</v>
      </c>
      <c r="CR75">
        <v>309.27006399999999</v>
      </c>
      <c r="CS75" t="s">
        <v>273</v>
      </c>
      <c r="CT75">
        <v>460.27759600000002</v>
      </c>
      <c r="CU75">
        <v>487.397809</v>
      </c>
      <c r="CV75">
        <v>397.72294599999998</v>
      </c>
      <c r="CW75">
        <v>779.156656</v>
      </c>
      <c r="CX75">
        <v>423.01879600000001</v>
      </c>
      <c r="CY75">
        <v>636.55984599999999</v>
      </c>
      <c r="CZ75" t="s">
        <v>273</v>
      </c>
      <c r="DA75">
        <v>3.607583</v>
      </c>
      <c r="DB75">
        <v>510.01</v>
      </c>
      <c r="DC75">
        <v>3.88015</v>
      </c>
      <c r="DD75">
        <v>864</v>
      </c>
      <c r="DE75">
        <v>3.607011</v>
      </c>
      <c r="DF75">
        <v>505</v>
      </c>
      <c r="DG75">
        <v>10.267855000000001</v>
      </c>
      <c r="DH75">
        <v>765</v>
      </c>
      <c r="DI75">
        <v>1.7867839999999999</v>
      </c>
      <c r="DJ75">
        <v>235</v>
      </c>
      <c r="DK75">
        <v>6.239395</v>
      </c>
      <c r="DL75">
        <v>365</v>
      </c>
      <c r="DM75" t="s">
        <v>273</v>
      </c>
      <c r="DN75">
        <v>5.1596310000000001</v>
      </c>
      <c r="DO75">
        <v>13.276319000000001</v>
      </c>
      <c r="DP75">
        <v>6.7643810000000002</v>
      </c>
      <c r="DQ75" t="s">
        <v>282</v>
      </c>
      <c r="DR75">
        <v>7.6918329999999999</v>
      </c>
      <c r="DS75">
        <v>19.828831999999998</v>
      </c>
      <c r="DT75">
        <v>47.561365000000002</v>
      </c>
      <c r="DU75">
        <v>75.407010999999997</v>
      </c>
      <c r="DV75">
        <v>136.45455100000001</v>
      </c>
      <c r="DW75" t="s">
        <v>283</v>
      </c>
      <c r="DX75" t="s">
        <v>273</v>
      </c>
      <c r="DY75">
        <v>25.830314999999999</v>
      </c>
      <c r="DZ75">
        <v>5.6038999999999999E-2</v>
      </c>
      <c r="EA75">
        <v>1.380029</v>
      </c>
      <c r="EB75">
        <v>1.131961</v>
      </c>
      <c r="EC75">
        <v>82.024406999999997</v>
      </c>
      <c r="ED75">
        <v>20.807901999999999</v>
      </c>
      <c r="EE75">
        <v>689.334249</v>
      </c>
      <c r="EF75">
        <v>7.8472289999999996</v>
      </c>
      <c r="EG75">
        <v>29</v>
      </c>
      <c r="EH75">
        <v>29</v>
      </c>
      <c r="EI75">
        <v>25</v>
      </c>
      <c r="EJ75">
        <v>29</v>
      </c>
      <c r="EK75" t="s">
        <v>273</v>
      </c>
      <c r="EL75" t="s">
        <v>273</v>
      </c>
      <c r="EM75">
        <v>26.025269000000002</v>
      </c>
      <c r="EN75">
        <v>3.3312000000000001E-2</v>
      </c>
      <c r="EO75">
        <v>1.472372</v>
      </c>
      <c r="EP75">
        <v>1.1474150000000001</v>
      </c>
      <c r="EQ75">
        <v>77.929698000000002</v>
      </c>
      <c r="ER75">
        <v>19.78839</v>
      </c>
      <c r="ES75">
        <v>645.420481</v>
      </c>
      <c r="ET75">
        <v>4.6647280000000002</v>
      </c>
      <c r="EU75">
        <v>28</v>
      </c>
      <c r="EV75">
        <v>28</v>
      </c>
      <c r="EW75">
        <v>27</v>
      </c>
      <c r="EX75">
        <v>28</v>
      </c>
      <c r="EY75" t="s">
        <v>273</v>
      </c>
      <c r="EZ75" t="s">
        <v>273</v>
      </c>
      <c r="FA75">
        <v>29.888100999999999</v>
      </c>
      <c r="FB75">
        <v>5.6590000000000001E-2</v>
      </c>
      <c r="FC75">
        <v>1.3798049999999999</v>
      </c>
      <c r="FD75">
        <v>1.1318729999999999</v>
      </c>
      <c r="FE75">
        <v>82.031402</v>
      </c>
      <c r="FF75">
        <v>24.078572000000001</v>
      </c>
      <c r="FG75">
        <v>689.38789599999996</v>
      </c>
      <c r="FH75">
        <v>7.9244409999999998</v>
      </c>
      <c r="FI75">
        <v>29</v>
      </c>
      <c r="FJ75">
        <v>29</v>
      </c>
      <c r="FK75">
        <v>25</v>
      </c>
      <c r="FL75">
        <v>29</v>
      </c>
      <c r="FM75" t="s">
        <v>273</v>
      </c>
      <c r="FN75" t="s">
        <v>273</v>
      </c>
      <c r="FO75">
        <v>30.092927</v>
      </c>
      <c r="FP75">
        <v>7.9223000000000002E-2</v>
      </c>
      <c r="FQ75">
        <v>2.7216230000000001</v>
      </c>
      <c r="FR75">
        <v>2.3760680000000001</v>
      </c>
      <c r="FS75">
        <v>87.303346000000005</v>
      </c>
      <c r="FT75">
        <v>26.066056</v>
      </c>
      <c r="FU75">
        <v>513.58556699999997</v>
      </c>
      <c r="FV75">
        <v>11.093791</v>
      </c>
      <c r="FW75">
        <v>26</v>
      </c>
      <c r="FX75">
        <v>26</v>
      </c>
      <c r="FY75">
        <v>24</v>
      </c>
      <c r="FZ75">
        <v>23</v>
      </c>
      <c r="GA75" t="s">
        <v>273</v>
      </c>
      <c r="GB75" t="s">
        <v>273</v>
      </c>
      <c r="GC75">
        <v>30.497394</v>
      </c>
      <c r="GD75">
        <v>0.128798</v>
      </c>
      <c r="GE75">
        <v>1.4974799999999999</v>
      </c>
      <c r="GF75">
        <v>1.2103379999999999</v>
      </c>
      <c r="GG75">
        <v>80.824960000000004</v>
      </c>
      <c r="GH75">
        <v>23.977159</v>
      </c>
      <c r="GI75">
        <v>1473.9517089999999</v>
      </c>
      <c r="GJ75">
        <v>18.035841999999999</v>
      </c>
      <c r="GK75">
        <v>25</v>
      </c>
      <c r="GL75">
        <v>25</v>
      </c>
      <c r="GM75">
        <v>15</v>
      </c>
      <c r="GN75">
        <v>25</v>
      </c>
      <c r="GO75" t="s">
        <v>273</v>
      </c>
      <c r="GP75" t="s">
        <v>273</v>
      </c>
      <c r="GQ75">
        <v>31.104648999999998</v>
      </c>
      <c r="GR75">
        <v>0.138123</v>
      </c>
      <c r="GS75">
        <v>2.2982819999999999</v>
      </c>
      <c r="GT75">
        <v>1.9855700000000001</v>
      </c>
      <c r="GU75">
        <v>86.393673000000007</v>
      </c>
      <c r="GV75">
        <v>26.540258999999999</v>
      </c>
      <c r="GW75">
        <v>703.06358399999999</v>
      </c>
      <c r="GX75">
        <v>19.341632000000001</v>
      </c>
      <c r="GY75">
        <v>38</v>
      </c>
      <c r="GZ75">
        <v>38</v>
      </c>
      <c r="HA75">
        <v>28</v>
      </c>
      <c r="HB75">
        <v>30</v>
      </c>
      <c r="HC75" t="s">
        <v>273</v>
      </c>
      <c r="HD75" t="s">
        <v>273</v>
      </c>
      <c r="HE75">
        <v>31</v>
      </c>
      <c r="HF75">
        <v>5.0000000000000001E-4</v>
      </c>
      <c r="HG75">
        <v>3.0000000000000001E-3</v>
      </c>
      <c r="HH75">
        <v>3.2258000000000002E-2</v>
      </c>
      <c r="HI75">
        <v>6000</v>
      </c>
    </row>
    <row r="76" spans="1:217" x14ac:dyDescent="0.3">
      <c r="A76">
        <v>503</v>
      </c>
      <c r="B76" t="s">
        <v>269</v>
      </c>
      <c r="F76" t="s">
        <v>270</v>
      </c>
      <c r="G76" t="s">
        <v>288</v>
      </c>
      <c r="H76" t="s">
        <v>289</v>
      </c>
      <c r="I76">
        <v>8000</v>
      </c>
      <c r="J76">
        <v>1</v>
      </c>
      <c r="K76">
        <v>62.325000000000003</v>
      </c>
      <c r="L76">
        <v>0.22</v>
      </c>
      <c r="M76">
        <v>2.0688000000000002E-2</v>
      </c>
      <c r="N76">
        <v>0</v>
      </c>
      <c r="O76">
        <v>0</v>
      </c>
      <c r="P76">
        <v>0</v>
      </c>
      <c r="Q76">
        <v>16.670000000000002</v>
      </c>
      <c r="R76">
        <v>1</v>
      </c>
      <c r="S76">
        <v>1</v>
      </c>
      <c r="T76">
        <v>1</v>
      </c>
      <c r="U76">
        <v>1</v>
      </c>
      <c r="V76">
        <v>100</v>
      </c>
      <c r="W76" t="s">
        <v>273</v>
      </c>
      <c r="X76" t="s">
        <v>274</v>
      </c>
      <c r="Y76" t="s">
        <v>274</v>
      </c>
      <c r="Z76" t="s">
        <v>273</v>
      </c>
      <c r="AA76" t="s">
        <v>275</v>
      </c>
      <c r="AB76" t="s">
        <v>276</v>
      </c>
      <c r="AC76">
        <v>399</v>
      </c>
      <c r="AD76">
        <v>5</v>
      </c>
      <c r="AE76" t="s">
        <v>277</v>
      </c>
      <c r="AF76">
        <v>3.0734530000000002</v>
      </c>
      <c r="AG76">
        <v>100</v>
      </c>
      <c r="AH76">
        <v>27.7</v>
      </c>
      <c r="AI76">
        <v>1660</v>
      </c>
      <c r="AJ76">
        <v>800</v>
      </c>
      <c r="AK76">
        <v>1200</v>
      </c>
      <c r="AL76">
        <v>162.69999999999999</v>
      </c>
      <c r="AM76">
        <v>2.2000000000000002</v>
      </c>
      <c r="AN76" t="s">
        <v>273</v>
      </c>
      <c r="AO76" t="s">
        <v>278</v>
      </c>
      <c r="AP76" t="s">
        <v>292</v>
      </c>
      <c r="AQ76">
        <v>3.4</v>
      </c>
      <c r="AR76">
        <v>6</v>
      </c>
      <c r="AS76">
        <v>190.7</v>
      </c>
      <c r="AT76">
        <v>347</v>
      </c>
      <c r="AU76">
        <v>0.19767599999999999</v>
      </c>
      <c r="AV76">
        <v>36.5</v>
      </c>
      <c r="AW76">
        <v>235.8</v>
      </c>
      <c r="AX76" t="s">
        <v>280</v>
      </c>
      <c r="AY76">
        <v>0</v>
      </c>
      <c r="AZ76" t="s">
        <v>281</v>
      </c>
      <c r="BA76">
        <v>0.2</v>
      </c>
      <c r="BB76">
        <v>0.5</v>
      </c>
      <c r="BC76" t="s">
        <v>273</v>
      </c>
      <c r="BD76" t="s">
        <v>273</v>
      </c>
      <c r="BE76">
        <v>17.844033</v>
      </c>
      <c r="BF76">
        <v>18.049496999999999</v>
      </c>
      <c r="BG76">
        <v>480.074274</v>
      </c>
      <c r="BH76" t="s">
        <v>273</v>
      </c>
      <c r="BI76">
        <v>28.817843</v>
      </c>
      <c r="BJ76">
        <v>29.149664000000001</v>
      </c>
      <c r="BK76">
        <v>297.26240100000001</v>
      </c>
      <c r="BL76" t="s">
        <v>273</v>
      </c>
      <c r="BM76">
        <v>28.819232</v>
      </c>
      <c r="BN76">
        <v>29.151070000000001</v>
      </c>
      <c r="BO76">
        <v>297.24807099999998</v>
      </c>
      <c r="BP76" t="s">
        <v>273</v>
      </c>
      <c r="BQ76">
        <v>16.289732000000001</v>
      </c>
      <c r="BR76">
        <v>16.477298999999999</v>
      </c>
      <c r="BS76">
        <v>525.88104099999998</v>
      </c>
      <c r="BT76" t="s">
        <v>273</v>
      </c>
      <c r="BU76">
        <v>6.4035169999999999</v>
      </c>
      <c r="BV76">
        <v>6.4772499999999997</v>
      </c>
      <c r="BW76">
        <v>1337.7744660000001</v>
      </c>
      <c r="BX76" t="s">
        <v>273</v>
      </c>
      <c r="BY76">
        <v>16.936589999999999</v>
      </c>
      <c r="BZ76">
        <v>17.39404</v>
      </c>
      <c r="CA76">
        <v>19.592604000000001</v>
      </c>
      <c r="CB76">
        <v>28.819232</v>
      </c>
      <c r="CC76">
        <v>9.0260189999999998</v>
      </c>
      <c r="CD76">
        <v>21.169044</v>
      </c>
      <c r="CE76" t="s">
        <v>273</v>
      </c>
      <c r="CF76">
        <v>17.131605</v>
      </c>
      <c r="CG76">
        <v>17.594322999999999</v>
      </c>
      <c r="CH76">
        <v>19.818201999999999</v>
      </c>
      <c r="CI76">
        <v>29.151070000000001</v>
      </c>
      <c r="CJ76">
        <v>9.1299480000000006</v>
      </c>
      <c r="CK76">
        <v>21.412794000000002</v>
      </c>
      <c r="CL76" t="s">
        <v>273</v>
      </c>
      <c r="CM76">
        <v>505.79611899999998</v>
      </c>
      <c r="CN76">
        <v>492.49405400000001</v>
      </c>
      <c r="CO76">
        <v>437.22932900000001</v>
      </c>
      <c r="CP76">
        <v>297.24807099999998</v>
      </c>
      <c r="CQ76">
        <v>949.08524799999998</v>
      </c>
      <c r="CR76">
        <v>404.66925199999997</v>
      </c>
      <c r="CS76" t="s">
        <v>273</v>
      </c>
      <c r="CT76">
        <v>602.04106200000001</v>
      </c>
      <c r="CU76">
        <v>630.52678600000002</v>
      </c>
      <c r="CV76">
        <v>520.348206</v>
      </c>
      <c r="CW76">
        <v>1006.8650730000001</v>
      </c>
      <c r="CX76">
        <v>559.50832500000001</v>
      </c>
      <c r="CY76">
        <v>832.92644499999994</v>
      </c>
      <c r="CZ76" t="s">
        <v>273</v>
      </c>
      <c r="DA76">
        <v>3.6082100000000001</v>
      </c>
      <c r="DB76">
        <v>510.01</v>
      </c>
      <c r="DC76">
        <v>3.8809999999999998</v>
      </c>
      <c r="DD76">
        <v>864</v>
      </c>
      <c r="DE76">
        <v>3.6076630000000001</v>
      </c>
      <c r="DF76">
        <v>505</v>
      </c>
      <c r="DG76">
        <v>10.268178000000001</v>
      </c>
      <c r="DH76">
        <v>765</v>
      </c>
      <c r="DI76">
        <v>1.7870740000000001</v>
      </c>
      <c r="DJ76">
        <v>235</v>
      </c>
      <c r="DK76">
        <v>6.2394679999999996</v>
      </c>
      <c r="DL76">
        <v>365</v>
      </c>
      <c r="DM76" t="s">
        <v>273</v>
      </c>
      <c r="DN76">
        <v>5.1563509999999999</v>
      </c>
      <c r="DO76">
        <v>13.206415</v>
      </c>
      <c r="DP76">
        <v>6.6921869999999997</v>
      </c>
      <c r="DQ76" t="s">
        <v>282</v>
      </c>
      <c r="DR76">
        <v>7.3567479999999996</v>
      </c>
      <c r="DS76">
        <v>19.752113999999999</v>
      </c>
      <c r="DT76">
        <v>47.007463999999999</v>
      </c>
      <c r="DU76">
        <v>76.000524999999996</v>
      </c>
      <c r="DV76">
        <v>136.336117</v>
      </c>
      <c r="DW76" t="s">
        <v>283</v>
      </c>
      <c r="DX76" t="s">
        <v>273</v>
      </c>
      <c r="DY76">
        <v>26.427565999999999</v>
      </c>
      <c r="DZ76">
        <v>5.4857000000000003E-2</v>
      </c>
      <c r="EA76">
        <v>1.8468089999999999</v>
      </c>
      <c r="EB76">
        <v>1.509552</v>
      </c>
      <c r="EC76">
        <v>81.738377</v>
      </c>
      <c r="ED76">
        <v>21.209589999999999</v>
      </c>
      <c r="EE76">
        <v>918.89244099999996</v>
      </c>
      <c r="EF76">
        <v>10.462287</v>
      </c>
      <c r="EG76">
        <v>27</v>
      </c>
      <c r="EH76">
        <v>27</v>
      </c>
      <c r="EI76">
        <v>23</v>
      </c>
      <c r="EJ76">
        <v>26</v>
      </c>
      <c r="EK76" t="s">
        <v>273</v>
      </c>
      <c r="EL76" t="s">
        <v>273</v>
      </c>
      <c r="EM76">
        <v>26.918431999999999</v>
      </c>
      <c r="EN76">
        <v>3.2599000000000003E-2</v>
      </c>
      <c r="EO76">
        <v>1.9701169999999999</v>
      </c>
      <c r="EP76">
        <v>1.5302929999999999</v>
      </c>
      <c r="EQ76">
        <v>77.675213999999997</v>
      </c>
      <c r="ER76">
        <v>20.387498999999998</v>
      </c>
      <c r="ES76">
        <v>860.04504599999996</v>
      </c>
      <c r="ET76">
        <v>6.2172739999999997</v>
      </c>
      <c r="EU76">
        <v>28</v>
      </c>
      <c r="EV76">
        <v>28</v>
      </c>
      <c r="EW76">
        <v>27</v>
      </c>
      <c r="EX76">
        <v>28</v>
      </c>
      <c r="EY76" t="s">
        <v>273</v>
      </c>
      <c r="EZ76" t="s">
        <v>273</v>
      </c>
      <c r="FA76">
        <v>30.572327999999999</v>
      </c>
      <c r="FB76">
        <v>5.5397000000000002E-2</v>
      </c>
      <c r="FC76">
        <v>1.8465510000000001</v>
      </c>
      <c r="FD76">
        <v>1.509447</v>
      </c>
      <c r="FE76">
        <v>81.744145000000003</v>
      </c>
      <c r="FF76">
        <v>24.537559999999999</v>
      </c>
      <c r="FG76">
        <v>918.96538899999996</v>
      </c>
      <c r="FH76">
        <v>10.565318</v>
      </c>
      <c r="FI76">
        <v>27</v>
      </c>
      <c r="FJ76">
        <v>27</v>
      </c>
      <c r="FK76">
        <v>23</v>
      </c>
      <c r="FL76">
        <v>26</v>
      </c>
      <c r="FM76" t="s">
        <v>273</v>
      </c>
      <c r="FN76" t="s">
        <v>273</v>
      </c>
      <c r="FO76">
        <v>31.036953</v>
      </c>
      <c r="FP76">
        <v>7.7468999999999996E-2</v>
      </c>
      <c r="FQ76">
        <v>3.6273469999999999</v>
      </c>
      <c r="FR76">
        <v>3.1645400000000001</v>
      </c>
      <c r="FS76">
        <v>87.241185000000002</v>
      </c>
      <c r="FT76">
        <v>26.864086</v>
      </c>
      <c r="FU76">
        <v>683.97839599999998</v>
      </c>
      <c r="FV76">
        <v>14.774853999999999</v>
      </c>
      <c r="FW76">
        <v>23</v>
      </c>
      <c r="FX76">
        <v>23</v>
      </c>
      <c r="FY76">
        <v>22</v>
      </c>
      <c r="FZ76">
        <v>21</v>
      </c>
      <c r="GA76" t="s">
        <v>273</v>
      </c>
      <c r="GB76" t="s">
        <v>273</v>
      </c>
      <c r="GC76">
        <v>30.651123999999999</v>
      </c>
      <c r="GD76">
        <v>0.12609999999999999</v>
      </c>
      <c r="GE76">
        <v>1.9906349999999999</v>
      </c>
      <c r="GF76">
        <v>1.614093</v>
      </c>
      <c r="GG76">
        <v>81.084327999999999</v>
      </c>
      <c r="GH76">
        <v>24.172550999999999</v>
      </c>
      <c r="GI76">
        <v>1965.0994929999999</v>
      </c>
      <c r="GJ76">
        <v>24.049610000000001</v>
      </c>
      <c r="GK76">
        <v>25</v>
      </c>
      <c r="GL76">
        <v>25</v>
      </c>
      <c r="GM76">
        <v>16</v>
      </c>
      <c r="GN76">
        <v>25</v>
      </c>
      <c r="GO76" t="s">
        <v>273</v>
      </c>
      <c r="GP76" t="s">
        <v>273</v>
      </c>
      <c r="GQ76">
        <v>31.712921000000001</v>
      </c>
      <c r="GR76">
        <v>0.135403</v>
      </c>
      <c r="GS76">
        <v>3.0660669999999999</v>
      </c>
      <c r="GT76">
        <v>2.65211</v>
      </c>
      <c r="GU76">
        <v>86.498760000000004</v>
      </c>
      <c r="GV76">
        <v>27.081054000000002</v>
      </c>
      <c r="GW76">
        <v>938.67927099999997</v>
      </c>
      <c r="GX76">
        <v>25.823841000000002</v>
      </c>
      <c r="GY76">
        <v>40</v>
      </c>
      <c r="GZ76">
        <v>40</v>
      </c>
      <c r="HA76">
        <v>31</v>
      </c>
      <c r="HB76">
        <v>33</v>
      </c>
      <c r="HC76" t="s">
        <v>273</v>
      </c>
      <c r="HD76" t="s">
        <v>273</v>
      </c>
      <c r="HE76">
        <v>31</v>
      </c>
      <c r="HF76">
        <v>5.0000000000000001E-4</v>
      </c>
      <c r="HG76">
        <v>3.0000000000000001E-3</v>
      </c>
      <c r="HH76">
        <v>3.2258000000000002E-2</v>
      </c>
      <c r="HI76">
        <v>8000</v>
      </c>
    </row>
    <row r="77" spans="1:217" x14ac:dyDescent="0.3">
      <c r="A77">
        <v>504</v>
      </c>
      <c r="B77" t="s">
        <v>269</v>
      </c>
      <c r="F77" t="s">
        <v>270</v>
      </c>
      <c r="G77" t="s">
        <v>288</v>
      </c>
      <c r="H77" t="s">
        <v>289</v>
      </c>
      <c r="I77">
        <v>10000</v>
      </c>
      <c r="J77">
        <v>1</v>
      </c>
      <c r="K77">
        <v>78.731250000000003</v>
      </c>
      <c r="L77">
        <v>0.22</v>
      </c>
      <c r="M77">
        <v>2.6547000000000001E-2</v>
      </c>
      <c r="N77">
        <v>0</v>
      </c>
      <c r="O77">
        <v>0</v>
      </c>
      <c r="P77">
        <v>0</v>
      </c>
      <c r="Q77">
        <v>20.81</v>
      </c>
      <c r="R77">
        <v>1</v>
      </c>
      <c r="S77">
        <v>1</v>
      </c>
      <c r="T77">
        <v>1</v>
      </c>
      <c r="U77">
        <v>1</v>
      </c>
      <c r="V77">
        <v>100</v>
      </c>
      <c r="W77" t="s">
        <v>273</v>
      </c>
      <c r="X77" t="s">
        <v>274</v>
      </c>
      <c r="Y77" t="s">
        <v>274</v>
      </c>
      <c r="Z77" t="s">
        <v>273</v>
      </c>
      <c r="AA77" t="s">
        <v>275</v>
      </c>
      <c r="AB77" t="s">
        <v>276</v>
      </c>
      <c r="AC77">
        <v>505</v>
      </c>
      <c r="AD77">
        <v>5</v>
      </c>
      <c r="AE77" t="s">
        <v>277</v>
      </c>
      <c r="AF77">
        <v>2.9068200000000002</v>
      </c>
      <c r="AG77">
        <v>100</v>
      </c>
      <c r="AH77">
        <v>26.2</v>
      </c>
      <c r="AI77">
        <v>1570</v>
      </c>
      <c r="AJ77">
        <v>800</v>
      </c>
      <c r="AK77">
        <v>1200</v>
      </c>
      <c r="AL77">
        <v>144.6</v>
      </c>
      <c r="AM77">
        <v>2.2000000000000002</v>
      </c>
      <c r="AN77" t="s">
        <v>273</v>
      </c>
      <c r="AO77" t="s">
        <v>278</v>
      </c>
      <c r="AP77" t="s">
        <v>290</v>
      </c>
      <c r="AQ77">
        <v>4.3</v>
      </c>
      <c r="AR77">
        <v>6</v>
      </c>
      <c r="AS77">
        <v>241.4</v>
      </c>
      <c r="AT77">
        <v>439.2</v>
      </c>
      <c r="AU77">
        <v>0.250002</v>
      </c>
      <c r="AV77">
        <v>36.9</v>
      </c>
      <c r="AW77">
        <v>233.6</v>
      </c>
      <c r="AX77" t="s">
        <v>280</v>
      </c>
      <c r="AY77">
        <v>0</v>
      </c>
      <c r="AZ77" t="s">
        <v>281</v>
      </c>
      <c r="BA77">
        <v>0.2</v>
      </c>
      <c r="BB77">
        <v>0.5</v>
      </c>
      <c r="BC77" t="s">
        <v>273</v>
      </c>
      <c r="BD77" t="s">
        <v>273</v>
      </c>
      <c r="BE77">
        <v>14.497413999999999</v>
      </c>
      <c r="BF77">
        <v>14.664344</v>
      </c>
      <c r="BG77">
        <v>590.89580100000001</v>
      </c>
      <c r="BH77" t="s">
        <v>273</v>
      </c>
      <c r="BI77">
        <v>23.367912</v>
      </c>
      <c r="BJ77">
        <v>23.636980999999999</v>
      </c>
      <c r="BK77">
        <v>366.59078</v>
      </c>
      <c r="BL77" t="s">
        <v>273</v>
      </c>
      <c r="BM77">
        <v>23.368535999999999</v>
      </c>
      <c r="BN77">
        <v>23.637612000000001</v>
      </c>
      <c r="BO77">
        <v>366.58099199999998</v>
      </c>
      <c r="BP77" t="s">
        <v>273</v>
      </c>
      <c r="BQ77">
        <v>13.115881</v>
      </c>
      <c r="BR77">
        <v>13.266902999999999</v>
      </c>
      <c r="BS77">
        <v>653.13655800000004</v>
      </c>
      <c r="BT77" t="s">
        <v>273</v>
      </c>
      <c r="BU77">
        <v>5.1116679999999999</v>
      </c>
      <c r="BV77">
        <v>5.1705259999999997</v>
      </c>
      <c r="BW77">
        <v>1675.8641439999999</v>
      </c>
      <c r="BX77" t="s">
        <v>273</v>
      </c>
      <c r="BY77">
        <v>13.767146</v>
      </c>
      <c r="BZ77">
        <v>14.126493</v>
      </c>
      <c r="CA77">
        <v>15.923686</v>
      </c>
      <c r="CB77">
        <v>23.368535999999999</v>
      </c>
      <c r="CC77">
        <v>7.278206</v>
      </c>
      <c r="CD77">
        <v>17.027643000000001</v>
      </c>
      <c r="CE77" t="s">
        <v>273</v>
      </c>
      <c r="CF77">
        <v>13.925667000000001</v>
      </c>
      <c r="CG77">
        <v>14.289152</v>
      </c>
      <c r="CH77">
        <v>16.107037999999999</v>
      </c>
      <c r="CI77">
        <v>23.637612000000001</v>
      </c>
      <c r="CJ77">
        <v>7.3620099999999997</v>
      </c>
      <c r="CK77">
        <v>17.223707000000001</v>
      </c>
      <c r="CL77" t="s">
        <v>273</v>
      </c>
      <c r="CM77">
        <v>622.23944400000005</v>
      </c>
      <c r="CN77">
        <v>606.41102699999999</v>
      </c>
      <c r="CO77">
        <v>537.96975699999996</v>
      </c>
      <c r="CP77">
        <v>366.58099199999998</v>
      </c>
      <c r="CQ77">
        <v>1177.001814</v>
      </c>
      <c r="CR77">
        <v>503.09143299999999</v>
      </c>
      <c r="CS77" t="s">
        <v>273</v>
      </c>
      <c r="CT77">
        <v>740.72327399999995</v>
      </c>
      <c r="CU77">
        <v>776.39439300000004</v>
      </c>
      <c r="CV77">
        <v>640.30584299999998</v>
      </c>
      <c r="CW77">
        <v>1241.7501110000001</v>
      </c>
      <c r="CX77">
        <v>693.86133800000005</v>
      </c>
      <c r="CY77">
        <v>1035.476347</v>
      </c>
      <c r="CZ77" t="s">
        <v>273</v>
      </c>
      <c r="DA77">
        <v>3.6086070000000001</v>
      </c>
      <c r="DB77">
        <v>510.01</v>
      </c>
      <c r="DC77">
        <v>3.8811140000000002</v>
      </c>
      <c r="DD77">
        <v>864</v>
      </c>
      <c r="DE77">
        <v>3.6080350000000001</v>
      </c>
      <c r="DF77">
        <v>505</v>
      </c>
      <c r="DG77">
        <v>10.268462</v>
      </c>
      <c r="DH77">
        <v>765</v>
      </c>
      <c r="DI77">
        <v>1.78705</v>
      </c>
      <c r="DJ77">
        <v>235</v>
      </c>
      <c r="DK77">
        <v>6.2392789999999998</v>
      </c>
      <c r="DL77">
        <v>365</v>
      </c>
      <c r="DM77" t="s">
        <v>273</v>
      </c>
      <c r="DN77">
        <v>5.2876799999999999</v>
      </c>
      <c r="DO77">
        <v>13.421533</v>
      </c>
      <c r="DP77">
        <v>7.0158050000000003</v>
      </c>
      <c r="DQ77" t="s">
        <v>282</v>
      </c>
      <c r="DR77">
        <v>7.4936680000000004</v>
      </c>
      <c r="DS77">
        <v>19.849291000000001</v>
      </c>
      <c r="DT77">
        <v>47.780296999999997</v>
      </c>
      <c r="DU77">
        <v>76.544996999999995</v>
      </c>
      <c r="DV77">
        <v>135.06823900000001</v>
      </c>
      <c r="DW77" t="s">
        <v>283</v>
      </c>
      <c r="DX77" t="s">
        <v>273</v>
      </c>
      <c r="DY77">
        <v>27.027380999999998</v>
      </c>
      <c r="DZ77">
        <v>5.4134000000000002E-2</v>
      </c>
      <c r="EA77">
        <v>2.3237990000000002</v>
      </c>
      <c r="EB77">
        <v>1.8857950000000001</v>
      </c>
      <c r="EC77">
        <v>81.151381999999998</v>
      </c>
      <c r="ED77">
        <v>21.532496999999999</v>
      </c>
      <c r="EE77">
        <v>1147.648332</v>
      </c>
      <c r="EF77">
        <v>13.068286000000001</v>
      </c>
      <c r="EG77">
        <v>25</v>
      </c>
      <c r="EH77">
        <v>25</v>
      </c>
      <c r="EI77">
        <v>23</v>
      </c>
      <c r="EJ77">
        <v>24</v>
      </c>
      <c r="EK77" t="s">
        <v>273</v>
      </c>
      <c r="EL77" t="s">
        <v>273</v>
      </c>
      <c r="EM77">
        <v>27.409583999999999</v>
      </c>
      <c r="EN77">
        <v>3.2195000000000001E-2</v>
      </c>
      <c r="EO77">
        <v>2.470151</v>
      </c>
      <c r="EP77">
        <v>1.9147749999999999</v>
      </c>
      <c r="EQ77">
        <v>77.516531000000001</v>
      </c>
      <c r="ER77">
        <v>20.697714999999999</v>
      </c>
      <c r="ES77">
        <v>1075.0911659999999</v>
      </c>
      <c r="ET77">
        <v>7.7720729999999998</v>
      </c>
      <c r="EU77">
        <v>27</v>
      </c>
      <c r="EV77">
        <v>27</v>
      </c>
      <c r="EW77">
        <v>25</v>
      </c>
      <c r="EX77">
        <v>27</v>
      </c>
      <c r="EY77" t="s">
        <v>273</v>
      </c>
      <c r="EZ77" t="s">
        <v>273</v>
      </c>
      <c r="FA77">
        <v>31.263386000000001</v>
      </c>
      <c r="FB77">
        <v>5.4667E-2</v>
      </c>
      <c r="FC77">
        <v>2.323604</v>
      </c>
      <c r="FD77">
        <v>1.885672</v>
      </c>
      <c r="FE77">
        <v>81.152882000000005</v>
      </c>
      <c r="FF77">
        <v>24.907515</v>
      </c>
      <c r="FG77">
        <v>1147.7485569999999</v>
      </c>
      <c r="FH77">
        <v>13.196994</v>
      </c>
      <c r="FI77">
        <v>25</v>
      </c>
      <c r="FJ77">
        <v>25</v>
      </c>
      <c r="FK77">
        <v>23</v>
      </c>
      <c r="FL77">
        <v>24</v>
      </c>
      <c r="FM77" t="s">
        <v>273</v>
      </c>
      <c r="FN77" t="s">
        <v>273</v>
      </c>
      <c r="FO77">
        <v>31.556708</v>
      </c>
      <c r="FP77">
        <v>7.6443999999999998E-2</v>
      </c>
      <c r="FQ77">
        <v>4.5484619999999998</v>
      </c>
      <c r="FR77">
        <v>3.9522650000000001</v>
      </c>
      <c r="FS77">
        <v>86.892345000000006</v>
      </c>
      <c r="FT77">
        <v>27.206765999999998</v>
      </c>
      <c r="FU77">
        <v>854.275891</v>
      </c>
      <c r="FV77">
        <v>18.454021000000001</v>
      </c>
      <c r="FW77">
        <v>22</v>
      </c>
      <c r="FX77">
        <v>22</v>
      </c>
      <c r="FY77">
        <v>22</v>
      </c>
      <c r="FZ77">
        <v>22</v>
      </c>
      <c r="GA77" t="s">
        <v>273</v>
      </c>
      <c r="GB77" t="s">
        <v>273</v>
      </c>
      <c r="GC77">
        <v>31.080781999999999</v>
      </c>
      <c r="GD77">
        <v>0.124518</v>
      </c>
      <c r="GE77">
        <v>2.5032450000000002</v>
      </c>
      <c r="GF77">
        <v>2.017566</v>
      </c>
      <c r="GG77">
        <v>80.598018999999994</v>
      </c>
      <c r="GH77">
        <v>24.362750999999999</v>
      </c>
      <c r="GI77">
        <v>2456.1776009999999</v>
      </c>
      <c r="GJ77">
        <v>30.059204999999999</v>
      </c>
      <c r="GK77">
        <v>24</v>
      </c>
      <c r="GL77">
        <v>24</v>
      </c>
      <c r="GM77">
        <v>16</v>
      </c>
      <c r="GN77">
        <v>24</v>
      </c>
      <c r="GO77" t="s">
        <v>273</v>
      </c>
      <c r="GP77" t="s">
        <v>273</v>
      </c>
      <c r="GQ77">
        <v>32.041739999999997</v>
      </c>
      <c r="GR77">
        <v>0.133799</v>
      </c>
      <c r="GS77">
        <v>3.8511899999999999</v>
      </c>
      <c r="GT77">
        <v>3.3168489999999999</v>
      </c>
      <c r="GU77">
        <v>86.125288999999995</v>
      </c>
      <c r="GV77">
        <v>27.246483000000001</v>
      </c>
      <c r="GW77">
        <v>1174.1103969999999</v>
      </c>
      <c r="GX77">
        <v>32.299764000000003</v>
      </c>
      <c r="GY77">
        <v>56</v>
      </c>
      <c r="GZ77">
        <v>56</v>
      </c>
      <c r="HA77">
        <v>38</v>
      </c>
      <c r="HB77">
        <v>38</v>
      </c>
      <c r="HC77" t="s">
        <v>273</v>
      </c>
      <c r="HD77" t="s">
        <v>273</v>
      </c>
      <c r="HE77">
        <v>31</v>
      </c>
      <c r="HF77">
        <v>5.0000000000000001E-4</v>
      </c>
      <c r="HG77">
        <v>3.0000000000000001E-3</v>
      </c>
      <c r="HH77">
        <v>3.2258000000000002E-2</v>
      </c>
      <c r="HI77">
        <v>10000</v>
      </c>
    </row>
    <row r="78" spans="1:217" x14ac:dyDescent="0.3">
      <c r="A78">
        <v>517</v>
      </c>
      <c r="B78" t="s">
        <v>269</v>
      </c>
      <c r="F78" t="s">
        <v>270</v>
      </c>
      <c r="G78" t="s">
        <v>288</v>
      </c>
      <c r="H78" t="s">
        <v>289</v>
      </c>
      <c r="I78">
        <v>3375</v>
      </c>
      <c r="J78">
        <v>1</v>
      </c>
      <c r="K78">
        <v>19.771288999999999</v>
      </c>
      <c r="L78">
        <v>0.22</v>
      </c>
      <c r="M78">
        <v>1.8672999999999999E-2</v>
      </c>
      <c r="N78">
        <v>0</v>
      </c>
      <c r="O78">
        <v>0</v>
      </c>
      <c r="P78">
        <v>0</v>
      </c>
      <c r="Q78">
        <v>10.33</v>
      </c>
      <c r="R78">
        <v>1</v>
      </c>
      <c r="S78">
        <v>1</v>
      </c>
      <c r="T78">
        <v>1</v>
      </c>
      <c r="U78">
        <v>1</v>
      </c>
      <c r="V78">
        <v>100</v>
      </c>
      <c r="W78" t="s">
        <v>273</v>
      </c>
      <c r="X78" t="s">
        <v>274</v>
      </c>
      <c r="Y78" t="s">
        <v>274</v>
      </c>
      <c r="Z78" t="s">
        <v>273</v>
      </c>
      <c r="AA78" t="s">
        <v>275</v>
      </c>
      <c r="AB78" t="s">
        <v>276</v>
      </c>
      <c r="AC78">
        <v>293</v>
      </c>
      <c r="AD78">
        <v>5</v>
      </c>
      <c r="AE78" t="s">
        <v>277</v>
      </c>
      <c r="AF78">
        <v>3.1937989999999998</v>
      </c>
      <c r="AG78">
        <v>100</v>
      </c>
      <c r="AH78">
        <v>28.8</v>
      </c>
      <c r="AI78">
        <v>1725</v>
      </c>
      <c r="AJ78">
        <v>800</v>
      </c>
      <c r="AK78">
        <v>1200</v>
      </c>
      <c r="AL78">
        <v>189.9</v>
      </c>
      <c r="AM78">
        <v>2.2000000000000002</v>
      </c>
      <c r="AN78" t="s">
        <v>273</v>
      </c>
      <c r="AO78" t="s">
        <v>278</v>
      </c>
      <c r="AP78" t="s">
        <v>291</v>
      </c>
      <c r="AQ78">
        <v>2.5</v>
      </c>
      <c r="AR78">
        <v>6</v>
      </c>
      <c r="AS78">
        <v>140</v>
      </c>
      <c r="AT78">
        <v>254.8</v>
      </c>
      <c r="AU78">
        <v>0.14535000000000001</v>
      </c>
      <c r="AV78">
        <v>36.1</v>
      </c>
      <c r="AW78">
        <v>238.9</v>
      </c>
      <c r="AX78" t="s">
        <v>280</v>
      </c>
      <c r="AY78">
        <v>0</v>
      </c>
      <c r="AZ78" t="s">
        <v>281</v>
      </c>
      <c r="BA78">
        <v>0.2</v>
      </c>
      <c r="BB78">
        <v>0.5</v>
      </c>
      <c r="BC78" t="s">
        <v>273</v>
      </c>
      <c r="BD78" t="s">
        <v>273</v>
      </c>
      <c r="BE78">
        <v>33.116177</v>
      </c>
      <c r="BF78">
        <v>33.497490999999997</v>
      </c>
      <c r="BG78">
        <v>258.67905300000001</v>
      </c>
      <c r="BH78" t="s">
        <v>273</v>
      </c>
      <c r="BI78">
        <v>46.403481999999997</v>
      </c>
      <c r="BJ78">
        <v>46.937792000000002</v>
      </c>
      <c r="BK78">
        <v>184.60815500000001</v>
      </c>
      <c r="BL78" t="s">
        <v>273</v>
      </c>
      <c r="BM78">
        <v>46.406258999999999</v>
      </c>
      <c r="BN78">
        <v>46.940601000000001</v>
      </c>
      <c r="BO78">
        <v>184.59710999999999</v>
      </c>
      <c r="BP78" t="s">
        <v>273</v>
      </c>
      <c r="BQ78">
        <v>29.780763</v>
      </c>
      <c r="BR78">
        <v>30.123671999999999</v>
      </c>
      <c r="BS78">
        <v>287.65082799999999</v>
      </c>
      <c r="BT78" t="s">
        <v>273</v>
      </c>
      <c r="BU78">
        <v>9.5105520000000006</v>
      </c>
      <c r="BV78">
        <v>9.6200600000000005</v>
      </c>
      <c r="BW78">
        <v>900.73231999999996</v>
      </c>
      <c r="BX78" t="s">
        <v>273</v>
      </c>
      <c r="BY78">
        <v>31.523237999999999</v>
      </c>
      <c r="BZ78">
        <v>32.153064000000001</v>
      </c>
      <c r="CA78">
        <v>36.581440000000001</v>
      </c>
      <c r="CB78">
        <v>46.406258999999999</v>
      </c>
      <c r="CC78">
        <v>19.842055999999999</v>
      </c>
      <c r="CD78">
        <v>34.799346999999997</v>
      </c>
      <c r="CE78" t="s">
        <v>273</v>
      </c>
      <c r="CF78">
        <v>31.886209999999998</v>
      </c>
      <c r="CG78">
        <v>32.523288999999998</v>
      </c>
      <c r="CH78">
        <v>37.002654999999997</v>
      </c>
      <c r="CI78">
        <v>46.940601000000001</v>
      </c>
      <c r="CJ78">
        <v>20.070526000000001</v>
      </c>
      <c r="CK78">
        <v>35.200042000000003</v>
      </c>
      <c r="CL78" t="s">
        <v>273</v>
      </c>
      <c r="CM78">
        <v>271.75068099999999</v>
      </c>
      <c r="CN78">
        <v>266.42752100000001</v>
      </c>
      <c r="CO78">
        <v>234.17506800000001</v>
      </c>
      <c r="CP78">
        <v>184.59710999999999</v>
      </c>
      <c r="CQ78">
        <v>431.73255</v>
      </c>
      <c r="CR78">
        <v>246.16730100000001</v>
      </c>
      <c r="CS78" t="s">
        <v>273</v>
      </c>
      <c r="CT78">
        <v>323.74447500000002</v>
      </c>
      <c r="CU78">
        <v>341.83983999999998</v>
      </c>
      <c r="CV78">
        <v>278.93729400000001</v>
      </c>
      <c r="CW78">
        <v>625.31557299999997</v>
      </c>
      <c r="CX78">
        <v>256.12629700000002</v>
      </c>
      <c r="CY78">
        <v>507.22768200000002</v>
      </c>
      <c r="CZ78" t="s">
        <v>273</v>
      </c>
      <c r="DA78">
        <v>3.6113770000000001</v>
      </c>
      <c r="DB78">
        <v>510.01</v>
      </c>
      <c r="DC78">
        <v>3.8894190000000002</v>
      </c>
      <c r="DD78">
        <v>864</v>
      </c>
      <c r="DE78">
        <v>3.61083</v>
      </c>
      <c r="DF78">
        <v>505</v>
      </c>
      <c r="DG78">
        <v>10.268700000000001</v>
      </c>
      <c r="DH78">
        <v>765</v>
      </c>
      <c r="DI78">
        <v>1.798376</v>
      </c>
      <c r="DJ78">
        <v>235</v>
      </c>
      <c r="DK78">
        <v>6.2461690000000001</v>
      </c>
      <c r="DL78">
        <v>365</v>
      </c>
      <c r="DM78" t="s">
        <v>273</v>
      </c>
      <c r="DN78">
        <v>3.4436230000000001</v>
      </c>
      <c r="DO78">
        <v>7.833755</v>
      </c>
      <c r="DP78">
        <v>3.9657140000000002</v>
      </c>
      <c r="DQ78" t="s">
        <v>282</v>
      </c>
      <c r="DR78">
        <v>4.5927600000000002</v>
      </c>
      <c r="DS78">
        <v>16.244914000000001</v>
      </c>
      <c r="DT78">
        <v>32.637143999999999</v>
      </c>
      <c r="DU78">
        <v>90.593847999999994</v>
      </c>
      <c r="DV78">
        <v>140.733993</v>
      </c>
      <c r="DW78" t="s">
        <v>283</v>
      </c>
      <c r="DX78" t="s">
        <v>273</v>
      </c>
      <c r="DY78">
        <v>23.109524</v>
      </c>
      <c r="DZ78">
        <v>3.6027000000000003E-2</v>
      </c>
      <c r="EA78">
        <v>0.86842399999999997</v>
      </c>
      <c r="EB78">
        <v>0.72775599999999996</v>
      </c>
      <c r="EC78">
        <v>83.801873999999998</v>
      </c>
      <c r="ED78">
        <v>19.018578999999999</v>
      </c>
      <c r="EE78">
        <v>442.69604900000002</v>
      </c>
      <c r="EF78">
        <v>5.0448550000000001</v>
      </c>
      <c r="EG78">
        <v>26</v>
      </c>
      <c r="EH78">
        <v>26</v>
      </c>
      <c r="EI78">
        <v>21</v>
      </c>
      <c r="EJ78">
        <v>25</v>
      </c>
      <c r="EK78" t="s">
        <v>273</v>
      </c>
      <c r="EL78" t="s">
        <v>273</v>
      </c>
      <c r="EM78">
        <v>21.164683</v>
      </c>
      <c r="EN78">
        <v>1.9151000000000001E-2</v>
      </c>
      <c r="EO78">
        <v>0.83979499999999996</v>
      </c>
      <c r="EP78">
        <v>0.66406200000000004</v>
      </c>
      <c r="EQ78">
        <v>79.074297999999999</v>
      </c>
      <c r="ER78">
        <v>16.22064</v>
      </c>
      <c r="ES78">
        <v>370.17105199999997</v>
      </c>
      <c r="ET78">
        <v>2.681775</v>
      </c>
      <c r="EU78">
        <v>27</v>
      </c>
      <c r="EV78">
        <v>27</v>
      </c>
      <c r="EW78">
        <v>27</v>
      </c>
      <c r="EX78">
        <v>27</v>
      </c>
      <c r="EY78" t="s">
        <v>273</v>
      </c>
      <c r="EZ78" t="s">
        <v>273</v>
      </c>
      <c r="FA78">
        <v>26.809933000000001</v>
      </c>
      <c r="FB78">
        <v>3.6381999999999998E-2</v>
      </c>
      <c r="FC78">
        <v>0.86804300000000001</v>
      </c>
      <c r="FD78">
        <v>0.72772400000000004</v>
      </c>
      <c r="FE78">
        <v>83.835111999999995</v>
      </c>
      <c r="FF78">
        <v>22.072255999999999</v>
      </c>
      <c r="FG78">
        <v>442.73678200000001</v>
      </c>
      <c r="FH78">
        <v>5.0946009999999999</v>
      </c>
      <c r="FI78">
        <v>26</v>
      </c>
      <c r="FJ78">
        <v>26</v>
      </c>
      <c r="FK78">
        <v>21</v>
      </c>
      <c r="FL78">
        <v>25</v>
      </c>
      <c r="FM78" t="s">
        <v>273</v>
      </c>
      <c r="FN78" t="s">
        <v>273</v>
      </c>
      <c r="FO78">
        <v>28.563965</v>
      </c>
      <c r="FP78">
        <v>6.0793E-2</v>
      </c>
      <c r="FQ78">
        <v>2.0732729999999999</v>
      </c>
      <c r="FR78">
        <v>1.8211299999999999</v>
      </c>
      <c r="FS78">
        <v>87.838408000000001</v>
      </c>
      <c r="FT78">
        <v>24.923048999999999</v>
      </c>
      <c r="FU78">
        <v>394.07358599999998</v>
      </c>
      <c r="FV78">
        <v>8.5129540000000006</v>
      </c>
      <c r="FW78">
        <v>11</v>
      </c>
      <c r="FX78">
        <v>11</v>
      </c>
      <c r="FY78">
        <v>11</v>
      </c>
      <c r="FZ78">
        <v>9</v>
      </c>
      <c r="GA78" t="s">
        <v>273</v>
      </c>
      <c r="GB78" t="s">
        <v>273</v>
      </c>
      <c r="GC78">
        <v>29.689520000000002</v>
      </c>
      <c r="GD78">
        <v>7.7216000000000007E-2</v>
      </c>
      <c r="GE78">
        <v>0.88266500000000003</v>
      </c>
      <c r="GF78">
        <v>0.72868299999999997</v>
      </c>
      <c r="GG78">
        <v>82.554856999999998</v>
      </c>
      <c r="GH78">
        <v>23.74119</v>
      </c>
      <c r="GI78">
        <v>877.95775600000002</v>
      </c>
      <c r="GJ78">
        <v>10.812725</v>
      </c>
      <c r="GK78">
        <v>27</v>
      </c>
      <c r="GL78">
        <v>27</v>
      </c>
      <c r="GM78">
        <v>15</v>
      </c>
      <c r="GN78">
        <v>25</v>
      </c>
      <c r="GO78" t="s">
        <v>273</v>
      </c>
      <c r="GP78" t="s">
        <v>273</v>
      </c>
      <c r="GQ78">
        <v>30.811834999999999</v>
      </c>
      <c r="GR78">
        <v>0.113029</v>
      </c>
      <c r="GS78">
        <v>1.814092</v>
      </c>
      <c r="GT78">
        <v>1.6202799999999999</v>
      </c>
      <c r="GU78">
        <v>89.316348000000005</v>
      </c>
      <c r="GV78">
        <v>27.256260999999999</v>
      </c>
      <c r="GW78">
        <v>574.70909200000006</v>
      </c>
      <c r="GX78">
        <v>15.8277</v>
      </c>
      <c r="GY78">
        <v>35</v>
      </c>
      <c r="GZ78">
        <v>35</v>
      </c>
      <c r="HA78">
        <v>15</v>
      </c>
      <c r="HB78">
        <v>16</v>
      </c>
      <c r="HC78" t="s">
        <v>273</v>
      </c>
      <c r="HD78" t="s">
        <v>273</v>
      </c>
      <c r="HE78">
        <v>18</v>
      </c>
      <c r="HF78">
        <v>5.0000000000000001E-4</v>
      </c>
      <c r="HG78">
        <v>4.7499999999999999E-3</v>
      </c>
      <c r="HH78">
        <v>5.5556000000000001E-2</v>
      </c>
      <c r="HI78">
        <v>3375</v>
      </c>
    </row>
    <row r="79" spans="1:217" x14ac:dyDescent="0.3">
      <c r="A79">
        <v>518</v>
      </c>
      <c r="B79" t="s">
        <v>269</v>
      </c>
      <c r="F79" t="s">
        <v>270</v>
      </c>
      <c r="G79" t="s">
        <v>288</v>
      </c>
      <c r="H79" t="s">
        <v>289</v>
      </c>
      <c r="I79">
        <v>4500</v>
      </c>
      <c r="J79">
        <v>1</v>
      </c>
      <c r="K79">
        <v>27.461718999999999</v>
      </c>
      <c r="L79">
        <v>0.22</v>
      </c>
      <c r="M79">
        <v>2.5814E-2</v>
      </c>
      <c r="N79">
        <v>0</v>
      </c>
      <c r="O79">
        <v>0</v>
      </c>
      <c r="P79">
        <v>0</v>
      </c>
      <c r="Q79">
        <v>13.73</v>
      </c>
      <c r="R79">
        <v>1</v>
      </c>
      <c r="S79">
        <v>1</v>
      </c>
      <c r="T79">
        <v>1</v>
      </c>
      <c r="U79">
        <v>1</v>
      </c>
      <c r="V79">
        <v>100</v>
      </c>
      <c r="W79" t="s">
        <v>273</v>
      </c>
      <c r="X79" t="s">
        <v>274</v>
      </c>
      <c r="Y79" t="s">
        <v>274</v>
      </c>
      <c r="Z79" t="s">
        <v>273</v>
      </c>
      <c r="AA79" t="s">
        <v>275</v>
      </c>
      <c r="AB79" t="s">
        <v>276</v>
      </c>
      <c r="AC79">
        <v>399</v>
      </c>
      <c r="AD79">
        <v>5</v>
      </c>
      <c r="AE79" t="s">
        <v>277</v>
      </c>
      <c r="AF79">
        <v>3.0734530000000002</v>
      </c>
      <c r="AG79">
        <v>100</v>
      </c>
      <c r="AH79">
        <v>27.7</v>
      </c>
      <c r="AI79">
        <v>1660</v>
      </c>
      <c r="AJ79">
        <v>800</v>
      </c>
      <c r="AK79">
        <v>1200</v>
      </c>
      <c r="AL79">
        <v>162.69999999999999</v>
      </c>
      <c r="AM79">
        <v>2.2000000000000002</v>
      </c>
      <c r="AN79" t="s">
        <v>273</v>
      </c>
      <c r="AO79" t="s">
        <v>278</v>
      </c>
      <c r="AP79" t="s">
        <v>292</v>
      </c>
      <c r="AQ79">
        <v>3.4</v>
      </c>
      <c r="AR79">
        <v>6</v>
      </c>
      <c r="AS79">
        <v>190.7</v>
      </c>
      <c r="AT79">
        <v>347</v>
      </c>
      <c r="AU79">
        <v>0.19767599999999999</v>
      </c>
      <c r="AV79">
        <v>36.5</v>
      </c>
      <c r="AW79">
        <v>235.8</v>
      </c>
      <c r="AX79" t="s">
        <v>280</v>
      </c>
      <c r="AY79">
        <v>0</v>
      </c>
      <c r="AZ79" t="s">
        <v>281</v>
      </c>
      <c r="BA79">
        <v>0.2</v>
      </c>
      <c r="BB79">
        <v>0.5</v>
      </c>
      <c r="BC79" t="s">
        <v>273</v>
      </c>
      <c r="BD79" t="s">
        <v>273</v>
      </c>
      <c r="BE79">
        <v>25.667797</v>
      </c>
      <c r="BF79">
        <v>25.963346999999999</v>
      </c>
      <c r="BG79">
        <v>333.74353100000002</v>
      </c>
      <c r="BH79" t="s">
        <v>273</v>
      </c>
      <c r="BI79">
        <v>36.071182999999998</v>
      </c>
      <c r="BJ79">
        <v>36.486522000000001</v>
      </c>
      <c r="BK79">
        <v>237.48767100000001</v>
      </c>
      <c r="BL79" t="s">
        <v>273</v>
      </c>
      <c r="BM79">
        <v>36.073062999999998</v>
      </c>
      <c r="BN79">
        <v>36.488424000000002</v>
      </c>
      <c r="BO79">
        <v>237.47529599999999</v>
      </c>
      <c r="BP79" t="s">
        <v>273</v>
      </c>
      <c r="BQ79">
        <v>22.510968999999999</v>
      </c>
      <c r="BR79">
        <v>22.77017</v>
      </c>
      <c r="BS79">
        <v>380.54609599999998</v>
      </c>
      <c r="BT79" t="s">
        <v>273</v>
      </c>
      <c r="BU79">
        <v>7.187398</v>
      </c>
      <c r="BV79">
        <v>7.2701570000000002</v>
      </c>
      <c r="BW79">
        <v>1191.872355</v>
      </c>
      <c r="BX79" t="s">
        <v>273</v>
      </c>
      <c r="BY79">
        <v>24.236937999999999</v>
      </c>
      <c r="BZ79">
        <v>25.100811</v>
      </c>
      <c r="CA79">
        <v>28.120784</v>
      </c>
      <c r="CB79">
        <v>36.073062999999998</v>
      </c>
      <c r="CC79">
        <v>15.175943999999999</v>
      </c>
      <c r="CD79">
        <v>26.150933999999999</v>
      </c>
      <c r="CE79" t="s">
        <v>273</v>
      </c>
      <c r="CF79">
        <v>24.516013000000001</v>
      </c>
      <c r="CG79">
        <v>25.389831999999998</v>
      </c>
      <c r="CH79">
        <v>28.444579000000001</v>
      </c>
      <c r="CI79">
        <v>36.488424000000002</v>
      </c>
      <c r="CJ79">
        <v>15.350687000000001</v>
      </c>
      <c r="CK79">
        <v>26.452048000000001</v>
      </c>
      <c r="CL79" t="s">
        <v>273</v>
      </c>
      <c r="CM79">
        <v>353.44651099999999</v>
      </c>
      <c r="CN79">
        <v>341.28225400000002</v>
      </c>
      <c r="CO79">
        <v>304.63094999999998</v>
      </c>
      <c r="CP79">
        <v>237.47529599999999</v>
      </c>
      <c r="CQ79">
        <v>564.47632299999998</v>
      </c>
      <c r="CR79">
        <v>327.57763699999998</v>
      </c>
      <c r="CS79" t="s">
        <v>273</v>
      </c>
      <c r="CT79">
        <v>421.11669599999999</v>
      </c>
      <c r="CU79">
        <v>437.991512</v>
      </c>
      <c r="CV79">
        <v>362.90108199999997</v>
      </c>
      <c r="CW79">
        <v>804.47800299999994</v>
      </c>
      <c r="CX79">
        <v>334.92099999999999</v>
      </c>
      <c r="CY79">
        <v>674.91124000000002</v>
      </c>
      <c r="CZ79" t="s">
        <v>273</v>
      </c>
      <c r="DA79">
        <v>3.6117680000000001</v>
      </c>
      <c r="DB79">
        <v>510.01</v>
      </c>
      <c r="DC79">
        <v>3.89039</v>
      </c>
      <c r="DD79">
        <v>864</v>
      </c>
      <c r="DE79">
        <v>3.6112320000000002</v>
      </c>
      <c r="DF79">
        <v>505</v>
      </c>
      <c r="DG79">
        <v>10.269206000000001</v>
      </c>
      <c r="DH79">
        <v>765</v>
      </c>
      <c r="DI79">
        <v>1.798613</v>
      </c>
      <c r="DJ79">
        <v>235</v>
      </c>
      <c r="DK79">
        <v>6.2455910000000001</v>
      </c>
      <c r="DL79">
        <v>365</v>
      </c>
      <c r="DM79" t="s">
        <v>273</v>
      </c>
      <c r="DN79">
        <v>3.4258470000000001</v>
      </c>
      <c r="DO79">
        <v>7.7787499999999996</v>
      </c>
      <c r="DP79">
        <v>4.0333839999999999</v>
      </c>
      <c r="DQ79" t="s">
        <v>282</v>
      </c>
      <c r="DR79">
        <v>4.5491640000000002</v>
      </c>
      <c r="DS79">
        <v>16.17088</v>
      </c>
      <c r="DT79">
        <v>32.532176999999997</v>
      </c>
      <c r="DU79">
        <v>90.979911000000001</v>
      </c>
      <c r="DV79">
        <v>140.35146700000001</v>
      </c>
      <c r="DW79" t="s">
        <v>283</v>
      </c>
      <c r="DX79" t="s">
        <v>273</v>
      </c>
      <c r="DY79">
        <v>23.781970000000001</v>
      </c>
      <c r="DZ79">
        <v>3.5246E-2</v>
      </c>
      <c r="EA79">
        <v>1.1624890000000001</v>
      </c>
      <c r="EB79">
        <v>0.97013899999999997</v>
      </c>
      <c r="EC79">
        <v>83.453569000000002</v>
      </c>
      <c r="ED79">
        <v>19.482140000000001</v>
      </c>
      <c r="EE79">
        <v>589.81716100000006</v>
      </c>
      <c r="EF79">
        <v>6.7221390000000003</v>
      </c>
      <c r="EG79">
        <v>25</v>
      </c>
      <c r="EH79">
        <v>25</v>
      </c>
      <c r="EI79">
        <v>21</v>
      </c>
      <c r="EJ79">
        <v>24</v>
      </c>
      <c r="EK79" t="s">
        <v>273</v>
      </c>
      <c r="EL79" t="s">
        <v>273</v>
      </c>
      <c r="EM79">
        <v>22.088811</v>
      </c>
      <c r="EN79">
        <v>1.874E-2</v>
      </c>
      <c r="EO79">
        <v>1.122992</v>
      </c>
      <c r="EP79">
        <v>0.88602400000000003</v>
      </c>
      <c r="EQ79">
        <v>78.898516000000001</v>
      </c>
      <c r="ER79">
        <v>16.871780999999999</v>
      </c>
      <c r="ES79">
        <v>493.20804700000002</v>
      </c>
      <c r="ET79">
        <v>3.5740319999999999</v>
      </c>
      <c r="EU79">
        <v>27</v>
      </c>
      <c r="EV79">
        <v>27</v>
      </c>
      <c r="EW79">
        <v>27</v>
      </c>
      <c r="EX79">
        <v>27</v>
      </c>
      <c r="EY79" t="s">
        <v>273</v>
      </c>
      <c r="EZ79" t="s">
        <v>273</v>
      </c>
      <c r="FA79">
        <v>27.582311000000001</v>
      </c>
      <c r="FB79">
        <v>3.5594000000000001E-2</v>
      </c>
      <c r="FC79">
        <v>1.16187</v>
      </c>
      <c r="FD79">
        <v>0.97008799999999995</v>
      </c>
      <c r="FE79">
        <v>83.493634999999998</v>
      </c>
      <c r="FF79">
        <v>22.606012</v>
      </c>
      <c r="FG79">
        <v>589.86999900000001</v>
      </c>
      <c r="FH79">
        <v>6.7884279999999997</v>
      </c>
      <c r="FI79">
        <v>25</v>
      </c>
      <c r="FJ79">
        <v>25</v>
      </c>
      <c r="FK79">
        <v>21</v>
      </c>
      <c r="FL79">
        <v>24</v>
      </c>
      <c r="FM79" t="s">
        <v>273</v>
      </c>
      <c r="FN79" t="s">
        <v>273</v>
      </c>
      <c r="FO79">
        <v>29.55996</v>
      </c>
      <c r="FP79">
        <v>5.9422999999999997E-2</v>
      </c>
      <c r="FQ79">
        <v>2.760303</v>
      </c>
      <c r="FR79">
        <v>2.424661</v>
      </c>
      <c r="FS79">
        <v>87.840388000000004</v>
      </c>
      <c r="FT79">
        <v>25.790213999999999</v>
      </c>
      <c r="FU79">
        <v>524.595595</v>
      </c>
      <c r="FV79">
        <v>11.333106000000001</v>
      </c>
      <c r="FW79">
        <v>9</v>
      </c>
      <c r="FX79">
        <v>9</v>
      </c>
      <c r="FY79">
        <v>9</v>
      </c>
      <c r="FZ79">
        <v>9</v>
      </c>
      <c r="GA79" t="s">
        <v>273</v>
      </c>
      <c r="GB79" t="s">
        <v>273</v>
      </c>
      <c r="GC79">
        <v>30.533313</v>
      </c>
      <c r="GD79">
        <v>7.5587000000000001E-2</v>
      </c>
      <c r="GE79">
        <v>1.187012</v>
      </c>
      <c r="GF79">
        <v>0.97269399999999995</v>
      </c>
      <c r="GG79">
        <v>81.944743000000003</v>
      </c>
      <c r="GH79">
        <v>24.205895000000002</v>
      </c>
      <c r="GI79">
        <v>1170.3692390000001</v>
      </c>
      <c r="GJ79">
        <v>14.415898</v>
      </c>
      <c r="GK79">
        <v>26</v>
      </c>
      <c r="GL79">
        <v>26</v>
      </c>
      <c r="GM79">
        <v>15</v>
      </c>
      <c r="GN79">
        <v>24</v>
      </c>
      <c r="GO79" t="s">
        <v>273</v>
      </c>
      <c r="GP79" t="s">
        <v>273</v>
      </c>
      <c r="GQ79">
        <v>31.562366000000001</v>
      </c>
      <c r="GR79">
        <v>0.11081199999999999</v>
      </c>
      <c r="GS79">
        <v>2.4726059999999999</v>
      </c>
      <c r="GT79">
        <v>2.1633100000000001</v>
      </c>
      <c r="GU79">
        <v>87.491088000000005</v>
      </c>
      <c r="GV79">
        <v>27.351611999999999</v>
      </c>
      <c r="GW79">
        <v>767.44775600000003</v>
      </c>
      <c r="GX79">
        <v>21.133838999999998</v>
      </c>
      <c r="GY79">
        <v>34</v>
      </c>
      <c r="GZ79">
        <v>34</v>
      </c>
      <c r="HA79">
        <v>18</v>
      </c>
      <c r="HB79">
        <v>19</v>
      </c>
      <c r="HC79" t="s">
        <v>273</v>
      </c>
      <c r="HD79" t="s">
        <v>273</v>
      </c>
      <c r="HE79">
        <v>18</v>
      </c>
      <c r="HF79">
        <v>5.0000000000000001E-4</v>
      </c>
      <c r="HG79">
        <v>4.7499999999999999E-3</v>
      </c>
      <c r="HH79">
        <v>5.5556000000000001E-2</v>
      </c>
      <c r="HI79">
        <v>4500</v>
      </c>
    </row>
    <row r="80" spans="1:217" x14ac:dyDescent="0.3">
      <c r="A80">
        <v>519</v>
      </c>
      <c r="B80" t="s">
        <v>269</v>
      </c>
      <c r="F80" t="s">
        <v>270</v>
      </c>
      <c r="G80" t="s">
        <v>288</v>
      </c>
      <c r="H80" t="s">
        <v>289</v>
      </c>
      <c r="I80">
        <v>6000</v>
      </c>
      <c r="J80">
        <v>1</v>
      </c>
      <c r="K80">
        <v>37.715625000000003</v>
      </c>
      <c r="L80">
        <v>0.22</v>
      </c>
      <c r="M80">
        <v>3.5335999999999999E-2</v>
      </c>
      <c r="N80">
        <v>0</v>
      </c>
      <c r="O80">
        <v>0</v>
      </c>
      <c r="P80">
        <v>0</v>
      </c>
      <c r="Q80">
        <v>18.27</v>
      </c>
      <c r="R80">
        <v>1</v>
      </c>
      <c r="S80">
        <v>1</v>
      </c>
      <c r="T80">
        <v>1</v>
      </c>
      <c r="U80">
        <v>1</v>
      </c>
      <c r="V80">
        <v>100</v>
      </c>
      <c r="W80" t="s">
        <v>273</v>
      </c>
      <c r="X80" t="s">
        <v>274</v>
      </c>
      <c r="Y80" t="s">
        <v>274</v>
      </c>
      <c r="Z80" t="s">
        <v>273</v>
      </c>
      <c r="AA80" t="s">
        <v>275</v>
      </c>
      <c r="AB80" t="s">
        <v>276</v>
      </c>
      <c r="AC80">
        <v>505</v>
      </c>
      <c r="AD80">
        <v>5</v>
      </c>
      <c r="AE80" t="s">
        <v>277</v>
      </c>
      <c r="AF80">
        <v>2.9068200000000002</v>
      </c>
      <c r="AG80">
        <v>100</v>
      </c>
      <c r="AH80">
        <v>26.2</v>
      </c>
      <c r="AI80">
        <v>1570</v>
      </c>
      <c r="AJ80">
        <v>800</v>
      </c>
      <c r="AK80">
        <v>1200</v>
      </c>
      <c r="AL80">
        <v>144.6</v>
      </c>
      <c r="AM80">
        <v>2.2000000000000002</v>
      </c>
      <c r="AN80" t="s">
        <v>273</v>
      </c>
      <c r="AO80" t="s">
        <v>278</v>
      </c>
      <c r="AP80" t="s">
        <v>290</v>
      </c>
      <c r="AQ80">
        <v>4.3</v>
      </c>
      <c r="AR80">
        <v>6</v>
      </c>
      <c r="AS80">
        <v>241.4</v>
      </c>
      <c r="AT80">
        <v>439.2</v>
      </c>
      <c r="AU80">
        <v>0.250002</v>
      </c>
      <c r="AV80">
        <v>36.9</v>
      </c>
      <c r="AW80">
        <v>233.6</v>
      </c>
      <c r="AX80" t="s">
        <v>280</v>
      </c>
      <c r="AY80">
        <v>0</v>
      </c>
      <c r="AZ80" t="s">
        <v>281</v>
      </c>
      <c r="BA80">
        <v>0.2</v>
      </c>
      <c r="BB80">
        <v>0.5</v>
      </c>
      <c r="BC80" t="s">
        <v>273</v>
      </c>
      <c r="BD80" t="s">
        <v>273</v>
      </c>
      <c r="BE80">
        <v>20.041871</v>
      </c>
      <c r="BF80">
        <v>20.272641</v>
      </c>
      <c r="BG80">
        <v>427.42823199999998</v>
      </c>
      <c r="BH80" t="s">
        <v>273</v>
      </c>
      <c r="BI80">
        <v>28.049866000000002</v>
      </c>
      <c r="BJ80">
        <v>28.372845000000002</v>
      </c>
      <c r="BK80">
        <v>305.40114599999998</v>
      </c>
      <c r="BL80" t="s">
        <v>273</v>
      </c>
      <c r="BM80">
        <v>28.051117000000001</v>
      </c>
      <c r="BN80">
        <v>28.374110000000002</v>
      </c>
      <c r="BO80">
        <v>305.38752699999998</v>
      </c>
      <c r="BP80" t="s">
        <v>273</v>
      </c>
      <c r="BQ80">
        <v>17.416025999999999</v>
      </c>
      <c r="BR80">
        <v>17.616561999999998</v>
      </c>
      <c r="BS80">
        <v>491.87232999999998</v>
      </c>
      <c r="BT80" t="s">
        <v>273</v>
      </c>
      <c r="BU80">
        <v>5.7358669999999998</v>
      </c>
      <c r="BV80">
        <v>5.8019119999999997</v>
      </c>
      <c r="BW80">
        <v>1493.490284</v>
      </c>
      <c r="BX80" t="s">
        <v>273</v>
      </c>
      <c r="BY80">
        <v>18.754269000000001</v>
      </c>
      <c r="BZ80">
        <v>19.764866999999999</v>
      </c>
      <c r="CA80">
        <v>21.744060999999999</v>
      </c>
      <c r="CB80">
        <v>28.051117000000001</v>
      </c>
      <c r="CC80">
        <v>12.147228</v>
      </c>
      <c r="CD80">
        <v>19.900755</v>
      </c>
      <c r="CE80" t="s">
        <v>273</v>
      </c>
      <c r="CF80">
        <v>18.970213999999999</v>
      </c>
      <c r="CG80">
        <v>19.992448</v>
      </c>
      <c r="CH80">
        <v>21.994432</v>
      </c>
      <c r="CI80">
        <v>28.374110000000002</v>
      </c>
      <c r="CJ80">
        <v>12.287096</v>
      </c>
      <c r="CK80">
        <v>20.129901</v>
      </c>
      <c r="CL80" t="s">
        <v>273</v>
      </c>
      <c r="CM80">
        <v>456.773934</v>
      </c>
      <c r="CN80">
        <v>433.41862099999997</v>
      </c>
      <c r="CO80">
        <v>393.96785799999998</v>
      </c>
      <c r="CP80">
        <v>305.38752699999998</v>
      </c>
      <c r="CQ80">
        <v>705.21943799999997</v>
      </c>
      <c r="CR80">
        <v>430.45909999999998</v>
      </c>
      <c r="CS80" t="s">
        <v>273</v>
      </c>
      <c r="CT80">
        <v>544.15613199999996</v>
      </c>
      <c r="CU80">
        <v>556.11751800000002</v>
      </c>
      <c r="CV80">
        <v>469.26267200000001</v>
      </c>
      <c r="CW80">
        <v>1034.531377</v>
      </c>
      <c r="CX80">
        <v>418.222848</v>
      </c>
      <c r="CY80">
        <v>886.82963199999995</v>
      </c>
      <c r="CZ80" t="s">
        <v>273</v>
      </c>
      <c r="DA80">
        <v>3.6112980000000001</v>
      </c>
      <c r="DB80">
        <v>510.01</v>
      </c>
      <c r="DC80">
        <v>3.8895569999999999</v>
      </c>
      <c r="DD80">
        <v>864</v>
      </c>
      <c r="DE80">
        <v>3.610741</v>
      </c>
      <c r="DF80">
        <v>505</v>
      </c>
      <c r="DG80">
        <v>10.269126999999999</v>
      </c>
      <c r="DH80">
        <v>765</v>
      </c>
      <c r="DI80">
        <v>1.797731</v>
      </c>
      <c r="DJ80">
        <v>235</v>
      </c>
      <c r="DK80">
        <v>6.2452439999999996</v>
      </c>
      <c r="DL80">
        <v>365</v>
      </c>
      <c r="DM80" t="s">
        <v>273</v>
      </c>
      <c r="DN80">
        <v>3.6492819999999999</v>
      </c>
      <c r="DO80">
        <v>8.3895490000000006</v>
      </c>
      <c r="DP80">
        <v>4.4609209999999999</v>
      </c>
      <c r="DQ80" t="s">
        <v>282</v>
      </c>
      <c r="DR80">
        <v>4.9073399999999996</v>
      </c>
      <c r="DS80">
        <v>16.611077000000002</v>
      </c>
      <c r="DT80">
        <v>34.368887999999998</v>
      </c>
      <c r="DU80">
        <v>88.773202999999995</v>
      </c>
      <c r="DV80">
        <v>134.66028800000001</v>
      </c>
      <c r="DW80" t="s">
        <v>283</v>
      </c>
      <c r="DX80" t="s">
        <v>273</v>
      </c>
      <c r="DY80">
        <v>24.746023000000001</v>
      </c>
      <c r="DZ80">
        <v>3.7079000000000001E-2</v>
      </c>
      <c r="EA80">
        <v>1.5630310000000001</v>
      </c>
      <c r="EB80">
        <v>1.2916570000000001</v>
      </c>
      <c r="EC80">
        <v>82.637978000000004</v>
      </c>
      <c r="ED80">
        <v>20.076276</v>
      </c>
      <c r="EE80">
        <v>785.49240699999996</v>
      </c>
      <c r="EF80">
        <v>8.9510819999999995</v>
      </c>
      <c r="EG80">
        <v>25</v>
      </c>
      <c r="EH80">
        <v>25</v>
      </c>
      <c r="EI80">
        <v>22</v>
      </c>
      <c r="EJ80">
        <v>22</v>
      </c>
      <c r="EK80" t="s">
        <v>273</v>
      </c>
      <c r="EL80" t="s">
        <v>273</v>
      </c>
      <c r="EM80">
        <v>23.331664</v>
      </c>
      <c r="EN80">
        <v>1.9729E-2</v>
      </c>
      <c r="EO80">
        <v>1.5060899999999999</v>
      </c>
      <c r="EP80">
        <v>1.1809620000000001</v>
      </c>
      <c r="EQ80">
        <v>78.412403999999995</v>
      </c>
      <c r="ER80">
        <v>17.707725</v>
      </c>
      <c r="ES80">
        <v>657.39372600000002</v>
      </c>
      <c r="ET80">
        <v>4.7627839999999999</v>
      </c>
      <c r="EU80">
        <v>25</v>
      </c>
      <c r="EV80">
        <v>25</v>
      </c>
      <c r="EW80">
        <v>25</v>
      </c>
      <c r="EX80">
        <v>25</v>
      </c>
      <c r="EY80" t="s">
        <v>273</v>
      </c>
      <c r="EZ80" t="s">
        <v>273</v>
      </c>
      <c r="FA80">
        <v>28.685243</v>
      </c>
      <c r="FB80">
        <v>3.7444999999999999E-2</v>
      </c>
      <c r="FC80">
        <v>1.562476</v>
      </c>
      <c r="FD80">
        <v>1.291615</v>
      </c>
      <c r="FE80">
        <v>82.664636999999999</v>
      </c>
      <c r="FF80">
        <v>23.279043000000001</v>
      </c>
      <c r="FG80">
        <v>785.56900099999996</v>
      </c>
      <c r="FH80">
        <v>9.0393709999999992</v>
      </c>
      <c r="FI80">
        <v>25</v>
      </c>
      <c r="FJ80">
        <v>25</v>
      </c>
      <c r="FK80">
        <v>22</v>
      </c>
      <c r="FL80">
        <v>22</v>
      </c>
      <c r="FM80" t="s">
        <v>273</v>
      </c>
      <c r="FN80" t="s">
        <v>273</v>
      </c>
      <c r="FO80">
        <v>30.616752999999999</v>
      </c>
      <c r="FP80">
        <v>6.2510999999999997E-2</v>
      </c>
      <c r="FQ80">
        <v>3.6765590000000001</v>
      </c>
      <c r="FR80">
        <v>3.228256</v>
      </c>
      <c r="FS80">
        <v>87.806470000000004</v>
      </c>
      <c r="FT80">
        <v>26.704056999999999</v>
      </c>
      <c r="FU80">
        <v>698.52152999999998</v>
      </c>
      <c r="FV80">
        <v>15.090400000000001</v>
      </c>
      <c r="FW80">
        <v>9</v>
      </c>
      <c r="FX80">
        <v>9</v>
      </c>
      <c r="FY80">
        <v>9</v>
      </c>
      <c r="FZ80">
        <v>9</v>
      </c>
      <c r="GA80" t="s">
        <v>273</v>
      </c>
      <c r="GB80" t="s">
        <v>273</v>
      </c>
      <c r="GC80">
        <v>31.308382000000002</v>
      </c>
      <c r="GD80">
        <v>7.9568E-2</v>
      </c>
      <c r="GE80">
        <v>1.5198719999999999</v>
      </c>
      <c r="GF80">
        <v>1.295021</v>
      </c>
      <c r="GG80">
        <v>85.205921000000004</v>
      </c>
      <c r="GH80">
        <v>25.828453</v>
      </c>
      <c r="GI80">
        <v>1560.1973579999999</v>
      </c>
      <c r="GJ80">
        <v>19.208134000000001</v>
      </c>
      <c r="GK80">
        <v>35</v>
      </c>
      <c r="GL80">
        <v>35</v>
      </c>
      <c r="GM80">
        <v>15</v>
      </c>
      <c r="GN80">
        <v>25</v>
      </c>
      <c r="GO80" t="s">
        <v>273</v>
      </c>
      <c r="GP80" t="s">
        <v>273</v>
      </c>
      <c r="GQ80">
        <v>32.144885000000002</v>
      </c>
      <c r="GR80">
        <v>0.116812</v>
      </c>
      <c r="GS80">
        <v>3.308954</v>
      </c>
      <c r="GT80">
        <v>2.8851079999999998</v>
      </c>
      <c r="GU80">
        <v>87.190931000000006</v>
      </c>
      <c r="GV80">
        <v>27.774426999999999</v>
      </c>
      <c r="GW80">
        <v>1024.066932</v>
      </c>
      <c r="GX80">
        <v>28.199006000000001</v>
      </c>
      <c r="GY80">
        <v>54</v>
      </c>
      <c r="GZ80">
        <v>54</v>
      </c>
      <c r="HA80">
        <v>34</v>
      </c>
      <c r="HB80">
        <v>35</v>
      </c>
      <c r="HC80" t="s">
        <v>273</v>
      </c>
      <c r="HD80" t="s">
        <v>273</v>
      </c>
      <c r="HE80">
        <v>18</v>
      </c>
      <c r="HF80">
        <v>5.0000000000000001E-4</v>
      </c>
      <c r="HG80">
        <v>4.7499999999999999E-3</v>
      </c>
      <c r="HH80">
        <v>5.5556000000000001E-2</v>
      </c>
      <c r="HI80">
        <v>6000</v>
      </c>
    </row>
    <row r="81" spans="1:217" x14ac:dyDescent="0.3">
      <c r="A81">
        <v>520</v>
      </c>
      <c r="B81" t="s">
        <v>269</v>
      </c>
      <c r="F81" t="s">
        <v>270</v>
      </c>
      <c r="G81" t="s">
        <v>288</v>
      </c>
      <c r="H81" t="s">
        <v>289</v>
      </c>
      <c r="I81">
        <v>6000</v>
      </c>
      <c r="J81">
        <v>1</v>
      </c>
      <c r="K81">
        <v>37.715625000000003</v>
      </c>
      <c r="L81">
        <v>0.22</v>
      </c>
      <c r="M81">
        <v>3.5335999999999999E-2</v>
      </c>
      <c r="N81">
        <v>0</v>
      </c>
      <c r="O81">
        <v>0</v>
      </c>
      <c r="P81">
        <v>0</v>
      </c>
      <c r="Q81">
        <v>18.27</v>
      </c>
      <c r="R81">
        <v>1</v>
      </c>
      <c r="S81">
        <v>1</v>
      </c>
      <c r="T81">
        <v>1</v>
      </c>
      <c r="U81">
        <v>1</v>
      </c>
      <c r="V81">
        <v>100</v>
      </c>
      <c r="W81" t="s">
        <v>273</v>
      </c>
      <c r="X81" t="s">
        <v>274</v>
      </c>
      <c r="Y81" t="s">
        <v>274</v>
      </c>
      <c r="Z81" t="s">
        <v>273</v>
      </c>
      <c r="AA81" t="s">
        <v>275</v>
      </c>
      <c r="AB81" t="s">
        <v>276</v>
      </c>
      <c r="AC81">
        <v>293</v>
      </c>
      <c r="AD81">
        <v>5</v>
      </c>
      <c r="AE81" t="s">
        <v>277</v>
      </c>
      <c r="AF81">
        <v>3.1937989999999998</v>
      </c>
      <c r="AG81">
        <v>100</v>
      </c>
      <c r="AH81">
        <v>28.8</v>
      </c>
      <c r="AI81">
        <v>1725</v>
      </c>
      <c r="AJ81">
        <v>800</v>
      </c>
      <c r="AK81">
        <v>1200</v>
      </c>
      <c r="AL81">
        <v>189.9</v>
      </c>
      <c r="AM81">
        <v>2.2000000000000002</v>
      </c>
      <c r="AN81" t="s">
        <v>273</v>
      </c>
      <c r="AO81" t="s">
        <v>278</v>
      </c>
      <c r="AP81" t="s">
        <v>291</v>
      </c>
      <c r="AQ81">
        <v>2.5</v>
      </c>
      <c r="AR81">
        <v>6</v>
      </c>
      <c r="AS81">
        <v>140</v>
      </c>
      <c r="AT81">
        <v>254.8</v>
      </c>
      <c r="AU81">
        <v>0.14535000000000001</v>
      </c>
      <c r="AV81">
        <v>36.1</v>
      </c>
      <c r="AW81">
        <v>238.9</v>
      </c>
      <c r="AX81" t="s">
        <v>280</v>
      </c>
      <c r="AY81">
        <v>0</v>
      </c>
      <c r="AZ81" t="s">
        <v>281</v>
      </c>
      <c r="BA81">
        <v>0.2</v>
      </c>
      <c r="BB81">
        <v>0.5</v>
      </c>
      <c r="BC81" t="s">
        <v>273</v>
      </c>
      <c r="BD81" t="s">
        <v>273</v>
      </c>
      <c r="BE81">
        <v>21.904527999999999</v>
      </c>
      <c r="BF81">
        <v>22.156745999999998</v>
      </c>
      <c r="BG81">
        <v>391.081751</v>
      </c>
      <c r="BH81" t="s">
        <v>273</v>
      </c>
      <c r="BI81">
        <v>28.655353000000002</v>
      </c>
      <c r="BJ81">
        <v>28.985302999999998</v>
      </c>
      <c r="BK81">
        <v>298.94803000000002</v>
      </c>
      <c r="BL81" t="s">
        <v>273</v>
      </c>
      <c r="BM81">
        <v>28.656677999999999</v>
      </c>
      <c r="BN81">
        <v>28.986643999999998</v>
      </c>
      <c r="BO81">
        <v>298.93420300000002</v>
      </c>
      <c r="BP81" t="s">
        <v>273</v>
      </c>
      <c r="BQ81">
        <v>16.931070999999999</v>
      </c>
      <c r="BR81">
        <v>17.126021999999999</v>
      </c>
      <c r="BS81">
        <v>505.96099099999998</v>
      </c>
      <c r="BT81" t="s">
        <v>273</v>
      </c>
      <c r="BU81">
        <v>7.7172020000000003</v>
      </c>
      <c r="BV81">
        <v>7.8060609999999997</v>
      </c>
      <c r="BW81">
        <v>1110.0475550000001</v>
      </c>
      <c r="BX81" t="s">
        <v>273</v>
      </c>
      <c r="BY81">
        <v>19.942029000000002</v>
      </c>
      <c r="BZ81">
        <v>22.188510000000001</v>
      </c>
      <c r="CA81">
        <v>23.059543999999999</v>
      </c>
      <c r="CB81">
        <v>28.656677999999999</v>
      </c>
      <c r="CC81">
        <v>11.243258000000001</v>
      </c>
      <c r="CD81">
        <v>19.794494</v>
      </c>
      <c r="CE81" t="s">
        <v>273</v>
      </c>
      <c r="CF81">
        <v>20.17165</v>
      </c>
      <c r="CG81">
        <v>22.443998000000001</v>
      </c>
      <c r="CH81">
        <v>23.325061999999999</v>
      </c>
      <c r="CI81">
        <v>28.986643999999998</v>
      </c>
      <c r="CJ81">
        <v>11.372718000000001</v>
      </c>
      <c r="CK81">
        <v>20.022416</v>
      </c>
      <c r="CL81" t="s">
        <v>273</v>
      </c>
      <c r="CM81">
        <v>429.56818199999998</v>
      </c>
      <c r="CN81">
        <v>386.07646199999999</v>
      </c>
      <c r="CO81">
        <v>371.49308300000001</v>
      </c>
      <c r="CP81">
        <v>298.93420300000002</v>
      </c>
      <c r="CQ81">
        <v>761.91981199999998</v>
      </c>
      <c r="CR81">
        <v>432.769903</v>
      </c>
      <c r="CS81" t="s">
        <v>273</v>
      </c>
      <c r="CT81">
        <v>511.13028700000001</v>
      </c>
      <c r="CU81">
        <v>494.16648300000003</v>
      </c>
      <c r="CV81">
        <v>441.95865300000003</v>
      </c>
      <c r="CW81">
        <v>1012.458345</v>
      </c>
      <c r="CX81">
        <v>448.22767199999998</v>
      </c>
      <c r="CY81">
        <v>890.345055</v>
      </c>
      <c r="CZ81" t="s">
        <v>273</v>
      </c>
      <c r="DA81">
        <v>3.606954</v>
      </c>
      <c r="DB81">
        <v>510.01</v>
      </c>
      <c r="DC81">
        <v>3.8800840000000001</v>
      </c>
      <c r="DD81">
        <v>864</v>
      </c>
      <c r="DE81">
        <v>3.606385</v>
      </c>
      <c r="DF81">
        <v>505</v>
      </c>
      <c r="DG81">
        <v>10.26698</v>
      </c>
      <c r="DH81">
        <v>765</v>
      </c>
      <c r="DI81">
        <v>1.783325</v>
      </c>
      <c r="DJ81">
        <v>235</v>
      </c>
      <c r="DK81">
        <v>6.2365219999999999</v>
      </c>
      <c r="DL81">
        <v>365</v>
      </c>
      <c r="DM81" t="s">
        <v>273</v>
      </c>
      <c r="DN81">
        <v>5.1577310000000001</v>
      </c>
      <c r="DO81">
        <v>13.610753000000001</v>
      </c>
      <c r="DP81">
        <v>6.9326650000000001</v>
      </c>
      <c r="DQ81" t="s">
        <v>282</v>
      </c>
      <c r="DR81">
        <v>8.4401620000000008</v>
      </c>
      <c r="DS81">
        <v>20.005053</v>
      </c>
      <c r="DT81">
        <v>48.988633</v>
      </c>
      <c r="DU81">
        <v>73.363493000000005</v>
      </c>
      <c r="DV81">
        <v>105.254769</v>
      </c>
      <c r="DW81" t="s">
        <v>283</v>
      </c>
      <c r="DX81" t="s">
        <v>273</v>
      </c>
      <c r="DY81">
        <v>26.201574999999998</v>
      </c>
      <c r="DZ81">
        <v>6.3892000000000004E-2</v>
      </c>
      <c r="EA81">
        <v>1.5545249999999999</v>
      </c>
      <c r="EB81">
        <v>1.2870980000000001</v>
      </c>
      <c r="EC81">
        <v>82.796864999999997</v>
      </c>
      <c r="ED81">
        <v>21.363409999999998</v>
      </c>
      <c r="EE81">
        <v>786.06698100000006</v>
      </c>
      <c r="EF81">
        <v>8.9468549999999993</v>
      </c>
      <c r="EG81">
        <v>30</v>
      </c>
      <c r="EH81">
        <v>30</v>
      </c>
      <c r="EI81">
        <v>25</v>
      </c>
      <c r="EJ81">
        <v>30</v>
      </c>
      <c r="EK81" t="s">
        <v>273</v>
      </c>
      <c r="EL81" t="s">
        <v>273</v>
      </c>
      <c r="EM81">
        <v>26.107831999999998</v>
      </c>
      <c r="EN81">
        <v>3.3938000000000003E-2</v>
      </c>
      <c r="EO81">
        <v>1.497555</v>
      </c>
      <c r="EP81">
        <v>1.1682870000000001</v>
      </c>
      <c r="EQ81">
        <v>78.012935999999996</v>
      </c>
      <c r="ER81">
        <v>19.884204</v>
      </c>
      <c r="ES81">
        <v>657.56366800000001</v>
      </c>
      <c r="ET81">
        <v>4.7524119999999996</v>
      </c>
      <c r="EU81">
        <v>28</v>
      </c>
      <c r="EV81">
        <v>28</v>
      </c>
      <c r="EW81">
        <v>27</v>
      </c>
      <c r="EX81">
        <v>28</v>
      </c>
      <c r="EY81" t="s">
        <v>273</v>
      </c>
      <c r="EZ81" t="s">
        <v>273</v>
      </c>
      <c r="FA81">
        <v>30.299399999999999</v>
      </c>
      <c r="FB81">
        <v>6.4520999999999995E-2</v>
      </c>
      <c r="FC81">
        <v>1.55437</v>
      </c>
      <c r="FD81">
        <v>1.2870170000000001</v>
      </c>
      <c r="FE81">
        <v>82.799943999999996</v>
      </c>
      <c r="FF81">
        <v>24.705385</v>
      </c>
      <c r="FG81">
        <v>786.14217599999995</v>
      </c>
      <c r="FH81">
        <v>9.0350520000000003</v>
      </c>
      <c r="FI81">
        <v>30</v>
      </c>
      <c r="FJ81">
        <v>30</v>
      </c>
      <c r="FK81">
        <v>25</v>
      </c>
      <c r="FL81">
        <v>30</v>
      </c>
      <c r="FM81" t="s">
        <v>273</v>
      </c>
      <c r="FN81" t="s">
        <v>273</v>
      </c>
      <c r="FO81">
        <v>31.408331</v>
      </c>
      <c r="FP81">
        <v>0.107698</v>
      </c>
      <c r="FQ81">
        <v>3.6911420000000001</v>
      </c>
      <c r="FR81">
        <v>3.2231190000000001</v>
      </c>
      <c r="FS81">
        <v>87.320372000000006</v>
      </c>
      <c r="FT81">
        <v>27.269375</v>
      </c>
      <c r="FU81">
        <v>698.23574699999995</v>
      </c>
      <c r="FV81">
        <v>15.081072000000001</v>
      </c>
      <c r="FW81">
        <v>31</v>
      </c>
      <c r="FX81">
        <v>31</v>
      </c>
      <c r="FY81">
        <v>30</v>
      </c>
      <c r="FZ81">
        <v>28</v>
      </c>
      <c r="GA81" t="s">
        <v>273</v>
      </c>
      <c r="GB81" t="s">
        <v>273</v>
      </c>
      <c r="GC81">
        <v>30.463086000000001</v>
      </c>
      <c r="GD81">
        <v>0.136764</v>
      </c>
      <c r="GE81">
        <v>1.5849340000000001</v>
      </c>
      <c r="GF81">
        <v>1.2831630000000001</v>
      </c>
      <c r="GG81">
        <v>80.960031000000001</v>
      </c>
      <c r="GH81">
        <v>24.028112</v>
      </c>
      <c r="GI81">
        <v>1568.1441669999999</v>
      </c>
      <c r="GJ81">
        <v>19.151268999999999</v>
      </c>
      <c r="GK81">
        <v>25</v>
      </c>
      <c r="GL81">
        <v>25</v>
      </c>
      <c r="GM81">
        <v>15</v>
      </c>
      <c r="GN81">
        <v>25</v>
      </c>
      <c r="GO81" t="s">
        <v>273</v>
      </c>
      <c r="GP81" t="s">
        <v>273</v>
      </c>
      <c r="GQ81">
        <v>32.102285999999999</v>
      </c>
      <c r="GR81">
        <v>0.200659</v>
      </c>
      <c r="GS81">
        <v>3.317669</v>
      </c>
      <c r="GT81">
        <v>2.8701509999999999</v>
      </c>
      <c r="GU81">
        <v>86.511087000000003</v>
      </c>
      <c r="GV81">
        <v>27.566337999999998</v>
      </c>
      <c r="GW81">
        <v>1021.851195</v>
      </c>
      <c r="GX81">
        <v>28.098693000000001</v>
      </c>
      <c r="GY81">
        <v>103</v>
      </c>
      <c r="GZ81">
        <v>103</v>
      </c>
      <c r="HA81">
        <v>40</v>
      </c>
      <c r="HB81">
        <v>39</v>
      </c>
      <c r="HC81" t="s">
        <v>273</v>
      </c>
      <c r="HD81" t="s">
        <v>273</v>
      </c>
      <c r="HE81">
        <v>31</v>
      </c>
      <c r="HF81">
        <v>5.0000000000000001E-4</v>
      </c>
      <c r="HG81">
        <v>4.7499999999999999E-3</v>
      </c>
      <c r="HH81">
        <v>3.2258000000000002E-2</v>
      </c>
      <c r="HI81">
        <v>6000</v>
      </c>
    </row>
    <row r="82" spans="1:217" x14ac:dyDescent="0.3">
      <c r="A82">
        <v>521</v>
      </c>
      <c r="B82" t="s">
        <v>269</v>
      </c>
      <c r="F82" t="s">
        <v>270</v>
      </c>
      <c r="G82" t="s">
        <v>288</v>
      </c>
      <c r="H82" t="s">
        <v>289</v>
      </c>
      <c r="I82">
        <v>8000</v>
      </c>
      <c r="J82">
        <v>1</v>
      </c>
      <c r="K82">
        <v>51.387500000000003</v>
      </c>
      <c r="L82">
        <v>0.22</v>
      </c>
      <c r="M82">
        <v>4.8030999999999997E-2</v>
      </c>
      <c r="N82">
        <v>0</v>
      </c>
      <c r="O82">
        <v>0</v>
      </c>
      <c r="P82">
        <v>0</v>
      </c>
      <c r="Q82">
        <v>24.33</v>
      </c>
      <c r="R82">
        <v>1</v>
      </c>
      <c r="S82">
        <v>1</v>
      </c>
      <c r="T82">
        <v>1</v>
      </c>
      <c r="U82">
        <v>1</v>
      </c>
      <c r="V82">
        <v>100</v>
      </c>
      <c r="W82" t="s">
        <v>273</v>
      </c>
      <c r="X82" t="s">
        <v>274</v>
      </c>
      <c r="Y82" t="s">
        <v>274</v>
      </c>
      <c r="Z82" t="s">
        <v>273</v>
      </c>
      <c r="AA82" t="s">
        <v>275</v>
      </c>
      <c r="AB82" t="s">
        <v>276</v>
      </c>
      <c r="AC82">
        <v>399</v>
      </c>
      <c r="AD82">
        <v>5</v>
      </c>
      <c r="AE82" t="s">
        <v>277</v>
      </c>
      <c r="AF82">
        <v>3.0734530000000002</v>
      </c>
      <c r="AG82">
        <v>100</v>
      </c>
      <c r="AH82">
        <v>27.7</v>
      </c>
      <c r="AI82">
        <v>1660</v>
      </c>
      <c r="AJ82">
        <v>800</v>
      </c>
      <c r="AK82">
        <v>1200</v>
      </c>
      <c r="AL82">
        <v>162.69999999999999</v>
      </c>
      <c r="AM82">
        <v>2.2000000000000002</v>
      </c>
      <c r="AN82" t="s">
        <v>273</v>
      </c>
      <c r="AO82" t="s">
        <v>278</v>
      </c>
      <c r="AP82" t="s">
        <v>292</v>
      </c>
      <c r="AQ82">
        <v>3.4</v>
      </c>
      <c r="AR82">
        <v>6</v>
      </c>
      <c r="AS82">
        <v>190.7</v>
      </c>
      <c r="AT82">
        <v>347</v>
      </c>
      <c r="AU82">
        <v>0.19767599999999999</v>
      </c>
      <c r="AV82">
        <v>36.5</v>
      </c>
      <c r="AW82">
        <v>235.8</v>
      </c>
      <c r="AX82" t="s">
        <v>280</v>
      </c>
      <c r="AY82">
        <v>0</v>
      </c>
      <c r="AZ82" t="s">
        <v>281</v>
      </c>
      <c r="BA82">
        <v>0.2</v>
      </c>
      <c r="BB82">
        <v>0.5</v>
      </c>
      <c r="BC82" t="s">
        <v>273</v>
      </c>
      <c r="BD82" t="s">
        <v>273</v>
      </c>
      <c r="BE82">
        <v>16.835998</v>
      </c>
      <c r="BF82">
        <v>17.029855000000001</v>
      </c>
      <c r="BG82">
        <v>508.81813399999999</v>
      </c>
      <c r="BH82" t="s">
        <v>273</v>
      </c>
      <c r="BI82">
        <v>21.996881999999999</v>
      </c>
      <c r="BJ82">
        <v>22.250164000000002</v>
      </c>
      <c r="BK82">
        <v>389.439797</v>
      </c>
      <c r="BL82" t="s">
        <v>273</v>
      </c>
      <c r="BM82">
        <v>21.997779000000001</v>
      </c>
      <c r="BN82">
        <v>22.251071</v>
      </c>
      <c r="BO82">
        <v>389.42391099999998</v>
      </c>
      <c r="BP82" t="s">
        <v>273</v>
      </c>
      <c r="BQ82">
        <v>12.8226</v>
      </c>
      <c r="BR82">
        <v>12.970245</v>
      </c>
      <c r="BS82">
        <v>668.07523900000001</v>
      </c>
      <c r="BT82" t="s">
        <v>273</v>
      </c>
      <c r="BU82">
        <v>5.6792239999999996</v>
      </c>
      <c r="BV82">
        <v>5.7446169999999999</v>
      </c>
      <c r="BW82">
        <v>1508.3858310000001</v>
      </c>
      <c r="BX82" t="s">
        <v>273</v>
      </c>
      <c r="BY82">
        <v>15.248279</v>
      </c>
      <c r="BZ82">
        <v>17.140943</v>
      </c>
      <c r="CA82">
        <v>17.628852999999999</v>
      </c>
      <c r="CB82">
        <v>21.997779000000001</v>
      </c>
      <c r="CC82">
        <v>8.5165009999999999</v>
      </c>
      <c r="CD82">
        <v>14.993436000000001</v>
      </c>
      <c r="CE82" t="s">
        <v>273</v>
      </c>
      <c r="CF82">
        <v>15.423855</v>
      </c>
      <c r="CG82">
        <v>17.338311999999998</v>
      </c>
      <c r="CH82">
        <v>17.83184</v>
      </c>
      <c r="CI82">
        <v>22.251071</v>
      </c>
      <c r="CJ82">
        <v>8.6145630000000004</v>
      </c>
      <c r="CK82">
        <v>15.166077</v>
      </c>
      <c r="CL82" t="s">
        <v>273</v>
      </c>
      <c r="CM82">
        <v>561.79854899999998</v>
      </c>
      <c r="CN82">
        <v>499.766032</v>
      </c>
      <c r="CO82">
        <v>485.93411900000001</v>
      </c>
      <c r="CP82">
        <v>389.42391099999998</v>
      </c>
      <c r="CQ82">
        <v>1005.86634</v>
      </c>
      <c r="CR82">
        <v>571.34742600000004</v>
      </c>
      <c r="CS82" t="s">
        <v>273</v>
      </c>
      <c r="CT82">
        <v>668.55649200000005</v>
      </c>
      <c r="CU82">
        <v>639.82108100000005</v>
      </c>
      <c r="CV82">
        <v>578.18753100000004</v>
      </c>
      <c r="CW82">
        <v>1318.9335510000001</v>
      </c>
      <c r="CX82">
        <v>592.67181200000005</v>
      </c>
      <c r="CY82">
        <v>1175.6312009999999</v>
      </c>
      <c r="CZ82" t="s">
        <v>273</v>
      </c>
      <c r="DA82">
        <v>3.6074359999999999</v>
      </c>
      <c r="DB82">
        <v>510.01</v>
      </c>
      <c r="DC82">
        <v>3.8809040000000001</v>
      </c>
      <c r="DD82">
        <v>864</v>
      </c>
      <c r="DE82">
        <v>3.6068859999999998</v>
      </c>
      <c r="DF82">
        <v>505</v>
      </c>
      <c r="DG82">
        <v>10.26695</v>
      </c>
      <c r="DH82">
        <v>765</v>
      </c>
      <c r="DI82">
        <v>1.7861389999999999</v>
      </c>
      <c r="DJ82">
        <v>235</v>
      </c>
      <c r="DK82">
        <v>6.23752</v>
      </c>
      <c r="DL82">
        <v>365</v>
      </c>
      <c r="DM82" t="s">
        <v>273</v>
      </c>
      <c r="DN82">
        <v>5.1545920000000001</v>
      </c>
      <c r="DO82">
        <v>13.542414000000001</v>
      </c>
      <c r="DP82">
        <v>6.8641209999999999</v>
      </c>
      <c r="DQ82" t="s">
        <v>282</v>
      </c>
      <c r="DR82">
        <v>7.9424510000000001</v>
      </c>
      <c r="DS82">
        <v>19.928720999999999</v>
      </c>
      <c r="DT82">
        <v>48.277706999999999</v>
      </c>
      <c r="DU82">
        <v>74.021640000000005</v>
      </c>
      <c r="DV82">
        <v>106.976381</v>
      </c>
      <c r="DW82" t="s">
        <v>283</v>
      </c>
      <c r="DX82" t="s">
        <v>273</v>
      </c>
      <c r="DY82">
        <v>26.87678</v>
      </c>
      <c r="DZ82">
        <v>6.2537999999999996E-2</v>
      </c>
      <c r="EA82">
        <v>2.0857109999999999</v>
      </c>
      <c r="EB82">
        <v>1.7161500000000001</v>
      </c>
      <c r="EC82">
        <v>82.281290999999996</v>
      </c>
      <c r="ED82">
        <v>21.773577</v>
      </c>
      <c r="EE82">
        <v>1047.773455</v>
      </c>
      <c r="EF82">
        <v>11.927137</v>
      </c>
      <c r="EG82">
        <v>28</v>
      </c>
      <c r="EH82">
        <v>28</v>
      </c>
      <c r="EI82">
        <v>25</v>
      </c>
      <c r="EJ82">
        <v>28</v>
      </c>
      <c r="EK82" t="s">
        <v>273</v>
      </c>
      <c r="EL82" t="s">
        <v>273</v>
      </c>
      <c r="EM82">
        <v>26.996839999999999</v>
      </c>
      <c r="EN82">
        <v>3.3212999999999999E-2</v>
      </c>
      <c r="EO82">
        <v>2.0049809999999999</v>
      </c>
      <c r="EP82">
        <v>1.558125</v>
      </c>
      <c r="EQ82">
        <v>77.712720000000004</v>
      </c>
      <c r="ER82">
        <v>20.469372</v>
      </c>
      <c r="ES82">
        <v>876.24938199999997</v>
      </c>
      <c r="ET82">
        <v>6.3342590000000003</v>
      </c>
      <c r="EU82">
        <v>29</v>
      </c>
      <c r="EV82">
        <v>29</v>
      </c>
      <c r="EW82">
        <v>28</v>
      </c>
      <c r="EX82">
        <v>29</v>
      </c>
      <c r="EY82" t="s">
        <v>273</v>
      </c>
      <c r="EZ82" t="s">
        <v>273</v>
      </c>
      <c r="FA82">
        <v>31.074034999999999</v>
      </c>
      <c r="FB82">
        <v>6.3155000000000003E-2</v>
      </c>
      <c r="FC82">
        <v>2.0854750000000002</v>
      </c>
      <c r="FD82">
        <v>1.7160500000000001</v>
      </c>
      <c r="FE82">
        <v>82.285813000000005</v>
      </c>
      <c r="FF82">
        <v>25.175211999999998</v>
      </c>
      <c r="FG82">
        <v>1047.874546</v>
      </c>
      <c r="FH82">
        <v>12.044791</v>
      </c>
      <c r="FI82">
        <v>28</v>
      </c>
      <c r="FJ82">
        <v>28</v>
      </c>
      <c r="FK82">
        <v>25</v>
      </c>
      <c r="FL82">
        <v>28</v>
      </c>
      <c r="FM82" t="s">
        <v>273</v>
      </c>
      <c r="FN82" t="s">
        <v>273</v>
      </c>
      <c r="FO82">
        <v>32.294987999999996</v>
      </c>
      <c r="FP82">
        <v>0.105341</v>
      </c>
      <c r="FQ82">
        <v>4.9442079999999997</v>
      </c>
      <c r="FR82">
        <v>4.2932709999999998</v>
      </c>
      <c r="FS82">
        <v>86.834345999999996</v>
      </c>
      <c r="FT82">
        <v>27.886105000000001</v>
      </c>
      <c r="FU82">
        <v>930.16869699999995</v>
      </c>
      <c r="FV82">
        <v>20.090494</v>
      </c>
      <c r="FW82">
        <v>37</v>
      </c>
      <c r="FX82">
        <v>37</v>
      </c>
      <c r="FY82">
        <v>34</v>
      </c>
      <c r="FZ82">
        <v>32</v>
      </c>
      <c r="GA82" t="s">
        <v>273</v>
      </c>
      <c r="GB82" t="s">
        <v>273</v>
      </c>
      <c r="GC82">
        <v>30.655104000000001</v>
      </c>
      <c r="GD82">
        <v>0.13424</v>
      </c>
      <c r="GE82">
        <v>2.1088990000000001</v>
      </c>
      <c r="GF82">
        <v>1.7155069999999999</v>
      </c>
      <c r="GG82">
        <v>81.346107000000003</v>
      </c>
      <c r="GH82">
        <v>24.292954999999999</v>
      </c>
      <c r="GI82">
        <v>2093.040555</v>
      </c>
      <c r="GJ82">
        <v>25.601994999999999</v>
      </c>
      <c r="GK82">
        <v>25</v>
      </c>
      <c r="GL82">
        <v>25</v>
      </c>
      <c r="GM82">
        <v>16</v>
      </c>
      <c r="GN82">
        <v>24</v>
      </c>
      <c r="GO82" t="s">
        <v>273</v>
      </c>
      <c r="GP82" t="s">
        <v>273</v>
      </c>
      <c r="GQ82">
        <v>32.575049999999997</v>
      </c>
      <c r="GR82">
        <v>0.196683</v>
      </c>
      <c r="GS82">
        <v>4.4452369999999997</v>
      </c>
      <c r="GT82">
        <v>3.8326380000000002</v>
      </c>
      <c r="GU82">
        <v>86.218984000000006</v>
      </c>
      <c r="GV82">
        <v>27.870142999999999</v>
      </c>
      <c r="GW82">
        <v>1363.9264410000001</v>
      </c>
      <c r="GX82">
        <v>37.511026000000001</v>
      </c>
      <c r="GY82">
        <v>76</v>
      </c>
      <c r="GZ82">
        <v>76</v>
      </c>
      <c r="HA82">
        <v>48</v>
      </c>
      <c r="HB82">
        <v>45</v>
      </c>
      <c r="HC82" t="s">
        <v>273</v>
      </c>
      <c r="HD82" t="s">
        <v>273</v>
      </c>
      <c r="HE82">
        <v>31</v>
      </c>
      <c r="HF82">
        <v>5.0000000000000001E-4</v>
      </c>
      <c r="HG82">
        <v>4.7499999999999999E-3</v>
      </c>
      <c r="HH82">
        <v>3.2258000000000002E-2</v>
      </c>
      <c r="HI82">
        <v>8000</v>
      </c>
    </row>
    <row r="83" spans="1:217" x14ac:dyDescent="0.3">
      <c r="A83">
        <v>522</v>
      </c>
      <c r="B83" t="s">
        <v>269</v>
      </c>
      <c r="F83" t="s">
        <v>270</v>
      </c>
      <c r="G83" t="s">
        <v>288</v>
      </c>
      <c r="H83" t="s">
        <v>289</v>
      </c>
      <c r="I83">
        <v>10000</v>
      </c>
      <c r="J83">
        <v>1</v>
      </c>
      <c r="K83">
        <v>65.059375000000003</v>
      </c>
      <c r="L83">
        <v>0.22</v>
      </c>
      <c r="M83">
        <v>6.0727000000000003E-2</v>
      </c>
      <c r="N83">
        <v>0</v>
      </c>
      <c r="O83">
        <v>0</v>
      </c>
      <c r="P83">
        <v>0</v>
      </c>
      <c r="Q83">
        <v>30.38</v>
      </c>
      <c r="R83">
        <v>1</v>
      </c>
      <c r="S83">
        <v>1</v>
      </c>
      <c r="T83">
        <v>1</v>
      </c>
      <c r="U83">
        <v>1</v>
      </c>
      <c r="V83">
        <v>100</v>
      </c>
      <c r="W83" t="s">
        <v>273</v>
      </c>
      <c r="X83" t="s">
        <v>274</v>
      </c>
      <c r="Y83" t="s">
        <v>274</v>
      </c>
      <c r="Z83" t="s">
        <v>273</v>
      </c>
      <c r="AA83" t="s">
        <v>275</v>
      </c>
      <c r="AB83" t="s">
        <v>276</v>
      </c>
      <c r="AC83">
        <v>505</v>
      </c>
      <c r="AD83">
        <v>5</v>
      </c>
      <c r="AE83" t="s">
        <v>277</v>
      </c>
      <c r="AF83">
        <v>2.9068200000000002</v>
      </c>
      <c r="AG83">
        <v>100</v>
      </c>
      <c r="AH83">
        <v>26.2</v>
      </c>
      <c r="AI83">
        <v>1570</v>
      </c>
      <c r="AJ83">
        <v>800</v>
      </c>
      <c r="AK83">
        <v>1200</v>
      </c>
      <c r="AL83">
        <v>144.6</v>
      </c>
      <c r="AM83">
        <v>2.2000000000000002</v>
      </c>
      <c r="AN83" t="s">
        <v>273</v>
      </c>
      <c r="AO83" t="s">
        <v>278</v>
      </c>
      <c r="AP83" t="s">
        <v>290</v>
      </c>
      <c r="AQ83">
        <v>4.3</v>
      </c>
      <c r="AR83">
        <v>6</v>
      </c>
      <c r="AS83">
        <v>241.4</v>
      </c>
      <c r="AT83">
        <v>439.2</v>
      </c>
      <c r="AU83">
        <v>0.250002</v>
      </c>
      <c r="AV83">
        <v>36.9</v>
      </c>
      <c r="AW83">
        <v>233.6</v>
      </c>
      <c r="AX83" t="s">
        <v>280</v>
      </c>
      <c r="AY83">
        <v>0</v>
      </c>
      <c r="AZ83" t="s">
        <v>281</v>
      </c>
      <c r="BA83">
        <v>0.2</v>
      </c>
      <c r="BB83">
        <v>0.5</v>
      </c>
      <c r="BC83" t="s">
        <v>273</v>
      </c>
      <c r="BD83" t="s">
        <v>273</v>
      </c>
      <c r="BE83">
        <v>13.668060000000001</v>
      </c>
      <c r="BF83">
        <v>13.82544</v>
      </c>
      <c r="BG83">
        <v>626.75033399999995</v>
      </c>
      <c r="BH83" t="s">
        <v>273</v>
      </c>
      <c r="BI83">
        <v>17.711599</v>
      </c>
      <c r="BJ83">
        <v>17.915538000000002</v>
      </c>
      <c r="BK83">
        <v>483.66390799999999</v>
      </c>
      <c r="BL83" t="s">
        <v>273</v>
      </c>
      <c r="BM83">
        <v>17.712114</v>
      </c>
      <c r="BN83">
        <v>17.916059000000001</v>
      </c>
      <c r="BO83">
        <v>483.64984900000002</v>
      </c>
      <c r="BP83" t="s">
        <v>273</v>
      </c>
      <c r="BQ83">
        <v>10.278444</v>
      </c>
      <c r="BR83">
        <v>10.396794999999999</v>
      </c>
      <c r="BS83">
        <v>833.43947300000002</v>
      </c>
      <c r="BT83" t="s">
        <v>273</v>
      </c>
      <c r="BU83">
        <v>4.3160040000000004</v>
      </c>
      <c r="BV83">
        <v>4.3657009999999996</v>
      </c>
      <c r="BW83">
        <v>1984.8129369999999</v>
      </c>
      <c r="BX83" t="s">
        <v>273</v>
      </c>
      <c r="BY83">
        <v>12.364566</v>
      </c>
      <c r="BZ83">
        <v>13.933019</v>
      </c>
      <c r="CA83">
        <v>14.291728000000001</v>
      </c>
      <c r="CB83">
        <v>17.712114</v>
      </c>
      <c r="CC83">
        <v>6.8646140000000004</v>
      </c>
      <c r="CD83">
        <v>11.984958000000001</v>
      </c>
      <c r="CE83" t="s">
        <v>273</v>
      </c>
      <c r="CF83">
        <v>12.506937000000001</v>
      </c>
      <c r="CG83">
        <v>14.093450000000001</v>
      </c>
      <c r="CH83">
        <v>14.456289</v>
      </c>
      <c r="CI83">
        <v>17.916059000000001</v>
      </c>
      <c r="CJ83">
        <v>6.9436559999999998</v>
      </c>
      <c r="CK83">
        <v>12.122958000000001</v>
      </c>
      <c r="CL83" t="s">
        <v>273</v>
      </c>
      <c r="CM83">
        <v>692.82342500000004</v>
      </c>
      <c r="CN83">
        <v>614.83167900000001</v>
      </c>
      <c r="CO83">
        <v>599.39995299999998</v>
      </c>
      <c r="CP83">
        <v>483.64984900000002</v>
      </c>
      <c r="CQ83">
        <v>1247.916023</v>
      </c>
      <c r="CR83">
        <v>714.76771299999996</v>
      </c>
      <c r="CS83" t="s">
        <v>273</v>
      </c>
      <c r="CT83">
        <v>824.49274000000003</v>
      </c>
      <c r="CU83">
        <v>787.16122099999995</v>
      </c>
      <c r="CV83">
        <v>713.20161299999995</v>
      </c>
      <c r="CW83">
        <v>1638.1328470000001</v>
      </c>
      <c r="CX83">
        <v>735.15293899999995</v>
      </c>
      <c r="CY83">
        <v>1470.6517409999999</v>
      </c>
      <c r="CZ83" t="s">
        <v>273</v>
      </c>
      <c r="DA83">
        <v>3.6074920000000001</v>
      </c>
      <c r="DB83">
        <v>510.01</v>
      </c>
      <c r="DC83">
        <v>3.8810440000000002</v>
      </c>
      <c r="DD83">
        <v>864</v>
      </c>
      <c r="DE83">
        <v>3.606922</v>
      </c>
      <c r="DF83">
        <v>505</v>
      </c>
      <c r="DG83">
        <v>10.26737</v>
      </c>
      <c r="DH83">
        <v>765</v>
      </c>
      <c r="DI83">
        <v>1.785803</v>
      </c>
      <c r="DJ83">
        <v>235</v>
      </c>
      <c r="DK83">
        <v>6.2371480000000004</v>
      </c>
      <c r="DL83">
        <v>365</v>
      </c>
      <c r="DM83" t="s">
        <v>273</v>
      </c>
      <c r="DN83">
        <v>5.2860719999999999</v>
      </c>
      <c r="DO83">
        <v>13.773622</v>
      </c>
      <c r="DP83">
        <v>7.2075050000000003</v>
      </c>
      <c r="DQ83" t="s">
        <v>282</v>
      </c>
      <c r="DR83">
        <v>8.1206600000000009</v>
      </c>
      <c r="DS83">
        <v>20.030290999999998</v>
      </c>
      <c r="DT83">
        <v>49.132078999999997</v>
      </c>
      <c r="DU83">
        <v>74.832672000000002</v>
      </c>
      <c r="DV83">
        <v>112.428487</v>
      </c>
      <c r="DW83" t="s">
        <v>283</v>
      </c>
      <c r="DX83" t="s">
        <v>273</v>
      </c>
      <c r="DY83">
        <v>27.403516</v>
      </c>
      <c r="DZ83">
        <v>6.1709E-2</v>
      </c>
      <c r="EA83">
        <v>2.6225990000000001</v>
      </c>
      <c r="EB83">
        <v>2.143824</v>
      </c>
      <c r="EC83">
        <v>81.744265999999996</v>
      </c>
      <c r="ED83">
        <v>22.051614000000001</v>
      </c>
      <c r="EE83">
        <v>1308.639664</v>
      </c>
      <c r="EF83">
        <v>14.896893</v>
      </c>
      <c r="EG83">
        <v>27</v>
      </c>
      <c r="EH83">
        <v>27</v>
      </c>
      <c r="EI83">
        <v>25</v>
      </c>
      <c r="EJ83">
        <v>27</v>
      </c>
      <c r="EK83" t="s">
        <v>273</v>
      </c>
      <c r="EL83" t="s">
        <v>273</v>
      </c>
      <c r="EM83">
        <v>27.498189</v>
      </c>
      <c r="EN83">
        <v>3.2798000000000001E-2</v>
      </c>
      <c r="EO83">
        <v>2.512502</v>
      </c>
      <c r="EP83">
        <v>1.9494370000000001</v>
      </c>
      <c r="EQ83">
        <v>77.589444999999998</v>
      </c>
      <c r="ER83">
        <v>20.796782</v>
      </c>
      <c r="ES83">
        <v>1095.2383580000001</v>
      </c>
      <c r="ET83">
        <v>7.9175789999999999</v>
      </c>
      <c r="EU83">
        <v>27</v>
      </c>
      <c r="EV83">
        <v>27</v>
      </c>
      <c r="EW83">
        <v>25</v>
      </c>
      <c r="EX83">
        <v>27</v>
      </c>
      <c r="EY83" t="s">
        <v>273</v>
      </c>
      <c r="EZ83" t="s">
        <v>273</v>
      </c>
      <c r="FA83">
        <v>31.678491000000001</v>
      </c>
      <c r="FB83">
        <v>6.2317999999999998E-2</v>
      </c>
      <c r="FC83">
        <v>2.6225000000000001</v>
      </c>
      <c r="FD83">
        <v>2.1437059999999999</v>
      </c>
      <c r="FE83">
        <v>81.742823999999999</v>
      </c>
      <c r="FF83">
        <v>25.491209999999999</v>
      </c>
      <c r="FG83">
        <v>1308.7776799999999</v>
      </c>
      <c r="FH83">
        <v>15.043889999999999</v>
      </c>
      <c r="FI83">
        <v>27</v>
      </c>
      <c r="FJ83">
        <v>27</v>
      </c>
      <c r="FK83">
        <v>25</v>
      </c>
      <c r="FL83">
        <v>27</v>
      </c>
      <c r="FM83" t="s">
        <v>273</v>
      </c>
      <c r="FN83" t="s">
        <v>273</v>
      </c>
      <c r="FO83">
        <v>32.627518000000002</v>
      </c>
      <c r="FP83">
        <v>0.103968</v>
      </c>
      <c r="FQ83">
        <v>6.2040009999999999</v>
      </c>
      <c r="FR83">
        <v>5.3629490000000004</v>
      </c>
      <c r="FS83">
        <v>86.443392000000003</v>
      </c>
      <c r="FT83">
        <v>28.049022999999998</v>
      </c>
      <c r="FU83">
        <v>1161.983984</v>
      </c>
      <c r="FV83">
        <v>25.098444000000001</v>
      </c>
      <c r="FW83">
        <v>29</v>
      </c>
      <c r="FX83">
        <v>29</v>
      </c>
      <c r="FY83">
        <v>29</v>
      </c>
      <c r="FZ83">
        <v>29</v>
      </c>
      <c r="GA83" t="s">
        <v>273</v>
      </c>
      <c r="GB83" t="s">
        <v>273</v>
      </c>
      <c r="GC83">
        <v>31.008572000000001</v>
      </c>
      <c r="GD83">
        <v>0.13256100000000001</v>
      </c>
      <c r="GE83">
        <v>2.6460509999999999</v>
      </c>
      <c r="GF83">
        <v>2.144272</v>
      </c>
      <c r="GG83">
        <v>81.036711999999994</v>
      </c>
      <c r="GH83">
        <v>24.479648999999998</v>
      </c>
      <c r="GI83">
        <v>2616.6596</v>
      </c>
      <c r="GJ83">
        <v>32.000866000000002</v>
      </c>
      <c r="GK83">
        <v>29</v>
      </c>
      <c r="GL83">
        <v>29</v>
      </c>
      <c r="GM83">
        <v>16</v>
      </c>
      <c r="GN83">
        <v>25</v>
      </c>
      <c r="GO83" t="s">
        <v>273</v>
      </c>
      <c r="GP83" t="s">
        <v>273</v>
      </c>
      <c r="GQ83">
        <v>32.869678</v>
      </c>
      <c r="GR83">
        <v>0.19433600000000001</v>
      </c>
      <c r="GS83">
        <v>5.6110480000000003</v>
      </c>
      <c r="GT83">
        <v>4.7922320000000003</v>
      </c>
      <c r="GU83">
        <v>85.407071999999999</v>
      </c>
      <c r="GV83">
        <v>27.863824999999999</v>
      </c>
      <c r="GW83">
        <v>1705.914258</v>
      </c>
      <c r="GX83">
        <v>46.913654999999999</v>
      </c>
      <c r="GY83">
        <v>59</v>
      </c>
      <c r="GZ83">
        <v>59</v>
      </c>
      <c r="HA83">
        <v>50</v>
      </c>
      <c r="HB83">
        <v>45</v>
      </c>
      <c r="HC83" t="s">
        <v>273</v>
      </c>
      <c r="HD83" t="s">
        <v>273</v>
      </c>
      <c r="HE83">
        <v>31</v>
      </c>
      <c r="HF83">
        <v>5.0000000000000001E-4</v>
      </c>
      <c r="HG83">
        <v>4.7499999999999999E-3</v>
      </c>
      <c r="HH83">
        <v>3.2258000000000002E-2</v>
      </c>
      <c r="HI83">
        <v>10000</v>
      </c>
    </row>
    <row r="84" spans="1:217" x14ac:dyDescent="0.3">
      <c r="A84">
        <v>535</v>
      </c>
      <c r="B84" t="s">
        <v>269</v>
      </c>
      <c r="F84" t="s">
        <v>270</v>
      </c>
      <c r="G84" t="s">
        <v>288</v>
      </c>
      <c r="H84" t="s">
        <v>289</v>
      </c>
      <c r="I84">
        <v>3375</v>
      </c>
      <c r="J84">
        <v>1</v>
      </c>
      <c r="K84">
        <v>15.157031</v>
      </c>
      <c r="L84">
        <v>0.22</v>
      </c>
      <c r="M84">
        <v>3.0209E-2</v>
      </c>
      <c r="N84">
        <v>0</v>
      </c>
      <c r="O84">
        <v>0</v>
      </c>
      <c r="P84">
        <v>0</v>
      </c>
      <c r="Q84">
        <v>13.56</v>
      </c>
      <c r="R84">
        <v>1</v>
      </c>
      <c r="S84">
        <v>1</v>
      </c>
      <c r="T84">
        <v>1</v>
      </c>
      <c r="U84">
        <v>1</v>
      </c>
      <c r="V84">
        <v>100</v>
      </c>
      <c r="W84" t="s">
        <v>273</v>
      </c>
      <c r="X84" t="s">
        <v>274</v>
      </c>
      <c r="Y84" t="s">
        <v>274</v>
      </c>
      <c r="Z84" t="s">
        <v>273</v>
      </c>
      <c r="AA84" t="s">
        <v>275</v>
      </c>
      <c r="AB84" t="s">
        <v>276</v>
      </c>
      <c r="AC84">
        <v>293</v>
      </c>
      <c r="AD84">
        <v>5</v>
      </c>
      <c r="AE84" t="s">
        <v>277</v>
      </c>
      <c r="AF84">
        <v>3.1937989999999998</v>
      </c>
      <c r="AG84">
        <v>100</v>
      </c>
      <c r="AH84">
        <v>28.8</v>
      </c>
      <c r="AI84">
        <v>1725</v>
      </c>
      <c r="AJ84">
        <v>800</v>
      </c>
      <c r="AK84">
        <v>1200</v>
      </c>
      <c r="AL84">
        <v>189.9</v>
      </c>
      <c r="AM84">
        <v>2.2000000000000002</v>
      </c>
      <c r="AN84" t="s">
        <v>273</v>
      </c>
      <c r="AO84" t="s">
        <v>278</v>
      </c>
      <c r="AP84" t="s">
        <v>291</v>
      </c>
      <c r="AQ84">
        <v>2.5</v>
      </c>
      <c r="AR84">
        <v>6</v>
      </c>
      <c r="AS84">
        <v>140</v>
      </c>
      <c r="AT84">
        <v>254.8</v>
      </c>
      <c r="AU84">
        <v>0.14535000000000001</v>
      </c>
      <c r="AV84">
        <v>36.1</v>
      </c>
      <c r="AW84">
        <v>238.9</v>
      </c>
      <c r="AX84" t="s">
        <v>280</v>
      </c>
      <c r="AY84">
        <v>0</v>
      </c>
      <c r="AZ84" t="s">
        <v>281</v>
      </c>
      <c r="BA84">
        <v>0.2</v>
      </c>
      <c r="BB84">
        <v>0.5</v>
      </c>
      <c r="BC84" t="s">
        <v>273</v>
      </c>
      <c r="BD84" t="s">
        <v>273</v>
      </c>
      <c r="BE84">
        <v>31.525275000000001</v>
      </c>
      <c r="BF84">
        <v>31.888271</v>
      </c>
      <c r="BG84">
        <v>271.73311699999999</v>
      </c>
      <c r="BH84" t="s">
        <v>273</v>
      </c>
      <c r="BI84">
        <v>38.555928000000002</v>
      </c>
      <c r="BJ84">
        <v>38.999878000000002</v>
      </c>
      <c r="BK84">
        <v>222.182727</v>
      </c>
      <c r="BL84" t="s">
        <v>273</v>
      </c>
      <c r="BM84">
        <v>38.558033000000002</v>
      </c>
      <c r="BN84">
        <v>39.002006999999999</v>
      </c>
      <c r="BO84">
        <v>222.17059800000001</v>
      </c>
      <c r="BP84" t="s">
        <v>273</v>
      </c>
      <c r="BQ84">
        <v>24.594203</v>
      </c>
      <c r="BR84">
        <v>24.877392</v>
      </c>
      <c r="BS84">
        <v>348.312209</v>
      </c>
      <c r="BT84" t="s">
        <v>273</v>
      </c>
      <c r="BU84">
        <v>9.1146469999999997</v>
      </c>
      <c r="BV84">
        <v>9.2195970000000003</v>
      </c>
      <c r="BW84">
        <v>939.85659399999997</v>
      </c>
      <c r="BX84" t="s">
        <v>273</v>
      </c>
      <c r="BY84">
        <v>28.803692999999999</v>
      </c>
      <c r="BZ84">
        <v>31.780902999999999</v>
      </c>
      <c r="CA84">
        <v>33.398338000000003</v>
      </c>
      <c r="CB84">
        <v>38.558033000000002</v>
      </c>
      <c r="CC84">
        <v>18.81062</v>
      </c>
      <c r="CD84">
        <v>26.982576999999999</v>
      </c>
      <c r="CE84" t="s">
        <v>273</v>
      </c>
      <c r="CF84">
        <v>29.135352000000001</v>
      </c>
      <c r="CG84">
        <v>32.146841999999999</v>
      </c>
      <c r="CH84">
        <v>33.782901000000003</v>
      </c>
      <c r="CI84">
        <v>39.002006999999999</v>
      </c>
      <c r="CJ84">
        <v>19.027214000000001</v>
      </c>
      <c r="CK84">
        <v>27.293265999999999</v>
      </c>
      <c r="CL84" t="s">
        <v>273</v>
      </c>
      <c r="CM84">
        <v>297.40843100000001</v>
      </c>
      <c r="CN84">
        <v>269.54745000000003</v>
      </c>
      <c r="CO84">
        <v>256.49363599999998</v>
      </c>
      <c r="CP84">
        <v>222.17059800000001</v>
      </c>
      <c r="CQ84">
        <v>455.40557200000001</v>
      </c>
      <c r="CR84">
        <v>317.48121400000002</v>
      </c>
      <c r="CS84" t="s">
        <v>273</v>
      </c>
      <c r="CT84">
        <v>354.23877399999998</v>
      </c>
      <c r="CU84">
        <v>345.84899000000001</v>
      </c>
      <c r="CV84">
        <v>305.45939900000002</v>
      </c>
      <c r="CW84">
        <v>752.56660599999998</v>
      </c>
      <c r="CX84">
        <v>270.05881399999998</v>
      </c>
      <c r="CY84">
        <v>653.96282699999995</v>
      </c>
      <c r="CZ84" t="s">
        <v>273</v>
      </c>
      <c r="DA84">
        <v>3.6106379999999998</v>
      </c>
      <c r="DB84">
        <v>510.01</v>
      </c>
      <c r="DC84">
        <v>3.8894880000000001</v>
      </c>
      <c r="DD84">
        <v>864</v>
      </c>
      <c r="DE84">
        <v>3.61009</v>
      </c>
      <c r="DF84">
        <v>505</v>
      </c>
      <c r="DG84">
        <v>10.268322</v>
      </c>
      <c r="DH84">
        <v>765</v>
      </c>
      <c r="DI84">
        <v>1.797634</v>
      </c>
      <c r="DJ84">
        <v>235</v>
      </c>
      <c r="DK84">
        <v>6.2441909999999998</v>
      </c>
      <c r="DL84">
        <v>365</v>
      </c>
      <c r="DM84" t="s">
        <v>273</v>
      </c>
      <c r="DN84">
        <v>3.4426839999999999</v>
      </c>
      <c r="DO84">
        <v>7.9327160000000001</v>
      </c>
      <c r="DP84">
        <v>4.0177490000000002</v>
      </c>
      <c r="DQ84" t="s">
        <v>282</v>
      </c>
      <c r="DR84">
        <v>4.8144210000000003</v>
      </c>
      <c r="DS84">
        <v>16.407052</v>
      </c>
      <c r="DT84">
        <v>33.171937</v>
      </c>
      <c r="DU84">
        <v>87.952843999999999</v>
      </c>
      <c r="DV84">
        <v>118.29563400000001</v>
      </c>
      <c r="DW84" t="s">
        <v>283</v>
      </c>
      <c r="DX84" t="s">
        <v>273</v>
      </c>
      <c r="DY84">
        <v>23.720659999999999</v>
      </c>
      <c r="DZ84">
        <v>4.0681000000000002E-2</v>
      </c>
      <c r="EA84">
        <v>0.975352</v>
      </c>
      <c r="EB84">
        <v>0.81994100000000003</v>
      </c>
      <c r="EC84">
        <v>84.066083000000006</v>
      </c>
      <c r="ED84">
        <v>19.627181</v>
      </c>
      <c r="EE84">
        <v>499.99761100000001</v>
      </c>
      <c r="EF84">
        <v>5.6966830000000002</v>
      </c>
      <c r="EG84">
        <v>27</v>
      </c>
      <c r="EH84">
        <v>27</v>
      </c>
      <c r="EI84">
        <v>22</v>
      </c>
      <c r="EJ84">
        <v>25</v>
      </c>
      <c r="EK84" t="s">
        <v>273</v>
      </c>
      <c r="EL84" t="s">
        <v>273</v>
      </c>
      <c r="EM84">
        <v>21.279211</v>
      </c>
      <c r="EN84">
        <v>1.9511000000000001E-2</v>
      </c>
      <c r="EO84">
        <v>0.85424199999999995</v>
      </c>
      <c r="EP84">
        <v>0.67602499999999999</v>
      </c>
      <c r="EQ84">
        <v>79.137490999999997</v>
      </c>
      <c r="ER84">
        <v>16.333912999999999</v>
      </c>
      <c r="ES84">
        <v>377.12138199999998</v>
      </c>
      <c r="ET84">
        <v>2.7321759999999999</v>
      </c>
      <c r="EU84">
        <v>27</v>
      </c>
      <c r="EV84">
        <v>27</v>
      </c>
      <c r="EW84">
        <v>27</v>
      </c>
      <c r="EX84">
        <v>27</v>
      </c>
      <c r="EY84" t="s">
        <v>273</v>
      </c>
      <c r="EZ84" t="s">
        <v>273</v>
      </c>
      <c r="FA84">
        <v>27.498470000000001</v>
      </c>
      <c r="FB84">
        <v>4.1083000000000001E-2</v>
      </c>
      <c r="FC84">
        <v>0.97499100000000005</v>
      </c>
      <c r="FD84">
        <v>0.819913</v>
      </c>
      <c r="FE84">
        <v>84.094365999999994</v>
      </c>
      <c r="FF84">
        <v>22.760245999999999</v>
      </c>
      <c r="FG84">
        <v>500.04852399999999</v>
      </c>
      <c r="FH84">
        <v>5.7529120000000002</v>
      </c>
      <c r="FI84">
        <v>27</v>
      </c>
      <c r="FJ84">
        <v>27</v>
      </c>
      <c r="FK84">
        <v>22</v>
      </c>
      <c r="FL84">
        <v>25</v>
      </c>
      <c r="FM84" t="s">
        <v>273</v>
      </c>
      <c r="FN84" t="s">
        <v>273</v>
      </c>
      <c r="FO84">
        <v>30.069474</v>
      </c>
      <c r="FP84">
        <v>7.7253000000000002E-2</v>
      </c>
      <c r="FQ84">
        <v>2.6266940000000001</v>
      </c>
      <c r="FR84">
        <v>2.310924</v>
      </c>
      <c r="FS84">
        <v>87.978425000000001</v>
      </c>
      <c r="FT84">
        <v>26.315715000000001</v>
      </c>
      <c r="FU84">
        <v>500.78694300000001</v>
      </c>
      <c r="FV84">
        <v>10.817824999999999</v>
      </c>
      <c r="FW84">
        <v>10</v>
      </c>
      <c r="FX84">
        <v>10</v>
      </c>
      <c r="FY84">
        <v>10</v>
      </c>
      <c r="FZ84">
        <v>9</v>
      </c>
      <c r="GA84" t="s">
        <v>273</v>
      </c>
      <c r="GB84" t="s">
        <v>273</v>
      </c>
      <c r="GC84">
        <v>29.927893000000001</v>
      </c>
      <c r="GD84">
        <v>8.2280000000000006E-2</v>
      </c>
      <c r="GE84">
        <v>0.93815199999999999</v>
      </c>
      <c r="GF84">
        <v>0.77458199999999999</v>
      </c>
      <c r="GG84">
        <v>82.564644999999999</v>
      </c>
      <c r="GH84">
        <v>23.993006999999999</v>
      </c>
      <c r="GI84">
        <v>935.92118000000005</v>
      </c>
      <c r="GJ84">
        <v>11.52183</v>
      </c>
      <c r="GK84">
        <v>27</v>
      </c>
      <c r="GL84">
        <v>27</v>
      </c>
      <c r="GM84">
        <v>15</v>
      </c>
      <c r="GN84">
        <v>25</v>
      </c>
      <c r="GO84" t="s">
        <v>273</v>
      </c>
      <c r="GP84" t="s">
        <v>273</v>
      </c>
      <c r="GQ84">
        <v>31.685230000000001</v>
      </c>
      <c r="GR84">
        <v>0.149892</v>
      </c>
      <c r="GS84">
        <v>2.405186</v>
      </c>
      <c r="GT84">
        <v>2.143316</v>
      </c>
      <c r="GU84">
        <v>89.112290999999999</v>
      </c>
      <c r="GV84">
        <v>28.035146000000001</v>
      </c>
      <c r="GW84">
        <v>762.38183900000001</v>
      </c>
      <c r="GX84">
        <v>20.989628</v>
      </c>
      <c r="GY84">
        <v>55</v>
      </c>
      <c r="GZ84">
        <v>55</v>
      </c>
      <c r="HA84">
        <v>39</v>
      </c>
      <c r="HB84">
        <v>41</v>
      </c>
      <c r="HC84" t="s">
        <v>273</v>
      </c>
      <c r="HD84" t="s">
        <v>273</v>
      </c>
      <c r="HE84">
        <v>18</v>
      </c>
      <c r="HF84">
        <v>5.0000000000000001E-4</v>
      </c>
      <c r="HG84">
        <v>6.4999999999999997E-3</v>
      </c>
      <c r="HH84">
        <v>5.5556000000000001E-2</v>
      </c>
      <c r="HI84">
        <v>3375</v>
      </c>
    </row>
    <row r="85" spans="1:217" x14ac:dyDescent="0.3">
      <c r="A85">
        <v>536</v>
      </c>
      <c r="B85" t="s">
        <v>269</v>
      </c>
      <c r="F85" t="s">
        <v>270</v>
      </c>
      <c r="G85" t="s">
        <v>288</v>
      </c>
      <c r="H85" t="s">
        <v>289</v>
      </c>
      <c r="I85">
        <v>4500</v>
      </c>
      <c r="J85">
        <v>1</v>
      </c>
      <c r="K85">
        <v>21.309374999999999</v>
      </c>
      <c r="L85">
        <v>0.22</v>
      </c>
      <c r="M85">
        <v>4.1195000000000002E-2</v>
      </c>
      <c r="N85">
        <v>0</v>
      </c>
      <c r="O85">
        <v>0</v>
      </c>
      <c r="P85">
        <v>0</v>
      </c>
      <c r="Q85">
        <v>18.04</v>
      </c>
      <c r="R85">
        <v>1</v>
      </c>
      <c r="S85">
        <v>1</v>
      </c>
      <c r="T85">
        <v>1</v>
      </c>
      <c r="U85">
        <v>1</v>
      </c>
      <c r="V85">
        <v>100</v>
      </c>
      <c r="W85" t="s">
        <v>273</v>
      </c>
      <c r="X85" t="s">
        <v>274</v>
      </c>
      <c r="Y85" t="s">
        <v>274</v>
      </c>
      <c r="Z85" t="s">
        <v>273</v>
      </c>
      <c r="AA85" t="s">
        <v>275</v>
      </c>
      <c r="AB85" t="s">
        <v>276</v>
      </c>
      <c r="AC85">
        <v>399</v>
      </c>
      <c r="AD85">
        <v>5</v>
      </c>
      <c r="AE85" t="s">
        <v>277</v>
      </c>
      <c r="AF85">
        <v>3.0734530000000002</v>
      </c>
      <c r="AG85">
        <v>100</v>
      </c>
      <c r="AH85">
        <v>27.7</v>
      </c>
      <c r="AI85">
        <v>1660</v>
      </c>
      <c r="AJ85">
        <v>800</v>
      </c>
      <c r="AK85">
        <v>1200</v>
      </c>
      <c r="AL85">
        <v>162.69999999999999</v>
      </c>
      <c r="AM85">
        <v>2.2000000000000002</v>
      </c>
      <c r="AN85" t="s">
        <v>273</v>
      </c>
      <c r="AO85" t="s">
        <v>278</v>
      </c>
      <c r="AP85" t="s">
        <v>292</v>
      </c>
      <c r="AQ85">
        <v>3.4</v>
      </c>
      <c r="AR85">
        <v>6</v>
      </c>
      <c r="AS85">
        <v>190.7</v>
      </c>
      <c r="AT85">
        <v>347</v>
      </c>
      <c r="AU85">
        <v>0.19767599999999999</v>
      </c>
      <c r="AV85">
        <v>36.5</v>
      </c>
      <c r="AW85">
        <v>235.8</v>
      </c>
      <c r="AX85" t="s">
        <v>280</v>
      </c>
      <c r="AY85">
        <v>0</v>
      </c>
      <c r="AZ85" t="s">
        <v>281</v>
      </c>
      <c r="BA85">
        <v>0.2</v>
      </c>
      <c r="BB85">
        <v>0.5</v>
      </c>
      <c r="BC85" t="s">
        <v>273</v>
      </c>
      <c r="BD85" t="s">
        <v>273</v>
      </c>
      <c r="BE85">
        <v>24.418703000000001</v>
      </c>
      <c r="BF85">
        <v>24.699871000000002</v>
      </c>
      <c r="BG85">
        <v>350.81556799999998</v>
      </c>
      <c r="BH85" t="s">
        <v>273</v>
      </c>
      <c r="BI85">
        <v>29.805081999999999</v>
      </c>
      <c r="BJ85">
        <v>30.148271000000001</v>
      </c>
      <c r="BK85">
        <v>287.41612800000001</v>
      </c>
      <c r="BL85" t="s">
        <v>273</v>
      </c>
      <c r="BM85">
        <v>29.8063</v>
      </c>
      <c r="BN85">
        <v>30.149502999999999</v>
      </c>
      <c r="BO85">
        <v>287.404382</v>
      </c>
      <c r="BP85" t="s">
        <v>273</v>
      </c>
      <c r="BQ85">
        <v>18.606942</v>
      </c>
      <c r="BR85">
        <v>18.821190000000001</v>
      </c>
      <c r="BS85">
        <v>460.39060799999999</v>
      </c>
      <c r="BT85" t="s">
        <v>273</v>
      </c>
      <c r="BU85">
        <v>6.8838220000000003</v>
      </c>
      <c r="BV85">
        <v>6.9630859999999997</v>
      </c>
      <c r="BW85">
        <v>1244.4338090000001</v>
      </c>
      <c r="BX85" t="s">
        <v>273</v>
      </c>
      <c r="BY85">
        <v>22.134875000000001</v>
      </c>
      <c r="BZ85">
        <v>24.804414999999999</v>
      </c>
      <c r="CA85">
        <v>25.661950000000001</v>
      </c>
      <c r="CB85">
        <v>29.8063</v>
      </c>
      <c r="CC85">
        <v>14.385904999999999</v>
      </c>
      <c r="CD85">
        <v>20.323992000000001</v>
      </c>
      <c r="CE85" t="s">
        <v>273</v>
      </c>
      <c r="CF85">
        <v>22.389745000000001</v>
      </c>
      <c r="CG85">
        <v>25.090024</v>
      </c>
      <c r="CH85">
        <v>25.957433000000002</v>
      </c>
      <c r="CI85">
        <v>30.149502999999999</v>
      </c>
      <c r="CJ85">
        <v>14.551551</v>
      </c>
      <c r="CK85">
        <v>20.558011</v>
      </c>
      <c r="CL85" t="s">
        <v>273</v>
      </c>
      <c r="CM85">
        <v>387.01195999999999</v>
      </c>
      <c r="CN85">
        <v>345.360345</v>
      </c>
      <c r="CO85">
        <v>333.81957199999999</v>
      </c>
      <c r="CP85">
        <v>287.404382</v>
      </c>
      <c r="CQ85">
        <v>595.47598800000003</v>
      </c>
      <c r="CR85">
        <v>421.49501500000002</v>
      </c>
      <c r="CS85" t="s">
        <v>273</v>
      </c>
      <c r="CT85">
        <v>461.02195899999998</v>
      </c>
      <c r="CU85">
        <v>443.23134199999998</v>
      </c>
      <c r="CV85">
        <v>397.59813700000001</v>
      </c>
      <c r="CW85">
        <v>973.56928800000003</v>
      </c>
      <c r="CX85">
        <v>353.16790500000002</v>
      </c>
      <c r="CY85">
        <v>868.19516499999997</v>
      </c>
      <c r="CZ85" t="s">
        <v>273</v>
      </c>
      <c r="DA85">
        <v>3.6110899999999999</v>
      </c>
      <c r="DB85">
        <v>510.01</v>
      </c>
      <c r="DC85">
        <v>3.890444</v>
      </c>
      <c r="DD85">
        <v>864</v>
      </c>
      <c r="DE85">
        <v>3.6105529999999999</v>
      </c>
      <c r="DF85">
        <v>505</v>
      </c>
      <c r="DG85">
        <v>10.26868</v>
      </c>
      <c r="DH85">
        <v>765</v>
      </c>
      <c r="DI85">
        <v>1.7978689999999999</v>
      </c>
      <c r="DJ85">
        <v>235</v>
      </c>
      <c r="DK85">
        <v>6.244046</v>
      </c>
      <c r="DL85">
        <v>365</v>
      </c>
      <c r="DM85" t="s">
        <v>273</v>
      </c>
      <c r="DN85">
        <v>3.4249679999999998</v>
      </c>
      <c r="DO85">
        <v>7.8778240000000004</v>
      </c>
      <c r="DP85">
        <v>4.0876260000000002</v>
      </c>
      <c r="DQ85" t="s">
        <v>282</v>
      </c>
      <c r="DR85">
        <v>4.7345949999999997</v>
      </c>
      <c r="DS85">
        <v>16.332560999999998</v>
      </c>
      <c r="DT85">
        <v>33.032606000000001</v>
      </c>
      <c r="DU85">
        <v>88.308857000000003</v>
      </c>
      <c r="DV85">
        <v>117.23612900000001</v>
      </c>
      <c r="DW85" t="s">
        <v>283</v>
      </c>
      <c r="DX85" t="s">
        <v>273</v>
      </c>
      <c r="DY85">
        <v>24.385860999999998</v>
      </c>
      <c r="DZ85">
        <v>3.9800000000000002E-2</v>
      </c>
      <c r="EA85">
        <v>1.304964</v>
      </c>
      <c r="EB85">
        <v>1.093002</v>
      </c>
      <c r="EC85">
        <v>83.757298000000006</v>
      </c>
      <c r="ED85">
        <v>20.094930000000002</v>
      </c>
      <c r="EE85">
        <v>666.14329499999997</v>
      </c>
      <c r="EF85">
        <v>7.5906019999999996</v>
      </c>
      <c r="EG85">
        <v>26</v>
      </c>
      <c r="EH85">
        <v>26</v>
      </c>
      <c r="EI85">
        <v>22</v>
      </c>
      <c r="EJ85">
        <v>24</v>
      </c>
      <c r="EK85" t="s">
        <v>273</v>
      </c>
      <c r="EL85" t="s">
        <v>273</v>
      </c>
      <c r="EM85">
        <v>22.201622</v>
      </c>
      <c r="EN85">
        <v>1.9091E-2</v>
      </c>
      <c r="EO85">
        <v>1.142231</v>
      </c>
      <c r="EP85">
        <v>0.90190099999999995</v>
      </c>
      <c r="EQ85">
        <v>78.959631999999999</v>
      </c>
      <c r="ER85">
        <v>16.985040999999999</v>
      </c>
      <c r="ES85">
        <v>502.45226200000002</v>
      </c>
      <c r="ET85">
        <v>3.64107</v>
      </c>
      <c r="EU85">
        <v>27</v>
      </c>
      <c r="EV85">
        <v>27</v>
      </c>
      <c r="EW85">
        <v>27</v>
      </c>
      <c r="EX85">
        <v>27</v>
      </c>
      <c r="EY85" t="s">
        <v>273</v>
      </c>
      <c r="EZ85" t="s">
        <v>273</v>
      </c>
      <c r="FA85">
        <v>28.26088</v>
      </c>
      <c r="FB85">
        <v>4.0193E-2</v>
      </c>
      <c r="FC85">
        <v>1.3042739999999999</v>
      </c>
      <c r="FD85">
        <v>1.0929580000000001</v>
      </c>
      <c r="FE85">
        <v>83.798214000000002</v>
      </c>
      <c r="FF85">
        <v>23.299185000000001</v>
      </c>
      <c r="FG85">
        <v>666.20993599999997</v>
      </c>
      <c r="FH85">
        <v>7.6655319999999998</v>
      </c>
      <c r="FI85">
        <v>26</v>
      </c>
      <c r="FJ85">
        <v>26</v>
      </c>
      <c r="FK85">
        <v>22</v>
      </c>
      <c r="FL85">
        <v>24</v>
      </c>
      <c r="FM85" t="s">
        <v>273</v>
      </c>
      <c r="FN85" t="s">
        <v>273</v>
      </c>
      <c r="FO85">
        <v>30.974489999999999</v>
      </c>
      <c r="FP85">
        <v>7.5537000000000007E-2</v>
      </c>
      <c r="FQ85">
        <v>3.5003359999999999</v>
      </c>
      <c r="FR85">
        <v>3.0777429999999999</v>
      </c>
      <c r="FS85">
        <v>87.927075000000002</v>
      </c>
      <c r="FT85">
        <v>27.089883</v>
      </c>
      <c r="FU85">
        <v>666.88628200000005</v>
      </c>
      <c r="FV85">
        <v>14.406345999999999</v>
      </c>
      <c r="FW85">
        <v>10</v>
      </c>
      <c r="FX85">
        <v>10</v>
      </c>
      <c r="FY85">
        <v>10</v>
      </c>
      <c r="FZ85">
        <v>10</v>
      </c>
      <c r="GA85" t="s">
        <v>273</v>
      </c>
      <c r="GB85" t="s">
        <v>273</v>
      </c>
      <c r="GC85">
        <v>30.728643000000002</v>
      </c>
      <c r="GD85">
        <v>8.0547999999999995E-2</v>
      </c>
      <c r="GE85">
        <v>1.2596890000000001</v>
      </c>
      <c r="GF85">
        <v>1.034</v>
      </c>
      <c r="GG85">
        <v>82.083721999999995</v>
      </c>
      <c r="GH85">
        <v>24.461922000000001</v>
      </c>
      <c r="GI85">
        <v>1247.7023079999999</v>
      </c>
      <c r="GJ85">
        <v>15.362083</v>
      </c>
      <c r="GK85">
        <v>26</v>
      </c>
      <c r="GL85">
        <v>26</v>
      </c>
      <c r="GM85">
        <v>14</v>
      </c>
      <c r="GN85">
        <v>24</v>
      </c>
      <c r="GO85" t="s">
        <v>273</v>
      </c>
      <c r="GP85" t="s">
        <v>273</v>
      </c>
      <c r="GQ85">
        <v>32.382244</v>
      </c>
      <c r="GR85">
        <v>0.14693500000000001</v>
      </c>
      <c r="GS85">
        <v>3.2633450000000002</v>
      </c>
      <c r="GT85">
        <v>2.8606530000000001</v>
      </c>
      <c r="GU85">
        <v>87.660157999999996</v>
      </c>
      <c r="GV85">
        <v>28.193769</v>
      </c>
      <c r="GW85">
        <v>1017.8811439999999</v>
      </c>
      <c r="GX85">
        <v>28.023292000000001</v>
      </c>
      <c r="GY85">
        <v>59</v>
      </c>
      <c r="GZ85">
        <v>59</v>
      </c>
      <c r="HA85">
        <v>36</v>
      </c>
      <c r="HB85">
        <v>37</v>
      </c>
      <c r="HC85" t="s">
        <v>273</v>
      </c>
      <c r="HD85" t="s">
        <v>273</v>
      </c>
      <c r="HE85">
        <v>18</v>
      </c>
      <c r="HF85">
        <v>5.0000000000000001E-4</v>
      </c>
      <c r="HG85">
        <v>6.4999999999999997E-3</v>
      </c>
      <c r="HH85">
        <v>5.5556000000000001E-2</v>
      </c>
      <c r="HI85">
        <v>4500</v>
      </c>
    </row>
    <row r="86" spans="1:217" x14ac:dyDescent="0.3">
      <c r="A86">
        <v>537</v>
      </c>
      <c r="B86" t="s">
        <v>269</v>
      </c>
      <c r="F86" t="s">
        <v>270</v>
      </c>
      <c r="G86" t="s">
        <v>288</v>
      </c>
      <c r="H86" t="s">
        <v>289</v>
      </c>
      <c r="I86">
        <v>6000</v>
      </c>
      <c r="J86">
        <v>1</v>
      </c>
      <c r="K86">
        <v>29.512499999999999</v>
      </c>
      <c r="L86">
        <v>0.22</v>
      </c>
      <c r="M86">
        <v>5.5843999999999998E-2</v>
      </c>
      <c r="N86">
        <v>0</v>
      </c>
      <c r="O86">
        <v>0</v>
      </c>
      <c r="P86">
        <v>0</v>
      </c>
      <c r="Q86">
        <v>24.02</v>
      </c>
      <c r="R86">
        <v>1</v>
      </c>
      <c r="S86">
        <v>1</v>
      </c>
      <c r="T86">
        <v>1</v>
      </c>
      <c r="U86">
        <v>1</v>
      </c>
      <c r="V86">
        <v>100</v>
      </c>
      <c r="W86" t="s">
        <v>273</v>
      </c>
      <c r="X86" t="s">
        <v>274</v>
      </c>
      <c r="Y86" t="s">
        <v>274</v>
      </c>
      <c r="Z86" t="s">
        <v>273</v>
      </c>
      <c r="AA86" t="s">
        <v>275</v>
      </c>
      <c r="AB86" t="s">
        <v>276</v>
      </c>
      <c r="AC86">
        <v>505</v>
      </c>
      <c r="AD86">
        <v>5</v>
      </c>
      <c r="AE86" t="s">
        <v>277</v>
      </c>
      <c r="AF86">
        <v>2.9068200000000002</v>
      </c>
      <c r="AG86">
        <v>100</v>
      </c>
      <c r="AH86">
        <v>26.2</v>
      </c>
      <c r="AI86">
        <v>1570</v>
      </c>
      <c r="AJ86">
        <v>800</v>
      </c>
      <c r="AK86">
        <v>1200</v>
      </c>
      <c r="AL86">
        <v>144.6</v>
      </c>
      <c r="AM86">
        <v>2.2000000000000002</v>
      </c>
      <c r="AN86" t="s">
        <v>273</v>
      </c>
      <c r="AO86" t="s">
        <v>278</v>
      </c>
      <c r="AP86" t="s">
        <v>290</v>
      </c>
      <c r="AQ86">
        <v>4.3</v>
      </c>
      <c r="AR86">
        <v>6</v>
      </c>
      <c r="AS86">
        <v>241.4</v>
      </c>
      <c r="AT86">
        <v>439.2</v>
      </c>
      <c r="AU86">
        <v>0.250002</v>
      </c>
      <c r="AV86">
        <v>36.9</v>
      </c>
      <c r="AW86">
        <v>233.6</v>
      </c>
      <c r="AX86" t="s">
        <v>280</v>
      </c>
      <c r="AY86">
        <v>0</v>
      </c>
      <c r="AZ86" t="s">
        <v>281</v>
      </c>
      <c r="BA86">
        <v>0.2</v>
      </c>
      <c r="BB86">
        <v>0.5</v>
      </c>
      <c r="BC86" t="s">
        <v>273</v>
      </c>
      <c r="BD86" t="s">
        <v>273</v>
      </c>
      <c r="BE86">
        <v>19.107534000000001</v>
      </c>
      <c r="BF86">
        <v>19.327546000000002</v>
      </c>
      <c r="BG86">
        <v>448.32899300000003</v>
      </c>
      <c r="BH86" t="s">
        <v>273</v>
      </c>
      <c r="BI86">
        <v>22.985319</v>
      </c>
      <c r="BJ86">
        <v>23.249981999999999</v>
      </c>
      <c r="BK86">
        <v>372.69272799999999</v>
      </c>
      <c r="BL86" t="s">
        <v>273</v>
      </c>
      <c r="BM86">
        <v>22.986056000000001</v>
      </c>
      <c r="BN86">
        <v>23.250727999999999</v>
      </c>
      <c r="BO86">
        <v>372.68077199999999</v>
      </c>
      <c r="BP86" t="s">
        <v>273</v>
      </c>
      <c r="BQ86">
        <v>14.313724000000001</v>
      </c>
      <c r="BR86">
        <v>14.478538</v>
      </c>
      <c r="BS86">
        <v>598.47886800000003</v>
      </c>
      <c r="BT86" t="s">
        <v>273</v>
      </c>
      <c r="BU86">
        <v>5.3134940000000004</v>
      </c>
      <c r="BV86">
        <v>5.374676</v>
      </c>
      <c r="BW86">
        <v>1612.2087690000001</v>
      </c>
      <c r="BX86" t="s">
        <v>273</v>
      </c>
      <c r="BY86">
        <v>17.226458999999998</v>
      </c>
      <c r="BZ86">
        <v>19.517911000000002</v>
      </c>
      <c r="CA86">
        <v>19.958617</v>
      </c>
      <c r="CB86">
        <v>22.986056000000001</v>
      </c>
      <c r="CC86">
        <v>11.478918999999999</v>
      </c>
      <c r="CD86">
        <v>15.408699</v>
      </c>
      <c r="CE86" t="s">
        <v>273</v>
      </c>
      <c r="CF86">
        <v>17.424811999999999</v>
      </c>
      <c r="CG86">
        <v>19.742647999999999</v>
      </c>
      <c r="CH86">
        <v>20.188428999999999</v>
      </c>
      <c r="CI86">
        <v>23.250727999999999</v>
      </c>
      <c r="CJ86">
        <v>11.611091999999999</v>
      </c>
      <c r="CK86">
        <v>15.586122</v>
      </c>
      <c r="CL86" t="s">
        <v>273</v>
      </c>
      <c r="CM86">
        <v>497.28508399999998</v>
      </c>
      <c r="CN86">
        <v>438.90257500000001</v>
      </c>
      <c r="CO86">
        <v>429.21117600000002</v>
      </c>
      <c r="CP86">
        <v>372.68077199999999</v>
      </c>
      <c r="CQ86">
        <v>746.277692</v>
      </c>
      <c r="CR86">
        <v>555.94966699999998</v>
      </c>
      <c r="CS86" t="s">
        <v>273</v>
      </c>
      <c r="CT86">
        <v>592.32348300000001</v>
      </c>
      <c r="CU86">
        <v>563.15700700000002</v>
      </c>
      <c r="CV86">
        <v>511.16067500000003</v>
      </c>
      <c r="CW86">
        <v>1262.400948</v>
      </c>
      <c r="CX86">
        <v>442.36848500000002</v>
      </c>
      <c r="CY86">
        <v>1145.2570109999999</v>
      </c>
      <c r="CZ86" t="s">
        <v>273</v>
      </c>
      <c r="DA86">
        <v>3.6107269999999998</v>
      </c>
      <c r="DB86">
        <v>510.01</v>
      </c>
      <c r="DC86">
        <v>3.8895780000000002</v>
      </c>
      <c r="DD86">
        <v>864</v>
      </c>
      <c r="DE86">
        <v>3.610169</v>
      </c>
      <c r="DF86">
        <v>505</v>
      </c>
      <c r="DG86">
        <v>10.268369</v>
      </c>
      <c r="DH86">
        <v>765</v>
      </c>
      <c r="DI86">
        <v>1.7969040000000001</v>
      </c>
      <c r="DJ86">
        <v>235</v>
      </c>
      <c r="DK86">
        <v>6.2446580000000003</v>
      </c>
      <c r="DL86">
        <v>365</v>
      </c>
      <c r="DM86" t="s">
        <v>273</v>
      </c>
      <c r="DN86">
        <v>3.6483970000000001</v>
      </c>
      <c r="DO86">
        <v>8.5041200000000003</v>
      </c>
      <c r="DP86">
        <v>4.5295129999999997</v>
      </c>
      <c r="DQ86" t="s">
        <v>282</v>
      </c>
      <c r="DR86">
        <v>5.1165500000000002</v>
      </c>
      <c r="DS86">
        <v>16.768464999999999</v>
      </c>
      <c r="DT86">
        <v>34.918649000000002</v>
      </c>
      <c r="DU86">
        <v>86.193183000000005</v>
      </c>
      <c r="DV86">
        <v>113.007711</v>
      </c>
      <c r="DW86" t="s">
        <v>283</v>
      </c>
      <c r="DX86" t="s">
        <v>273</v>
      </c>
      <c r="DY86">
        <v>25.422979999999999</v>
      </c>
      <c r="DZ86">
        <v>4.1877999999999999E-2</v>
      </c>
      <c r="EA86">
        <v>1.74793</v>
      </c>
      <c r="EB86">
        <v>1.455773</v>
      </c>
      <c r="EC86">
        <v>83.285544000000002</v>
      </c>
      <c r="ED86">
        <v>20.830808000000001</v>
      </c>
      <c r="EE86">
        <v>887.29670499999997</v>
      </c>
      <c r="EF86">
        <v>10.109594</v>
      </c>
      <c r="EG86">
        <v>26</v>
      </c>
      <c r="EH86">
        <v>26</v>
      </c>
      <c r="EI86">
        <v>23</v>
      </c>
      <c r="EJ86">
        <v>24</v>
      </c>
      <c r="EK86" t="s">
        <v>273</v>
      </c>
      <c r="EL86" t="s">
        <v>273</v>
      </c>
      <c r="EM86">
        <v>23.442095999999999</v>
      </c>
      <c r="EN86">
        <v>2.01E-2</v>
      </c>
      <c r="EO86">
        <v>1.532373</v>
      </c>
      <c r="EP86">
        <v>1.20221</v>
      </c>
      <c r="EQ86">
        <v>78.454132000000001</v>
      </c>
      <c r="ER86">
        <v>17.815245000000001</v>
      </c>
      <c r="ES86">
        <v>669.75436999999999</v>
      </c>
      <c r="ET86">
        <v>4.8523620000000003</v>
      </c>
      <c r="EU86">
        <v>25</v>
      </c>
      <c r="EV86">
        <v>25</v>
      </c>
      <c r="EW86">
        <v>25</v>
      </c>
      <c r="EX86">
        <v>25</v>
      </c>
      <c r="EY86" t="s">
        <v>273</v>
      </c>
      <c r="EZ86" t="s">
        <v>273</v>
      </c>
      <c r="FA86">
        <v>29.448909</v>
      </c>
      <c r="FB86">
        <v>4.2292000000000003E-2</v>
      </c>
      <c r="FC86">
        <v>1.7472909999999999</v>
      </c>
      <c r="FD86">
        <v>1.4557230000000001</v>
      </c>
      <c r="FE86">
        <v>83.313124000000002</v>
      </c>
      <c r="FF86">
        <v>24.137194000000001</v>
      </c>
      <c r="FG86">
        <v>887.39419699999996</v>
      </c>
      <c r="FH86">
        <v>10.209433000000001</v>
      </c>
      <c r="FI86">
        <v>26</v>
      </c>
      <c r="FJ86">
        <v>26</v>
      </c>
      <c r="FK86">
        <v>23</v>
      </c>
      <c r="FL86">
        <v>24</v>
      </c>
      <c r="FM86" t="s">
        <v>273</v>
      </c>
      <c r="FN86" t="s">
        <v>273</v>
      </c>
      <c r="FO86">
        <v>31.842976</v>
      </c>
      <c r="FP86">
        <v>7.9480999999999996E-2</v>
      </c>
      <c r="FQ86">
        <v>4.6660529999999998</v>
      </c>
      <c r="FR86">
        <v>4.0987730000000004</v>
      </c>
      <c r="FS86">
        <v>87.842399</v>
      </c>
      <c r="FT86">
        <v>27.824704000000001</v>
      </c>
      <c r="FU86">
        <v>888.21646599999997</v>
      </c>
      <c r="FV86">
        <v>19.187028999999999</v>
      </c>
      <c r="FW86">
        <v>14</v>
      </c>
      <c r="FX86">
        <v>14</v>
      </c>
      <c r="FY86">
        <v>14</v>
      </c>
      <c r="FZ86">
        <v>14</v>
      </c>
      <c r="GA86" t="s">
        <v>273</v>
      </c>
      <c r="GB86" t="s">
        <v>273</v>
      </c>
      <c r="GC86">
        <v>31.473219</v>
      </c>
      <c r="GD86">
        <v>8.4764000000000006E-2</v>
      </c>
      <c r="GE86">
        <v>1.6160840000000001</v>
      </c>
      <c r="GF86">
        <v>1.376117</v>
      </c>
      <c r="GG86">
        <v>85.151320999999996</v>
      </c>
      <c r="GH86">
        <v>26.013451</v>
      </c>
      <c r="GI86">
        <v>1662.8560910000001</v>
      </c>
      <c r="GJ86">
        <v>20.462586999999999</v>
      </c>
      <c r="GK86">
        <v>35</v>
      </c>
      <c r="GL86">
        <v>35</v>
      </c>
      <c r="GM86">
        <v>15</v>
      </c>
      <c r="GN86">
        <v>25</v>
      </c>
      <c r="GO86" t="s">
        <v>273</v>
      </c>
      <c r="GP86" t="s">
        <v>273</v>
      </c>
      <c r="GQ86">
        <v>32.928229999999999</v>
      </c>
      <c r="GR86">
        <v>0.154947</v>
      </c>
      <c r="GS86">
        <v>4.377338</v>
      </c>
      <c r="GT86">
        <v>3.8178570000000001</v>
      </c>
      <c r="GU86">
        <v>87.218710999999999</v>
      </c>
      <c r="GV86">
        <v>28.528479999999998</v>
      </c>
      <c r="GW86">
        <v>1358.5181560000001</v>
      </c>
      <c r="GX86">
        <v>37.405037</v>
      </c>
      <c r="GY86">
        <v>54</v>
      </c>
      <c r="GZ86">
        <v>54</v>
      </c>
      <c r="HA86">
        <v>43</v>
      </c>
      <c r="HB86">
        <v>44</v>
      </c>
      <c r="HC86" t="s">
        <v>273</v>
      </c>
      <c r="HD86" t="s">
        <v>273</v>
      </c>
      <c r="HE86">
        <v>18</v>
      </c>
      <c r="HF86">
        <v>5.0000000000000001E-4</v>
      </c>
      <c r="HG86">
        <v>6.4999999999999997E-3</v>
      </c>
      <c r="HH86">
        <v>5.5556000000000001E-2</v>
      </c>
      <c r="HI86">
        <v>6000</v>
      </c>
    </row>
    <row r="87" spans="1:217" x14ac:dyDescent="0.3">
      <c r="A87">
        <v>538</v>
      </c>
      <c r="B87" t="s">
        <v>269</v>
      </c>
      <c r="F87" t="s">
        <v>270</v>
      </c>
      <c r="G87" t="s">
        <v>288</v>
      </c>
      <c r="H87" t="s">
        <v>289</v>
      </c>
      <c r="I87">
        <v>6000</v>
      </c>
      <c r="J87">
        <v>1</v>
      </c>
      <c r="K87">
        <v>29.512499999999999</v>
      </c>
      <c r="L87">
        <v>0.22</v>
      </c>
      <c r="M87">
        <v>5.5843999999999998E-2</v>
      </c>
      <c r="N87">
        <v>0</v>
      </c>
      <c r="O87">
        <v>0</v>
      </c>
      <c r="P87">
        <v>0</v>
      </c>
      <c r="Q87">
        <v>24.02</v>
      </c>
      <c r="R87">
        <v>1</v>
      </c>
      <c r="S87">
        <v>1</v>
      </c>
      <c r="T87">
        <v>1</v>
      </c>
      <c r="U87">
        <v>1</v>
      </c>
      <c r="V87">
        <v>100</v>
      </c>
      <c r="W87" t="s">
        <v>273</v>
      </c>
      <c r="X87" t="s">
        <v>274</v>
      </c>
      <c r="Y87" t="s">
        <v>274</v>
      </c>
      <c r="Z87" t="s">
        <v>273</v>
      </c>
      <c r="AA87" t="s">
        <v>275</v>
      </c>
      <c r="AB87" t="s">
        <v>276</v>
      </c>
      <c r="AC87">
        <v>293</v>
      </c>
      <c r="AD87">
        <v>5</v>
      </c>
      <c r="AE87" t="s">
        <v>277</v>
      </c>
      <c r="AF87">
        <v>3.1937989999999998</v>
      </c>
      <c r="AG87">
        <v>100</v>
      </c>
      <c r="AH87">
        <v>28.8</v>
      </c>
      <c r="AI87">
        <v>1725</v>
      </c>
      <c r="AJ87">
        <v>800</v>
      </c>
      <c r="AK87">
        <v>1200</v>
      </c>
      <c r="AL87">
        <v>189.9</v>
      </c>
      <c r="AM87">
        <v>2.2000000000000002</v>
      </c>
      <c r="AN87" t="s">
        <v>273</v>
      </c>
      <c r="AO87" t="s">
        <v>278</v>
      </c>
      <c r="AP87" t="s">
        <v>291</v>
      </c>
      <c r="AQ87">
        <v>2.5</v>
      </c>
      <c r="AR87">
        <v>6</v>
      </c>
      <c r="AS87">
        <v>140</v>
      </c>
      <c r="AT87">
        <v>254.8</v>
      </c>
      <c r="AU87">
        <v>0.14535000000000001</v>
      </c>
      <c r="AV87">
        <v>36.1</v>
      </c>
      <c r="AW87">
        <v>238.9</v>
      </c>
      <c r="AX87" t="s">
        <v>280</v>
      </c>
      <c r="AY87">
        <v>0</v>
      </c>
      <c r="AZ87" t="s">
        <v>281</v>
      </c>
      <c r="BA87">
        <v>0.2</v>
      </c>
      <c r="BB87">
        <v>0.5</v>
      </c>
      <c r="BC87" t="s">
        <v>273</v>
      </c>
      <c r="BD87" t="s">
        <v>273</v>
      </c>
      <c r="BE87">
        <v>20.630762000000001</v>
      </c>
      <c r="BF87">
        <v>20.868313000000001</v>
      </c>
      <c r="BG87">
        <v>415.227577</v>
      </c>
      <c r="BH87" t="s">
        <v>273</v>
      </c>
      <c r="BI87">
        <v>22.958634</v>
      </c>
      <c r="BJ87">
        <v>23.222988999999998</v>
      </c>
      <c r="BK87">
        <v>373.12591700000002</v>
      </c>
      <c r="BL87" t="s">
        <v>273</v>
      </c>
      <c r="BM87">
        <v>22.959413999999999</v>
      </c>
      <c r="BN87">
        <v>23.223779</v>
      </c>
      <c r="BO87">
        <v>373.11322899999999</v>
      </c>
      <c r="BP87" t="s">
        <v>273</v>
      </c>
      <c r="BQ87">
        <v>13.593909999999999</v>
      </c>
      <c r="BR87">
        <v>13.750436000000001</v>
      </c>
      <c r="BS87">
        <v>630.16904999999997</v>
      </c>
      <c r="BT87" t="s">
        <v>273</v>
      </c>
      <c r="BU87">
        <v>6.6255040000000003</v>
      </c>
      <c r="BV87">
        <v>6.7017930000000003</v>
      </c>
      <c r="BW87">
        <v>1292.952372</v>
      </c>
      <c r="BX87" t="s">
        <v>273</v>
      </c>
      <c r="BY87">
        <v>17.950700000000001</v>
      </c>
      <c r="BZ87">
        <v>21.870906999999999</v>
      </c>
      <c r="CA87">
        <v>20.746721000000001</v>
      </c>
      <c r="CB87">
        <v>22.959413999999999</v>
      </c>
      <c r="CC87">
        <v>10.61284</v>
      </c>
      <c r="CD87">
        <v>14.778623</v>
      </c>
      <c r="CE87" t="s">
        <v>273</v>
      </c>
      <c r="CF87">
        <v>18.157392000000002</v>
      </c>
      <c r="CG87">
        <v>22.122737999999998</v>
      </c>
      <c r="CH87">
        <v>20.985607000000002</v>
      </c>
      <c r="CI87">
        <v>23.223779</v>
      </c>
      <c r="CJ87">
        <v>10.735041000000001</v>
      </c>
      <c r="CK87">
        <v>14.948790000000001</v>
      </c>
      <c r="CL87" t="s">
        <v>273</v>
      </c>
      <c r="CM87">
        <v>477.22157199999998</v>
      </c>
      <c r="CN87">
        <v>391.682953</v>
      </c>
      <c r="CO87">
        <v>412.90676300000001</v>
      </c>
      <c r="CP87">
        <v>373.11322899999999</v>
      </c>
      <c r="CQ87">
        <v>807.17893900000001</v>
      </c>
      <c r="CR87">
        <v>579.65220899999997</v>
      </c>
      <c r="CS87" t="s">
        <v>273</v>
      </c>
      <c r="CT87">
        <v>567.682097</v>
      </c>
      <c r="CU87">
        <v>501.33062999999999</v>
      </c>
      <c r="CV87">
        <v>491.09811100000002</v>
      </c>
      <c r="CW87">
        <v>1263.563112</v>
      </c>
      <c r="CX87">
        <v>473.64121499999999</v>
      </c>
      <c r="CY87">
        <v>1191.814065</v>
      </c>
      <c r="CZ87" t="s">
        <v>273</v>
      </c>
      <c r="DA87">
        <v>3.6060050000000001</v>
      </c>
      <c r="DB87">
        <v>510.01</v>
      </c>
      <c r="DC87">
        <v>3.879991</v>
      </c>
      <c r="DD87">
        <v>864</v>
      </c>
      <c r="DE87">
        <v>3.6054330000000001</v>
      </c>
      <c r="DF87">
        <v>505</v>
      </c>
      <c r="DG87">
        <v>10.265909000000001</v>
      </c>
      <c r="DH87">
        <v>765</v>
      </c>
      <c r="DI87">
        <v>1.7787740000000001</v>
      </c>
      <c r="DJ87">
        <v>235</v>
      </c>
      <c r="DK87">
        <v>6.2327849999999998</v>
      </c>
      <c r="DL87">
        <v>365</v>
      </c>
      <c r="DM87" t="s">
        <v>273</v>
      </c>
      <c r="DN87">
        <v>5.155894</v>
      </c>
      <c r="DO87">
        <v>13.971442</v>
      </c>
      <c r="DP87">
        <v>7.1108130000000003</v>
      </c>
      <c r="DQ87" t="s">
        <v>282</v>
      </c>
      <c r="DR87">
        <v>9.4385580000000004</v>
      </c>
      <c r="DS87">
        <v>20.174035</v>
      </c>
      <c r="DT87">
        <v>50.694847000000003</v>
      </c>
      <c r="DU87">
        <v>71.495878000000005</v>
      </c>
      <c r="DV87">
        <v>98.814412000000004</v>
      </c>
      <c r="DW87" t="s">
        <v>283</v>
      </c>
      <c r="DX87" t="s">
        <v>273</v>
      </c>
      <c r="DY87">
        <v>26.588239000000002</v>
      </c>
      <c r="DZ87">
        <v>7.2174000000000002E-2</v>
      </c>
      <c r="EA87">
        <v>1.751997</v>
      </c>
      <c r="EB87">
        <v>1.4512609999999999</v>
      </c>
      <c r="EC87">
        <v>82.834646000000006</v>
      </c>
      <c r="ED87">
        <v>21.728836000000001</v>
      </c>
      <c r="EE87">
        <v>888.20463600000005</v>
      </c>
      <c r="EF87">
        <v>10.106703</v>
      </c>
      <c r="EG87">
        <v>31</v>
      </c>
      <c r="EH87">
        <v>31</v>
      </c>
      <c r="EI87">
        <v>26</v>
      </c>
      <c r="EJ87">
        <v>30</v>
      </c>
      <c r="EK87" t="s">
        <v>273</v>
      </c>
      <c r="EL87" t="s">
        <v>273</v>
      </c>
      <c r="EM87">
        <v>26.194814000000001</v>
      </c>
      <c r="EN87">
        <v>3.4578999999999999E-2</v>
      </c>
      <c r="EO87">
        <v>1.524327</v>
      </c>
      <c r="EP87">
        <v>1.1896119999999999</v>
      </c>
      <c r="EQ87">
        <v>78.041734000000005</v>
      </c>
      <c r="ER87">
        <v>19.970293999999999</v>
      </c>
      <c r="ES87">
        <v>670.00110400000005</v>
      </c>
      <c r="ET87">
        <v>4.8421849999999997</v>
      </c>
      <c r="EU87">
        <v>29</v>
      </c>
      <c r="EV87">
        <v>29</v>
      </c>
      <c r="EW87">
        <v>28</v>
      </c>
      <c r="EX87">
        <v>29</v>
      </c>
      <c r="EY87" t="s">
        <v>273</v>
      </c>
      <c r="EZ87" t="s">
        <v>273</v>
      </c>
      <c r="FA87">
        <v>30.730013</v>
      </c>
      <c r="FB87">
        <v>7.2886999999999993E-2</v>
      </c>
      <c r="FC87">
        <v>1.7517400000000001</v>
      </c>
      <c r="FD87">
        <v>1.4511860000000001</v>
      </c>
      <c r="FE87">
        <v>82.842517999999998</v>
      </c>
      <c r="FF87">
        <v>25.115891999999999</v>
      </c>
      <c r="FG87">
        <v>888.29971899999998</v>
      </c>
      <c r="FH87">
        <v>10.206443999999999</v>
      </c>
      <c r="FI87">
        <v>31</v>
      </c>
      <c r="FJ87">
        <v>31</v>
      </c>
      <c r="FK87">
        <v>26</v>
      </c>
      <c r="FL87">
        <v>30</v>
      </c>
      <c r="FM87" t="s">
        <v>273</v>
      </c>
      <c r="FN87" t="s">
        <v>273</v>
      </c>
      <c r="FO87">
        <v>32.188605000000003</v>
      </c>
      <c r="FP87">
        <v>0.136932</v>
      </c>
      <c r="FQ87">
        <v>4.7210409999999996</v>
      </c>
      <c r="FR87">
        <v>4.0924860000000001</v>
      </c>
      <c r="FS87">
        <v>86.686093</v>
      </c>
      <c r="FT87">
        <v>27.781397999999999</v>
      </c>
      <c r="FU87">
        <v>887.86321399999997</v>
      </c>
      <c r="FV87">
        <v>19.174804000000002</v>
      </c>
      <c r="FW87">
        <v>40</v>
      </c>
      <c r="FX87">
        <v>40</v>
      </c>
      <c r="FY87">
        <v>39</v>
      </c>
      <c r="FZ87">
        <v>37</v>
      </c>
      <c r="GA87" t="s">
        <v>273</v>
      </c>
      <c r="GB87" t="s">
        <v>273</v>
      </c>
      <c r="GC87">
        <v>30.429677999999999</v>
      </c>
      <c r="GD87">
        <v>0.14483099999999999</v>
      </c>
      <c r="GE87">
        <v>1.67296</v>
      </c>
      <c r="GF87">
        <v>1.356425</v>
      </c>
      <c r="GG87">
        <v>81.079368000000002</v>
      </c>
      <c r="GH87">
        <v>24.080085</v>
      </c>
      <c r="GI87">
        <v>1664.8866579999999</v>
      </c>
      <c r="GJ87">
        <v>20.280866</v>
      </c>
      <c r="GK87">
        <v>26</v>
      </c>
      <c r="GL87">
        <v>26</v>
      </c>
      <c r="GM87">
        <v>16</v>
      </c>
      <c r="GN87">
        <v>25</v>
      </c>
      <c r="GO87" t="s">
        <v>273</v>
      </c>
      <c r="GP87" t="s">
        <v>273</v>
      </c>
      <c r="GQ87">
        <v>32.157290000000003</v>
      </c>
      <c r="GR87">
        <v>0.26584200000000002</v>
      </c>
      <c r="GS87">
        <v>4.4486340000000002</v>
      </c>
      <c r="GT87">
        <v>3.7967330000000001</v>
      </c>
      <c r="GU87">
        <v>85.346056000000004</v>
      </c>
      <c r="GV87">
        <v>27.283058</v>
      </c>
      <c r="GW87">
        <v>1354.602711</v>
      </c>
      <c r="GX87">
        <v>37.226320000000001</v>
      </c>
      <c r="GY87">
        <v>64</v>
      </c>
      <c r="GZ87">
        <v>64</v>
      </c>
      <c r="HA87">
        <v>48</v>
      </c>
      <c r="HB87">
        <v>46</v>
      </c>
      <c r="HC87" t="s">
        <v>273</v>
      </c>
      <c r="HD87" t="s">
        <v>273</v>
      </c>
      <c r="HE87">
        <v>31</v>
      </c>
      <c r="HF87">
        <v>5.0000000000000001E-4</v>
      </c>
      <c r="HG87">
        <v>6.4999999999999997E-3</v>
      </c>
      <c r="HH87">
        <v>3.2258000000000002E-2</v>
      </c>
      <c r="HI87">
        <v>6000</v>
      </c>
    </row>
    <row r="88" spans="1:217" x14ac:dyDescent="0.3">
      <c r="A88">
        <v>553</v>
      </c>
      <c r="B88" t="s">
        <v>269</v>
      </c>
      <c r="F88" t="s">
        <v>270</v>
      </c>
      <c r="G88" t="s">
        <v>288</v>
      </c>
      <c r="H88" t="s">
        <v>289</v>
      </c>
      <c r="I88">
        <v>3375</v>
      </c>
      <c r="J88">
        <v>1</v>
      </c>
      <c r="K88">
        <v>39.546680000000002</v>
      </c>
      <c r="L88">
        <v>0.22</v>
      </c>
      <c r="M88">
        <v>8.7860000000000004E-3</v>
      </c>
      <c r="N88">
        <v>0</v>
      </c>
      <c r="O88">
        <v>0</v>
      </c>
      <c r="P88">
        <v>0</v>
      </c>
      <c r="Q88">
        <v>9.67</v>
      </c>
      <c r="R88">
        <v>1</v>
      </c>
      <c r="S88">
        <v>1</v>
      </c>
      <c r="T88">
        <v>1</v>
      </c>
      <c r="U88">
        <v>1</v>
      </c>
      <c r="V88">
        <v>100</v>
      </c>
      <c r="W88" t="s">
        <v>273</v>
      </c>
      <c r="X88" t="s">
        <v>274</v>
      </c>
      <c r="Y88" t="s">
        <v>274</v>
      </c>
      <c r="Z88" t="s">
        <v>273</v>
      </c>
      <c r="AA88" t="s">
        <v>275</v>
      </c>
      <c r="AB88" t="s">
        <v>276</v>
      </c>
      <c r="AC88">
        <v>293</v>
      </c>
      <c r="AD88">
        <v>5</v>
      </c>
      <c r="AE88" t="s">
        <v>277</v>
      </c>
      <c r="AF88">
        <v>3.1937989999999998</v>
      </c>
      <c r="AG88">
        <v>100</v>
      </c>
      <c r="AH88">
        <v>28.8</v>
      </c>
      <c r="AI88">
        <v>1725</v>
      </c>
      <c r="AJ88">
        <v>800</v>
      </c>
      <c r="AK88">
        <v>1200</v>
      </c>
      <c r="AL88">
        <v>189.9</v>
      </c>
      <c r="AM88">
        <v>2.2000000000000002</v>
      </c>
      <c r="AN88" t="s">
        <v>273</v>
      </c>
      <c r="AO88" t="s">
        <v>278</v>
      </c>
      <c r="AP88" t="s">
        <v>291</v>
      </c>
      <c r="AQ88">
        <v>2.5</v>
      </c>
      <c r="AR88">
        <v>6</v>
      </c>
      <c r="AS88">
        <v>140</v>
      </c>
      <c r="AT88">
        <v>254.8</v>
      </c>
      <c r="AU88">
        <v>0.14535000000000001</v>
      </c>
      <c r="AV88">
        <v>36.1</v>
      </c>
      <c r="AW88">
        <v>238.9</v>
      </c>
      <c r="AX88" t="s">
        <v>280</v>
      </c>
      <c r="AY88">
        <v>0</v>
      </c>
      <c r="AZ88" t="s">
        <v>281</v>
      </c>
      <c r="BA88">
        <v>0.2</v>
      </c>
      <c r="BB88">
        <v>0.5</v>
      </c>
      <c r="BC88" t="s">
        <v>273</v>
      </c>
      <c r="BD88" t="s">
        <v>273</v>
      </c>
      <c r="BE88">
        <v>31.669301999999998</v>
      </c>
      <c r="BF88">
        <v>32.033956000000003</v>
      </c>
      <c r="BG88">
        <v>270.497322</v>
      </c>
      <c r="BH88" t="s">
        <v>273</v>
      </c>
      <c r="BI88">
        <v>48.720973999999998</v>
      </c>
      <c r="BJ88">
        <v>49.281967999999999</v>
      </c>
      <c r="BK88">
        <v>175.82697099999999</v>
      </c>
      <c r="BL88" t="s">
        <v>273</v>
      </c>
      <c r="BM88">
        <v>48.723573000000002</v>
      </c>
      <c r="BN88">
        <v>49.284596999999998</v>
      </c>
      <c r="BO88">
        <v>175.81759199999999</v>
      </c>
      <c r="BP88" t="s">
        <v>273</v>
      </c>
      <c r="BQ88">
        <v>32.794634000000002</v>
      </c>
      <c r="BR88">
        <v>33.172246000000001</v>
      </c>
      <c r="BS88">
        <v>261.21533099999999</v>
      </c>
      <c r="BT88" t="s">
        <v>273</v>
      </c>
      <c r="BU88">
        <v>10.626029000000001</v>
      </c>
      <c r="BV88">
        <v>10.748381999999999</v>
      </c>
      <c r="BW88">
        <v>806.17707399999995</v>
      </c>
      <c r="BX88" t="s">
        <v>273</v>
      </c>
      <c r="BY88">
        <v>31.096070999999998</v>
      </c>
      <c r="BZ88">
        <v>29.950002999999999</v>
      </c>
      <c r="CA88">
        <v>36.083390999999999</v>
      </c>
      <c r="CB88">
        <v>48.723573000000002</v>
      </c>
      <c r="CC88">
        <v>19.966653999999998</v>
      </c>
      <c r="CD88">
        <v>40.233958999999999</v>
      </c>
      <c r="CE88" t="s">
        <v>273</v>
      </c>
      <c r="CF88">
        <v>31.454125000000001</v>
      </c>
      <c r="CG88">
        <v>30.29486</v>
      </c>
      <c r="CH88">
        <v>36.498871000000001</v>
      </c>
      <c r="CI88">
        <v>49.284596999999998</v>
      </c>
      <c r="CJ88">
        <v>20.196559000000001</v>
      </c>
      <c r="CK88">
        <v>40.697229999999998</v>
      </c>
      <c r="CL88" t="s">
        <v>273</v>
      </c>
      <c r="CM88">
        <v>275.48371800000001</v>
      </c>
      <c r="CN88">
        <v>286.02538800000002</v>
      </c>
      <c r="CO88">
        <v>237.40732499999999</v>
      </c>
      <c r="CP88">
        <v>175.81759199999999</v>
      </c>
      <c r="CQ88">
        <v>429.03838999999999</v>
      </c>
      <c r="CR88">
        <v>212.91619</v>
      </c>
      <c r="CS88" t="s">
        <v>273</v>
      </c>
      <c r="CT88">
        <v>328.10748799999999</v>
      </c>
      <c r="CU88">
        <v>366.70078100000001</v>
      </c>
      <c r="CV88">
        <v>282.71387399999998</v>
      </c>
      <c r="CW88">
        <v>595.56954099999996</v>
      </c>
      <c r="CX88">
        <v>254.43438900000001</v>
      </c>
      <c r="CY88">
        <v>438.73326700000001</v>
      </c>
      <c r="CZ88" t="s">
        <v>273</v>
      </c>
      <c r="DA88">
        <v>3.6104500000000002</v>
      </c>
      <c r="DB88">
        <v>510.01</v>
      </c>
      <c r="DC88">
        <v>3.8864079999999999</v>
      </c>
      <c r="DD88">
        <v>864</v>
      </c>
      <c r="DE88">
        <v>3.6098910000000002</v>
      </c>
      <c r="DF88">
        <v>505</v>
      </c>
      <c r="DG88">
        <v>10.268601</v>
      </c>
      <c r="DH88">
        <v>765</v>
      </c>
      <c r="DI88">
        <v>1.797715</v>
      </c>
      <c r="DJ88">
        <v>235</v>
      </c>
      <c r="DK88">
        <v>6.2464459999999997</v>
      </c>
      <c r="DL88">
        <v>365</v>
      </c>
      <c r="DM88" t="s">
        <v>273</v>
      </c>
      <c r="DN88">
        <v>3.4683899999999999</v>
      </c>
      <c r="DO88">
        <v>7.8430390000000001</v>
      </c>
      <c r="DP88">
        <v>3.981474</v>
      </c>
      <c r="DQ88" t="s">
        <v>282</v>
      </c>
      <c r="DR88">
        <v>4.5031920000000003</v>
      </c>
      <c r="DS88">
        <v>16.190835</v>
      </c>
      <c r="DT88">
        <v>32.518540999999999</v>
      </c>
      <c r="DU88">
        <v>92.256923999999998</v>
      </c>
      <c r="DV88">
        <v>162.08928800000001</v>
      </c>
      <c r="DW88" t="s">
        <v>283</v>
      </c>
      <c r="DX88" t="s">
        <v>273</v>
      </c>
      <c r="DY88">
        <v>23.197406999999998</v>
      </c>
      <c r="DZ88">
        <v>3.6552000000000001E-2</v>
      </c>
      <c r="EA88">
        <v>0.88347500000000001</v>
      </c>
      <c r="EB88">
        <v>0.73806300000000002</v>
      </c>
      <c r="EC88">
        <v>83.540864999999997</v>
      </c>
      <c r="ED88">
        <v>19.039321999999999</v>
      </c>
      <c r="EE88">
        <v>449.26618100000002</v>
      </c>
      <c r="EF88">
        <v>5.1184120000000002</v>
      </c>
      <c r="EG88">
        <v>26</v>
      </c>
      <c r="EH88">
        <v>26</v>
      </c>
      <c r="EI88">
        <v>21</v>
      </c>
      <c r="EJ88">
        <v>25</v>
      </c>
      <c r="EK88" t="s">
        <v>273</v>
      </c>
      <c r="EL88" t="s">
        <v>273</v>
      </c>
      <c r="EM88">
        <v>21.964932000000001</v>
      </c>
      <c r="EN88">
        <v>2.1416999999999999E-2</v>
      </c>
      <c r="EO88">
        <v>0.93493300000000001</v>
      </c>
      <c r="EP88">
        <v>0.73962000000000006</v>
      </c>
      <c r="EQ88">
        <v>79.109432999999996</v>
      </c>
      <c r="ER88">
        <v>16.90962</v>
      </c>
      <c r="ES88">
        <v>414.27975199999997</v>
      </c>
      <c r="ET88">
        <v>2.9990049999999999</v>
      </c>
      <c r="EU88">
        <v>27</v>
      </c>
      <c r="EV88">
        <v>27</v>
      </c>
      <c r="EW88">
        <v>27</v>
      </c>
      <c r="EX88">
        <v>27</v>
      </c>
      <c r="EY88" t="s">
        <v>273</v>
      </c>
      <c r="EZ88" t="s">
        <v>273</v>
      </c>
      <c r="FA88">
        <v>26.908224000000001</v>
      </c>
      <c r="FB88">
        <v>3.6910999999999999E-2</v>
      </c>
      <c r="FC88">
        <v>0.88302099999999994</v>
      </c>
      <c r="FD88">
        <v>0.73800399999999999</v>
      </c>
      <c r="FE88">
        <v>83.577166000000005</v>
      </c>
      <c r="FF88">
        <v>22.094211000000001</v>
      </c>
      <c r="FG88">
        <v>449.29389800000001</v>
      </c>
      <c r="FH88">
        <v>5.1687099999999999</v>
      </c>
      <c r="FI88">
        <v>26</v>
      </c>
      <c r="FJ88">
        <v>26</v>
      </c>
      <c r="FK88">
        <v>21</v>
      </c>
      <c r="FL88">
        <v>25</v>
      </c>
      <c r="FM88" t="s">
        <v>273</v>
      </c>
      <c r="FN88" t="s">
        <v>273</v>
      </c>
      <c r="FO88">
        <v>28.033778999999999</v>
      </c>
      <c r="FP88">
        <v>5.6763000000000001E-2</v>
      </c>
      <c r="FQ88">
        <v>1.9379960000000001</v>
      </c>
      <c r="FR88">
        <v>1.7011369999999999</v>
      </c>
      <c r="FS88">
        <v>87.778158000000005</v>
      </c>
      <c r="FT88">
        <v>24.433049</v>
      </c>
      <c r="FU88">
        <v>367.952089</v>
      </c>
      <c r="FV88">
        <v>7.948588</v>
      </c>
      <c r="FW88">
        <v>12</v>
      </c>
      <c r="FX88">
        <v>12</v>
      </c>
      <c r="FY88">
        <v>11</v>
      </c>
      <c r="FZ88">
        <v>10</v>
      </c>
      <c r="GA88" t="s">
        <v>273</v>
      </c>
      <c r="GB88" t="s">
        <v>273</v>
      </c>
      <c r="GC88">
        <v>29.671624999999999</v>
      </c>
      <c r="GD88">
        <v>7.6472999999999999E-2</v>
      </c>
      <c r="GE88">
        <v>0.87630600000000003</v>
      </c>
      <c r="GF88">
        <v>0.72157099999999996</v>
      </c>
      <c r="GG88">
        <v>82.342381000000003</v>
      </c>
      <c r="GH88">
        <v>23.669063000000001</v>
      </c>
      <c r="GI88">
        <v>869.82725600000003</v>
      </c>
      <c r="GJ88">
        <v>10.708653</v>
      </c>
      <c r="GK88">
        <v>77</v>
      </c>
      <c r="GL88">
        <v>77</v>
      </c>
      <c r="GM88">
        <v>15</v>
      </c>
      <c r="GN88">
        <v>24</v>
      </c>
      <c r="GO88" t="s">
        <v>273</v>
      </c>
      <c r="GP88" t="s">
        <v>273</v>
      </c>
      <c r="GQ88">
        <v>29.812142999999999</v>
      </c>
      <c r="GR88">
        <v>9.4686999999999993E-2</v>
      </c>
      <c r="GS88">
        <v>1.5182119999999999</v>
      </c>
      <c r="GT88">
        <v>1.361381</v>
      </c>
      <c r="GU88">
        <v>89.669987000000006</v>
      </c>
      <c r="GV88">
        <v>26.397663999999999</v>
      </c>
      <c r="GW88">
        <v>481.42177099999998</v>
      </c>
      <c r="GX88">
        <v>13.259122</v>
      </c>
      <c r="GY88">
        <v>33</v>
      </c>
      <c r="GZ88">
        <v>33</v>
      </c>
      <c r="HA88">
        <v>13</v>
      </c>
      <c r="HB88">
        <v>14</v>
      </c>
      <c r="HC88" t="s">
        <v>273</v>
      </c>
      <c r="HD88" t="s">
        <v>273</v>
      </c>
      <c r="HE88">
        <v>18</v>
      </c>
      <c r="HF88">
        <v>7.5000000000000002E-4</v>
      </c>
      <c r="HG88">
        <v>4.0000000000000001E-3</v>
      </c>
      <c r="HH88">
        <v>5.5556000000000001E-2</v>
      </c>
      <c r="HI88">
        <v>3375</v>
      </c>
    </row>
    <row r="89" spans="1:217" x14ac:dyDescent="0.3">
      <c r="A89">
        <v>554</v>
      </c>
      <c r="B89" t="s">
        <v>269</v>
      </c>
      <c r="F89" t="s">
        <v>270</v>
      </c>
      <c r="G89" t="s">
        <v>288</v>
      </c>
      <c r="H89" t="s">
        <v>289</v>
      </c>
      <c r="I89">
        <v>4500</v>
      </c>
      <c r="J89">
        <v>1</v>
      </c>
      <c r="K89">
        <v>53.828906000000003</v>
      </c>
      <c r="L89">
        <v>0.22</v>
      </c>
      <c r="M89">
        <v>1.2631E-2</v>
      </c>
      <c r="N89">
        <v>0</v>
      </c>
      <c r="O89">
        <v>0</v>
      </c>
      <c r="P89">
        <v>0</v>
      </c>
      <c r="Q89">
        <v>12.85</v>
      </c>
      <c r="R89">
        <v>1</v>
      </c>
      <c r="S89">
        <v>1</v>
      </c>
      <c r="T89">
        <v>1</v>
      </c>
      <c r="U89">
        <v>1</v>
      </c>
      <c r="V89">
        <v>100</v>
      </c>
      <c r="W89" t="s">
        <v>273</v>
      </c>
      <c r="X89" t="s">
        <v>274</v>
      </c>
      <c r="Y89" t="s">
        <v>274</v>
      </c>
      <c r="Z89" t="s">
        <v>273</v>
      </c>
      <c r="AA89" t="s">
        <v>275</v>
      </c>
      <c r="AB89" t="s">
        <v>276</v>
      </c>
      <c r="AC89">
        <v>399</v>
      </c>
      <c r="AD89">
        <v>5</v>
      </c>
      <c r="AE89" t="s">
        <v>277</v>
      </c>
      <c r="AF89">
        <v>3.0734530000000002</v>
      </c>
      <c r="AG89">
        <v>100</v>
      </c>
      <c r="AH89">
        <v>27.7</v>
      </c>
      <c r="AI89">
        <v>1660</v>
      </c>
      <c r="AJ89">
        <v>800</v>
      </c>
      <c r="AK89">
        <v>1200</v>
      </c>
      <c r="AL89">
        <v>162.69999999999999</v>
      </c>
      <c r="AM89">
        <v>2.2000000000000002</v>
      </c>
      <c r="AN89" t="s">
        <v>273</v>
      </c>
      <c r="AO89" t="s">
        <v>278</v>
      </c>
      <c r="AP89" t="s">
        <v>292</v>
      </c>
      <c r="AQ89">
        <v>3.4</v>
      </c>
      <c r="AR89">
        <v>6</v>
      </c>
      <c r="AS89">
        <v>190.7</v>
      </c>
      <c r="AT89">
        <v>347</v>
      </c>
      <c r="AU89">
        <v>0.19767599999999999</v>
      </c>
      <c r="AV89">
        <v>36.5</v>
      </c>
      <c r="AW89">
        <v>235.8</v>
      </c>
      <c r="AX89" t="s">
        <v>280</v>
      </c>
      <c r="AY89">
        <v>0</v>
      </c>
      <c r="AZ89" t="s">
        <v>281</v>
      </c>
      <c r="BA89">
        <v>0.2</v>
      </c>
      <c r="BB89">
        <v>0.5</v>
      </c>
      <c r="BC89" t="s">
        <v>273</v>
      </c>
      <c r="BD89" t="s">
        <v>273</v>
      </c>
      <c r="BE89">
        <v>24.534334999999999</v>
      </c>
      <c r="BF89">
        <v>24.816834</v>
      </c>
      <c r="BG89">
        <v>349.16215999999997</v>
      </c>
      <c r="BH89" t="s">
        <v>273</v>
      </c>
      <c r="BI89">
        <v>37.922469</v>
      </c>
      <c r="BJ89">
        <v>38.359124999999999</v>
      </c>
      <c r="BK89">
        <v>225.894081</v>
      </c>
      <c r="BL89" t="s">
        <v>273</v>
      </c>
      <c r="BM89">
        <v>37.924438000000002</v>
      </c>
      <c r="BN89">
        <v>38.361117</v>
      </c>
      <c r="BO89">
        <v>225.88235</v>
      </c>
      <c r="BP89" t="s">
        <v>273</v>
      </c>
      <c r="BQ89">
        <v>24.789016</v>
      </c>
      <c r="BR89">
        <v>25.074446999999999</v>
      </c>
      <c r="BS89">
        <v>345.57488699999999</v>
      </c>
      <c r="BT89" t="s">
        <v>273</v>
      </c>
      <c r="BU89">
        <v>7.8924479999999999</v>
      </c>
      <c r="BV89">
        <v>7.9833249999999998</v>
      </c>
      <c r="BW89">
        <v>1085.3997260000001</v>
      </c>
      <c r="BX89" t="s">
        <v>273</v>
      </c>
      <c r="BY89">
        <v>23.915742000000002</v>
      </c>
      <c r="BZ89">
        <v>23.345164</v>
      </c>
      <c r="CA89">
        <v>27.745436000000002</v>
      </c>
      <c r="CB89">
        <v>37.924438000000002</v>
      </c>
      <c r="CC89">
        <v>15.285684</v>
      </c>
      <c r="CD89">
        <v>30.192591</v>
      </c>
      <c r="CE89" t="s">
        <v>273</v>
      </c>
      <c r="CF89">
        <v>24.191117999999999</v>
      </c>
      <c r="CG89">
        <v>23.613969999999998</v>
      </c>
      <c r="CH89">
        <v>28.064909</v>
      </c>
      <c r="CI89">
        <v>38.361117</v>
      </c>
      <c r="CJ89">
        <v>15.461690000000001</v>
      </c>
      <c r="CK89">
        <v>30.540241999999999</v>
      </c>
      <c r="CL89" t="s">
        <v>273</v>
      </c>
      <c r="CM89">
        <v>358.19341800000001</v>
      </c>
      <c r="CN89">
        <v>366.94800400000003</v>
      </c>
      <c r="CO89">
        <v>308.75208199999997</v>
      </c>
      <c r="CP89">
        <v>225.88235</v>
      </c>
      <c r="CQ89">
        <v>560.42382699999996</v>
      </c>
      <c r="CR89">
        <v>283.72726399999999</v>
      </c>
      <c r="CS89" t="s">
        <v>273</v>
      </c>
      <c r="CT89">
        <v>426.66139700000002</v>
      </c>
      <c r="CU89">
        <v>470.55820499999999</v>
      </c>
      <c r="CV89">
        <v>367.71465000000001</v>
      </c>
      <c r="CW89">
        <v>765.20319400000005</v>
      </c>
      <c r="CX89">
        <v>332.40507100000002</v>
      </c>
      <c r="CY89">
        <v>584.60472300000004</v>
      </c>
      <c r="CZ89" t="s">
        <v>273</v>
      </c>
      <c r="DA89">
        <v>3.6108289999999998</v>
      </c>
      <c r="DB89">
        <v>510.01</v>
      </c>
      <c r="DC89">
        <v>3.8873169999999999</v>
      </c>
      <c r="DD89">
        <v>864</v>
      </c>
      <c r="DE89">
        <v>3.6102910000000001</v>
      </c>
      <c r="DF89">
        <v>505</v>
      </c>
      <c r="DG89">
        <v>10.269176</v>
      </c>
      <c r="DH89">
        <v>765</v>
      </c>
      <c r="DI89">
        <v>1.7980100000000001</v>
      </c>
      <c r="DJ89">
        <v>235</v>
      </c>
      <c r="DK89">
        <v>6.2460060000000004</v>
      </c>
      <c r="DL89">
        <v>365</v>
      </c>
      <c r="DM89" t="s">
        <v>273</v>
      </c>
      <c r="DN89">
        <v>3.450736</v>
      </c>
      <c r="DO89">
        <v>7.7939540000000003</v>
      </c>
      <c r="DP89">
        <v>4.0496699999999999</v>
      </c>
      <c r="DQ89" t="s">
        <v>282</v>
      </c>
      <c r="DR89">
        <v>4.4777779999999998</v>
      </c>
      <c r="DS89">
        <v>16.119897000000002</v>
      </c>
      <c r="DT89">
        <v>32.441298000000003</v>
      </c>
      <c r="DU89">
        <v>92.659497999999999</v>
      </c>
      <c r="DV89">
        <v>160.963911</v>
      </c>
      <c r="DW89" t="s">
        <v>283</v>
      </c>
      <c r="DX89" t="s">
        <v>273</v>
      </c>
      <c r="DY89">
        <v>23.884076</v>
      </c>
      <c r="DZ89">
        <v>3.5756000000000003E-2</v>
      </c>
      <c r="EA89">
        <v>1.182852</v>
      </c>
      <c r="EB89">
        <v>0.98379000000000005</v>
      </c>
      <c r="EC89">
        <v>83.171040000000005</v>
      </c>
      <c r="ED89">
        <v>19.507216</v>
      </c>
      <c r="EE89">
        <v>598.50712099999998</v>
      </c>
      <c r="EF89">
        <v>6.8194039999999996</v>
      </c>
      <c r="EG89">
        <v>25</v>
      </c>
      <c r="EH89">
        <v>25</v>
      </c>
      <c r="EI89">
        <v>21</v>
      </c>
      <c r="EJ89">
        <v>24</v>
      </c>
      <c r="EK89" t="s">
        <v>273</v>
      </c>
      <c r="EL89" t="s">
        <v>273</v>
      </c>
      <c r="EM89">
        <v>22.887982000000001</v>
      </c>
      <c r="EN89">
        <v>2.0955999999999999E-2</v>
      </c>
      <c r="EO89">
        <v>1.250143</v>
      </c>
      <c r="EP89">
        <v>0.98668900000000004</v>
      </c>
      <c r="EQ89">
        <v>78.926131999999996</v>
      </c>
      <c r="ER89">
        <v>17.561534000000002</v>
      </c>
      <c r="ES89">
        <v>551.978881</v>
      </c>
      <c r="ET89">
        <v>3.9967549999999998</v>
      </c>
      <c r="EU89">
        <v>27</v>
      </c>
      <c r="EV89">
        <v>27</v>
      </c>
      <c r="EW89">
        <v>27</v>
      </c>
      <c r="EX89">
        <v>27</v>
      </c>
      <c r="EY89" t="s">
        <v>273</v>
      </c>
      <c r="EZ89" t="s">
        <v>273</v>
      </c>
      <c r="FA89">
        <v>27.696957999999999</v>
      </c>
      <c r="FB89">
        <v>3.6108000000000001E-2</v>
      </c>
      <c r="FC89">
        <v>1.182175</v>
      </c>
      <c r="FD89">
        <v>0.98371500000000001</v>
      </c>
      <c r="FE89">
        <v>83.212286000000006</v>
      </c>
      <c r="FF89">
        <v>22.632460999999999</v>
      </c>
      <c r="FG89">
        <v>598.54851399999995</v>
      </c>
      <c r="FH89">
        <v>6.8865080000000001</v>
      </c>
      <c r="FI89">
        <v>25</v>
      </c>
      <c r="FJ89">
        <v>25</v>
      </c>
      <c r="FK89">
        <v>21</v>
      </c>
      <c r="FL89">
        <v>24</v>
      </c>
      <c r="FM89" t="s">
        <v>273</v>
      </c>
      <c r="FN89" t="s">
        <v>273</v>
      </c>
      <c r="FO89">
        <v>29.04936</v>
      </c>
      <c r="FP89">
        <v>5.5478E-2</v>
      </c>
      <c r="FQ89">
        <v>2.5801919999999998</v>
      </c>
      <c r="FR89">
        <v>2.264751</v>
      </c>
      <c r="FS89">
        <v>87.774501000000001</v>
      </c>
      <c r="FT89">
        <v>25.313732000000002</v>
      </c>
      <c r="FU89">
        <v>489.76728200000002</v>
      </c>
      <c r="FV89">
        <v>10.580662</v>
      </c>
      <c r="FW89">
        <v>9</v>
      </c>
      <c r="FX89">
        <v>9</v>
      </c>
      <c r="FY89">
        <v>9</v>
      </c>
      <c r="FZ89">
        <v>9</v>
      </c>
      <c r="GA89" t="s">
        <v>273</v>
      </c>
      <c r="GB89" t="s">
        <v>273</v>
      </c>
      <c r="GC89">
        <v>30.484062000000002</v>
      </c>
      <c r="GD89">
        <v>7.4888999999999997E-2</v>
      </c>
      <c r="GE89">
        <v>1.1761950000000001</v>
      </c>
      <c r="GF89">
        <v>0.96389000000000002</v>
      </c>
      <c r="GG89">
        <v>81.949849</v>
      </c>
      <c r="GH89">
        <v>24.163771000000001</v>
      </c>
      <c r="GI89">
        <v>1159.9434759999999</v>
      </c>
      <c r="GJ89">
        <v>14.282691</v>
      </c>
      <c r="GK89">
        <v>26</v>
      </c>
      <c r="GL89">
        <v>26</v>
      </c>
      <c r="GM89">
        <v>15</v>
      </c>
      <c r="GN89">
        <v>24</v>
      </c>
      <c r="GO89" t="s">
        <v>273</v>
      </c>
      <c r="GP89" t="s">
        <v>273</v>
      </c>
      <c r="GQ89">
        <v>30.686985</v>
      </c>
      <c r="GR89">
        <v>9.2850000000000002E-2</v>
      </c>
      <c r="GS89">
        <v>2.082357</v>
      </c>
      <c r="GT89">
        <v>1.8180769999999999</v>
      </c>
      <c r="GU89">
        <v>87.308606999999995</v>
      </c>
      <c r="GV89">
        <v>26.458280999999999</v>
      </c>
      <c r="GW89">
        <v>643.00479299999995</v>
      </c>
      <c r="GX89">
        <v>17.708127000000001</v>
      </c>
      <c r="GY89">
        <v>27</v>
      </c>
      <c r="GZ89">
        <v>27</v>
      </c>
      <c r="HA89">
        <v>15</v>
      </c>
      <c r="HB89">
        <v>15</v>
      </c>
      <c r="HC89" t="s">
        <v>273</v>
      </c>
      <c r="HD89" t="s">
        <v>273</v>
      </c>
      <c r="HE89">
        <v>18</v>
      </c>
      <c r="HF89">
        <v>7.5000000000000002E-4</v>
      </c>
      <c r="HG89">
        <v>4.0000000000000001E-3</v>
      </c>
      <c r="HH89">
        <v>5.5556000000000001E-2</v>
      </c>
      <c r="HI89">
        <v>4500</v>
      </c>
    </row>
    <row r="90" spans="1:217" x14ac:dyDescent="0.3">
      <c r="A90">
        <v>555</v>
      </c>
      <c r="B90" t="s">
        <v>269</v>
      </c>
      <c r="F90" t="s">
        <v>270</v>
      </c>
      <c r="G90" t="s">
        <v>288</v>
      </c>
      <c r="H90" t="s">
        <v>289</v>
      </c>
      <c r="I90">
        <v>6000</v>
      </c>
      <c r="J90">
        <v>1</v>
      </c>
      <c r="K90">
        <v>72.871875000000003</v>
      </c>
      <c r="L90">
        <v>0.22</v>
      </c>
      <c r="M90">
        <v>1.7757999999999999E-2</v>
      </c>
      <c r="N90">
        <v>0</v>
      </c>
      <c r="O90">
        <v>0</v>
      </c>
      <c r="P90">
        <v>0</v>
      </c>
      <c r="Q90">
        <v>17.100000000000001</v>
      </c>
      <c r="R90">
        <v>1</v>
      </c>
      <c r="S90">
        <v>1</v>
      </c>
      <c r="T90">
        <v>1</v>
      </c>
      <c r="U90">
        <v>1</v>
      </c>
      <c r="V90">
        <v>100</v>
      </c>
      <c r="W90" t="s">
        <v>273</v>
      </c>
      <c r="X90" t="s">
        <v>274</v>
      </c>
      <c r="Y90" t="s">
        <v>274</v>
      </c>
      <c r="Z90" t="s">
        <v>273</v>
      </c>
      <c r="AA90" t="s">
        <v>275</v>
      </c>
      <c r="AB90" t="s">
        <v>276</v>
      </c>
      <c r="AC90">
        <v>505</v>
      </c>
      <c r="AD90">
        <v>5</v>
      </c>
      <c r="AE90" t="s">
        <v>277</v>
      </c>
      <c r="AF90">
        <v>2.9068200000000002</v>
      </c>
      <c r="AG90">
        <v>100</v>
      </c>
      <c r="AH90">
        <v>26.2</v>
      </c>
      <c r="AI90">
        <v>1570</v>
      </c>
      <c r="AJ90">
        <v>800</v>
      </c>
      <c r="AK90">
        <v>1200</v>
      </c>
      <c r="AL90">
        <v>144.6</v>
      </c>
      <c r="AM90">
        <v>2.2000000000000002</v>
      </c>
      <c r="AN90" t="s">
        <v>273</v>
      </c>
      <c r="AO90" t="s">
        <v>278</v>
      </c>
      <c r="AP90" t="s">
        <v>290</v>
      </c>
      <c r="AQ90">
        <v>4.3</v>
      </c>
      <c r="AR90">
        <v>6</v>
      </c>
      <c r="AS90">
        <v>241.4</v>
      </c>
      <c r="AT90">
        <v>439.2</v>
      </c>
      <c r="AU90">
        <v>0.250002</v>
      </c>
      <c r="AV90">
        <v>36.9</v>
      </c>
      <c r="AW90">
        <v>233.6</v>
      </c>
      <c r="AX90" t="s">
        <v>280</v>
      </c>
      <c r="AY90">
        <v>0</v>
      </c>
      <c r="AZ90" t="s">
        <v>281</v>
      </c>
      <c r="BA90">
        <v>0.2</v>
      </c>
      <c r="BB90">
        <v>0.5</v>
      </c>
      <c r="BC90" t="s">
        <v>273</v>
      </c>
      <c r="BD90" t="s">
        <v>273</v>
      </c>
      <c r="BE90">
        <v>19.141373000000002</v>
      </c>
      <c r="BF90">
        <v>19.361775000000002</v>
      </c>
      <c r="BG90">
        <v>447.53640899999999</v>
      </c>
      <c r="BH90" t="s">
        <v>273</v>
      </c>
      <c r="BI90">
        <v>29.568838</v>
      </c>
      <c r="BJ90">
        <v>29.909306999999998</v>
      </c>
      <c r="BK90">
        <v>289.71247299999999</v>
      </c>
      <c r="BL90" t="s">
        <v>273</v>
      </c>
      <c r="BM90">
        <v>29.570404</v>
      </c>
      <c r="BN90">
        <v>29.910889999999998</v>
      </c>
      <c r="BO90">
        <v>289.697138</v>
      </c>
      <c r="BP90" t="s">
        <v>273</v>
      </c>
      <c r="BQ90">
        <v>19.329477000000001</v>
      </c>
      <c r="BR90">
        <v>19.552045</v>
      </c>
      <c r="BS90">
        <v>443.181219</v>
      </c>
      <c r="BT90" t="s">
        <v>273</v>
      </c>
      <c r="BU90">
        <v>5.9893390000000002</v>
      </c>
      <c r="BV90">
        <v>6.0583020000000003</v>
      </c>
      <c r="BW90">
        <v>1430.28504</v>
      </c>
      <c r="BX90" t="s">
        <v>273</v>
      </c>
      <c r="BY90">
        <v>18.532011000000001</v>
      </c>
      <c r="BZ90">
        <v>18.324176999999999</v>
      </c>
      <c r="CA90">
        <v>21.483957</v>
      </c>
      <c r="CB90">
        <v>29.570404</v>
      </c>
      <c r="CC90">
        <v>12.134226999999999</v>
      </c>
      <c r="CD90">
        <v>23.304974000000001</v>
      </c>
      <c r="CE90" t="s">
        <v>273</v>
      </c>
      <c r="CF90">
        <v>18.745397000000001</v>
      </c>
      <c r="CG90">
        <v>18.535169</v>
      </c>
      <c r="CH90">
        <v>21.731332999999999</v>
      </c>
      <c r="CI90">
        <v>29.910889999999998</v>
      </c>
      <c r="CJ90">
        <v>12.273946</v>
      </c>
      <c r="CK90">
        <v>23.573316999999999</v>
      </c>
      <c r="CL90" t="s">
        <v>273</v>
      </c>
      <c r="CM90">
        <v>462.252115</v>
      </c>
      <c r="CN90">
        <v>467.49500999999998</v>
      </c>
      <c r="CO90">
        <v>398.73758900000001</v>
      </c>
      <c r="CP90">
        <v>289.697138</v>
      </c>
      <c r="CQ90">
        <v>705.97502899999995</v>
      </c>
      <c r="CR90">
        <v>367.58081700000002</v>
      </c>
      <c r="CS90" t="s">
        <v>273</v>
      </c>
      <c r="CT90">
        <v>550.54128700000001</v>
      </c>
      <c r="CU90">
        <v>599.35152300000004</v>
      </c>
      <c r="CV90">
        <v>474.822046</v>
      </c>
      <c r="CW90">
        <v>981.35743400000001</v>
      </c>
      <c r="CX90">
        <v>418.48267499999997</v>
      </c>
      <c r="CY90">
        <v>757.41170499999998</v>
      </c>
      <c r="CZ90" t="s">
        <v>273</v>
      </c>
      <c r="DA90">
        <v>3.6103730000000001</v>
      </c>
      <c r="DB90">
        <v>510.01</v>
      </c>
      <c r="DC90">
        <v>3.8863850000000002</v>
      </c>
      <c r="DD90">
        <v>864</v>
      </c>
      <c r="DE90">
        <v>3.6098140000000001</v>
      </c>
      <c r="DF90">
        <v>505</v>
      </c>
      <c r="DG90">
        <v>10.268905</v>
      </c>
      <c r="DH90">
        <v>765</v>
      </c>
      <c r="DI90">
        <v>1.7969219999999999</v>
      </c>
      <c r="DJ90">
        <v>235</v>
      </c>
      <c r="DK90">
        <v>6.246264</v>
      </c>
      <c r="DL90">
        <v>365</v>
      </c>
      <c r="DM90" t="s">
        <v>273</v>
      </c>
      <c r="DN90">
        <v>3.6784409999999998</v>
      </c>
      <c r="DO90">
        <v>8.3939550000000001</v>
      </c>
      <c r="DP90">
        <v>4.4803259999999998</v>
      </c>
      <c r="DQ90" t="s">
        <v>282</v>
      </c>
      <c r="DR90">
        <v>4.8181969999999996</v>
      </c>
      <c r="DS90">
        <v>16.561471000000001</v>
      </c>
      <c r="DT90">
        <v>34.253948999999999</v>
      </c>
      <c r="DU90">
        <v>90.396022000000002</v>
      </c>
      <c r="DV90">
        <v>163.53062800000001</v>
      </c>
      <c r="DW90" t="s">
        <v>283</v>
      </c>
      <c r="DX90" t="s">
        <v>273</v>
      </c>
      <c r="DY90">
        <v>24.845841</v>
      </c>
      <c r="DZ90">
        <v>3.7621000000000002E-2</v>
      </c>
      <c r="EA90">
        <v>1.5877509999999999</v>
      </c>
      <c r="EB90">
        <v>1.3099590000000001</v>
      </c>
      <c r="EC90">
        <v>82.504064999999997</v>
      </c>
      <c r="ED90">
        <v>20.133713</v>
      </c>
      <c r="EE90">
        <v>797.18592899999999</v>
      </c>
      <c r="EF90">
        <v>9.0820089999999993</v>
      </c>
      <c r="EG90">
        <v>25</v>
      </c>
      <c r="EH90">
        <v>25</v>
      </c>
      <c r="EI90">
        <v>22</v>
      </c>
      <c r="EJ90">
        <v>23</v>
      </c>
      <c r="EK90" t="s">
        <v>273</v>
      </c>
      <c r="EL90" t="s">
        <v>273</v>
      </c>
      <c r="EM90">
        <v>24.103743999999999</v>
      </c>
      <c r="EN90">
        <v>2.2065999999999999E-2</v>
      </c>
      <c r="EO90">
        <v>1.6768909999999999</v>
      </c>
      <c r="EP90">
        <v>1.315461</v>
      </c>
      <c r="EQ90">
        <v>78.446428999999995</v>
      </c>
      <c r="ER90">
        <v>18.375890999999999</v>
      </c>
      <c r="ES90">
        <v>735.83634800000004</v>
      </c>
      <c r="ET90">
        <v>5.3267480000000003</v>
      </c>
      <c r="EU90">
        <v>25</v>
      </c>
      <c r="EV90">
        <v>25</v>
      </c>
      <c r="EW90">
        <v>25</v>
      </c>
      <c r="EX90">
        <v>25</v>
      </c>
      <c r="EY90" t="s">
        <v>273</v>
      </c>
      <c r="EZ90" t="s">
        <v>273</v>
      </c>
      <c r="FA90">
        <v>28.794543999999998</v>
      </c>
      <c r="FB90">
        <v>3.7991999999999998E-2</v>
      </c>
      <c r="FC90">
        <v>1.58701</v>
      </c>
      <c r="FD90">
        <v>1.3098669999999999</v>
      </c>
      <c r="FE90">
        <v>82.536738</v>
      </c>
      <c r="FF90">
        <v>23.342489</v>
      </c>
      <c r="FG90">
        <v>797.245318</v>
      </c>
      <c r="FH90">
        <v>9.1713719999999999</v>
      </c>
      <c r="FI90">
        <v>25</v>
      </c>
      <c r="FJ90">
        <v>25</v>
      </c>
      <c r="FK90">
        <v>22</v>
      </c>
      <c r="FL90">
        <v>23</v>
      </c>
      <c r="FM90" t="s">
        <v>273</v>
      </c>
      <c r="FN90" t="s">
        <v>273</v>
      </c>
      <c r="FO90">
        <v>30.126563000000001</v>
      </c>
      <c r="FP90">
        <v>5.8353000000000002E-2</v>
      </c>
      <c r="FQ90">
        <v>3.4317489999999999</v>
      </c>
      <c r="FR90">
        <v>3.0148980000000001</v>
      </c>
      <c r="FS90">
        <v>87.853110000000001</v>
      </c>
      <c r="FT90">
        <v>26.278531999999998</v>
      </c>
      <c r="FU90">
        <v>652.07354799999996</v>
      </c>
      <c r="FV90">
        <v>14.086665</v>
      </c>
      <c r="FW90">
        <v>11</v>
      </c>
      <c r="FX90">
        <v>11</v>
      </c>
      <c r="FY90">
        <v>10</v>
      </c>
      <c r="FZ90">
        <v>10</v>
      </c>
      <c r="GA90" t="s">
        <v>273</v>
      </c>
      <c r="GB90" t="s">
        <v>273</v>
      </c>
      <c r="GC90">
        <v>31.164823999999999</v>
      </c>
      <c r="GD90">
        <v>7.8834000000000001E-2</v>
      </c>
      <c r="GE90">
        <v>1.513843</v>
      </c>
      <c r="GF90">
        <v>1.2833639999999999</v>
      </c>
      <c r="GG90">
        <v>84.775253000000006</v>
      </c>
      <c r="GH90">
        <v>25.574266999999999</v>
      </c>
      <c r="GI90">
        <v>1546.497756</v>
      </c>
      <c r="GJ90">
        <v>19.030912000000001</v>
      </c>
      <c r="GK90">
        <v>36</v>
      </c>
      <c r="GL90">
        <v>36</v>
      </c>
      <c r="GM90">
        <v>16</v>
      </c>
      <c r="GN90">
        <v>26</v>
      </c>
      <c r="GO90" t="s">
        <v>273</v>
      </c>
      <c r="GP90" t="s">
        <v>273</v>
      </c>
      <c r="GQ90">
        <v>31.644656000000001</v>
      </c>
      <c r="GR90">
        <v>9.7907999999999995E-2</v>
      </c>
      <c r="GS90">
        <v>2.782089</v>
      </c>
      <c r="GT90">
        <v>2.4254150000000001</v>
      </c>
      <c r="GU90">
        <v>87.179615999999996</v>
      </c>
      <c r="GV90">
        <v>27.257452000000001</v>
      </c>
      <c r="GW90">
        <v>858.20204200000001</v>
      </c>
      <c r="GX90">
        <v>23.635559000000001</v>
      </c>
      <c r="GY90">
        <v>32</v>
      </c>
      <c r="GZ90">
        <v>32</v>
      </c>
      <c r="HA90">
        <v>20</v>
      </c>
      <c r="HB90">
        <v>21</v>
      </c>
      <c r="HC90" t="s">
        <v>273</v>
      </c>
      <c r="HD90" t="s">
        <v>273</v>
      </c>
      <c r="HE90">
        <v>18</v>
      </c>
      <c r="HF90">
        <v>7.5000000000000002E-4</v>
      </c>
      <c r="HG90">
        <v>4.0000000000000001E-3</v>
      </c>
      <c r="HH90">
        <v>5.5556000000000001E-2</v>
      </c>
      <c r="HI90">
        <v>6000</v>
      </c>
    </row>
    <row r="91" spans="1:217" x14ac:dyDescent="0.3">
      <c r="A91">
        <v>556</v>
      </c>
      <c r="B91" t="s">
        <v>269</v>
      </c>
      <c r="F91" t="s">
        <v>270</v>
      </c>
      <c r="G91" t="s">
        <v>288</v>
      </c>
      <c r="H91" t="s">
        <v>289</v>
      </c>
      <c r="I91">
        <v>6000</v>
      </c>
      <c r="J91">
        <v>1</v>
      </c>
      <c r="K91">
        <v>72.871875000000003</v>
      </c>
      <c r="L91">
        <v>0.22</v>
      </c>
      <c r="M91">
        <v>1.7757999999999999E-2</v>
      </c>
      <c r="N91">
        <v>0</v>
      </c>
      <c r="O91">
        <v>0</v>
      </c>
      <c r="P91">
        <v>0</v>
      </c>
      <c r="Q91">
        <v>17.100000000000001</v>
      </c>
      <c r="R91">
        <v>1</v>
      </c>
      <c r="S91">
        <v>1</v>
      </c>
      <c r="T91">
        <v>1</v>
      </c>
      <c r="U91">
        <v>1</v>
      </c>
      <c r="V91">
        <v>100</v>
      </c>
      <c r="W91" t="s">
        <v>273</v>
      </c>
      <c r="X91" t="s">
        <v>274</v>
      </c>
      <c r="Y91" t="s">
        <v>274</v>
      </c>
      <c r="Z91" t="s">
        <v>273</v>
      </c>
      <c r="AA91" t="s">
        <v>275</v>
      </c>
      <c r="AB91" t="s">
        <v>276</v>
      </c>
      <c r="AC91">
        <v>293</v>
      </c>
      <c r="AD91">
        <v>5</v>
      </c>
      <c r="AE91" t="s">
        <v>277</v>
      </c>
      <c r="AF91">
        <v>3.1937989999999998</v>
      </c>
      <c r="AG91">
        <v>100</v>
      </c>
      <c r="AH91">
        <v>28.8</v>
      </c>
      <c r="AI91">
        <v>1725</v>
      </c>
      <c r="AJ91">
        <v>800</v>
      </c>
      <c r="AK91">
        <v>1200</v>
      </c>
      <c r="AL91">
        <v>189.9</v>
      </c>
      <c r="AM91">
        <v>2.2000000000000002</v>
      </c>
      <c r="AN91" t="s">
        <v>273</v>
      </c>
      <c r="AO91" t="s">
        <v>278</v>
      </c>
      <c r="AP91" t="s">
        <v>291</v>
      </c>
      <c r="AQ91">
        <v>2.5</v>
      </c>
      <c r="AR91">
        <v>6</v>
      </c>
      <c r="AS91">
        <v>140</v>
      </c>
      <c r="AT91">
        <v>254.8</v>
      </c>
      <c r="AU91">
        <v>0.14535000000000001</v>
      </c>
      <c r="AV91">
        <v>36.1</v>
      </c>
      <c r="AW91">
        <v>238.9</v>
      </c>
      <c r="AX91" t="s">
        <v>280</v>
      </c>
      <c r="AY91">
        <v>0</v>
      </c>
      <c r="AZ91" t="s">
        <v>281</v>
      </c>
      <c r="BA91">
        <v>0.2</v>
      </c>
      <c r="BB91">
        <v>0.5</v>
      </c>
      <c r="BC91" t="s">
        <v>273</v>
      </c>
      <c r="BD91" t="s">
        <v>273</v>
      </c>
      <c r="BE91">
        <v>20.769577999999999</v>
      </c>
      <c r="BF91">
        <v>21.008728000000001</v>
      </c>
      <c r="BG91">
        <v>412.45235100000002</v>
      </c>
      <c r="BH91" t="s">
        <v>273</v>
      </c>
      <c r="BI91">
        <v>30.451132999999999</v>
      </c>
      <c r="BJ91">
        <v>30.801760000000002</v>
      </c>
      <c r="BK91">
        <v>281.31831299999999</v>
      </c>
      <c r="BL91" t="s">
        <v>273</v>
      </c>
      <c r="BM91">
        <v>30.452334</v>
      </c>
      <c r="BN91">
        <v>30.802976000000001</v>
      </c>
      <c r="BO91">
        <v>281.30721199999999</v>
      </c>
      <c r="BP91" t="s">
        <v>273</v>
      </c>
      <c r="BQ91">
        <v>18.837230000000002</v>
      </c>
      <c r="BR91">
        <v>19.054130000000001</v>
      </c>
      <c r="BS91">
        <v>454.76226800000001</v>
      </c>
      <c r="BT91" t="s">
        <v>273</v>
      </c>
      <c r="BU91">
        <v>8.2803730000000009</v>
      </c>
      <c r="BV91">
        <v>8.3757169999999999</v>
      </c>
      <c r="BW91">
        <v>1034.5501899999999</v>
      </c>
      <c r="BX91" t="s">
        <v>273</v>
      </c>
      <c r="BY91">
        <v>19.610544000000001</v>
      </c>
      <c r="BZ91">
        <v>20.343900000000001</v>
      </c>
      <c r="CA91">
        <v>22.675768999999999</v>
      </c>
      <c r="CB91">
        <v>30.452334</v>
      </c>
      <c r="CC91">
        <v>11.313855999999999</v>
      </c>
      <c r="CD91">
        <v>23.260725999999998</v>
      </c>
      <c r="CE91" t="s">
        <v>273</v>
      </c>
      <c r="CF91">
        <v>19.836348000000001</v>
      </c>
      <c r="CG91">
        <v>20.578149</v>
      </c>
      <c r="CH91">
        <v>22.936866999999999</v>
      </c>
      <c r="CI91">
        <v>30.802976000000001</v>
      </c>
      <c r="CJ91">
        <v>11.444129</v>
      </c>
      <c r="CK91">
        <v>23.528559999999999</v>
      </c>
      <c r="CL91" t="s">
        <v>273</v>
      </c>
      <c r="CM91">
        <v>436.82935600000002</v>
      </c>
      <c r="CN91">
        <v>421.08254399999998</v>
      </c>
      <c r="CO91">
        <v>377.78041400000001</v>
      </c>
      <c r="CP91">
        <v>281.30721199999999</v>
      </c>
      <c r="CQ91">
        <v>757.16547000000003</v>
      </c>
      <c r="CR91">
        <v>368.28005200000001</v>
      </c>
      <c r="CS91" t="s">
        <v>273</v>
      </c>
      <c r="CT91">
        <v>519.57978000000003</v>
      </c>
      <c r="CU91">
        <v>538.49456099999998</v>
      </c>
      <c r="CV91">
        <v>449.273233</v>
      </c>
      <c r="CW91">
        <v>952.78537100000005</v>
      </c>
      <c r="CX91">
        <v>445.51945799999999</v>
      </c>
      <c r="CY91">
        <v>757.72854700000005</v>
      </c>
      <c r="CZ91" t="s">
        <v>273</v>
      </c>
      <c r="DA91">
        <v>3.6056330000000001</v>
      </c>
      <c r="DB91">
        <v>510.01</v>
      </c>
      <c r="DC91">
        <v>3.8766379999999998</v>
      </c>
      <c r="DD91">
        <v>864</v>
      </c>
      <c r="DE91">
        <v>3.6050580000000001</v>
      </c>
      <c r="DF91">
        <v>505</v>
      </c>
      <c r="DG91">
        <v>10.267279</v>
      </c>
      <c r="DH91">
        <v>765</v>
      </c>
      <c r="DI91">
        <v>1.7836799999999999</v>
      </c>
      <c r="DJ91">
        <v>235</v>
      </c>
      <c r="DK91">
        <v>6.237012</v>
      </c>
      <c r="DL91">
        <v>365</v>
      </c>
      <c r="DM91" t="s">
        <v>273</v>
      </c>
      <c r="DN91">
        <v>5.2259229999999999</v>
      </c>
      <c r="DO91">
        <v>13.628631</v>
      </c>
      <c r="DP91">
        <v>6.9892219999999998</v>
      </c>
      <c r="DQ91" t="s">
        <v>282</v>
      </c>
      <c r="DR91">
        <v>8.0874819999999996</v>
      </c>
      <c r="DS91">
        <v>20.018964</v>
      </c>
      <c r="DT91">
        <v>48.724299999999999</v>
      </c>
      <c r="DU91">
        <v>74.278587999999999</v>
      </c>
      <c r="DV91">
        <v>127.215976</v>
      </c>
      <c r="DW91" t="s">
        <v>283</v>
      </c>
      <c r="DX91" t="s">
        <v>273</v>
      </c>
      <c r="DY91">
        <v>26.230436000000001</v>
      </c>
      <c r="DZ91">
        <v>6.4832000000000001E-2</v>
      </c>
      <c r="EA91">
        <v>1.581963</v>
      </c>
      <c r="EB91">
        <v>1.30585</v>
      </c>
      <c r="EC91">
        <v>82.546143999999998</v>
      </c>
      <c r="ED91">
        <v>21.325396999999999</v>
      </c>
      <c r="EE91">
        <v>797.93096600000001</v>
      </c>
      <c r="EF91">
        <v>9.0785619999999998</v>
      </c>
      <c r="EG91">
        <v>29</v>
      </c>
      <c r="EH91">
        <v>29</v>
      </c>
      <c r="EI91">
        <v>24</v>
      </c>
      <c r="EJ91">
        <v>28</v>
      </c>
      <c r="EK91" t="s">
        <v>273</v>
      </c>
      <c r="EL91" t="s">
        <v>273</v>
      </c>
      <c r="EM91">
        <v>26.724747000000001</v>
      </c>
      <c r="EN91">
        <v>3.7978999999999999E-2</v>
      </c>
      <c r="EO91">
        <v>1.6704509999999999</v>
      </c>
      <c r="EP91">
        <v>1.3036129999999999</v>
      </c>
      <c r="EQ91">
        <v>78.039603999999997</v>
      </c>
      <c r="ER91">
        <v>20.419931999999999</v>
      </c>
      <c r="ES91">
        <v>736.50843299999997</v>
      </c>
      <c r="ET91">
        <v>5.3182419999999997</v>
      </c>
      <c r="EU91">
        <v>29</v>
      </c>
      <c r="EV91">
        <v>29</v>
      </c>
      <c r="EW91">
        <v>28</v>
      </c>
      <c r="EX91">
        <v>29</v>
      </c>
      <c r="EY91" t="s">
        <v>273</v>
      </c>
      <c r="EZ91" t="s">
        <v>273</v>
      </c>
      <c r="FA91">
        <v>30.330255000000001</v>
      </c>
      <c r="FB91">
        <v>6.5468999999999999E-2</v>
      </c>
      <c r="FC91">
        <v>1.581704</v>
      </c>
      <c r="FD91">
        <v>1.305736</v>
      </c>
      <c r="FE91">
        <v>82.552446000000003</v>
      </c>
      <c r="FF91">
        <v>24.660260000000001</v>
      </c>
      <c r="FG91">
        <v>797.98549500000001</v>
      </c>
      <c r="FH91">
        <v>9.1677920000000004</v>
      </c>
      <c r="FI91">
        <v>29</v>
      </c>
      <c r="FJ91">
        <v>29</v>
      </c>
      <c r="FK91">
        <v>24</v>
      </c>
      <c r="FL91">
        <v>28</v>
      </c>
      <c r="FM91" t="s">
        <v>273</v>
      </c>
      <c r="FN91" t="s">
        <v>273</v>
      </c>
      <c r="FO91">
        <v>31.202024999999999</v>
      </c>
      <c r="FP91">
        <v>0.100549</v>
      </c>
      <c r="FQ91">
        <v>3.450774</v>
      </c>
      <c r="FR91">
        <v>3.0102730000000002</v>
      </c>
      <c r="FS91">
        <v>87.234697999999995</v>
      </c>
      <c r="FT91">
        <v>27.053743000000001</v>
      </c>
      <c r="FU91">
        <v>651.86782900000003</v>
      </c>
      <c r="FV91">
        <v>14.07999</v>
      </c>
      <c r="FW91">
        <v>26</v>
      </c>
      <c r="FX91">
        <v>26</v>
      </c>
      <c r="FY91">
        <v>26</v>
      </c>
      <c r="FZ91">
        <v>25</v>
      </c>
      <c r="GA91" t="s">
        <v>273</v>
      </c>
      <c r="GB91" t="s">
        <v>273</v>
      </c>
      <c r="GC91">
        <v>30.464048999999999</v>
      </c>
      <c r="GD91">
        <v>0.135739</v>
      </c>
      <c r="GE91">
        <v>1.5754079999999999</v>
      </c>
      <c r="GF91">
        <v>1.2740530000000001</v>
      </c>
      <c r="GG91">
        <v>80.871341999999999</v>
      </c>
      <c r="GH91">
        <v>23.993169000000002</v>
      </c>
      <c r="GI91">
        <v>1556.088806</v>
      </c>
      <c r="GJ91">
        <v>19.007825</v>
      </c>
      <c r="GK91">
        <v>25</v>
      </c>
      <c r="GL91">
        <v>25</v>
      </c>
      <c r="GM91">
        <v>15</v>
      </c>
      <c r="GN91">
        <v>25</v>
      </c>
      <c r="GO91" t="s">
        <v>273</v>
      </c>
      <c r="GP91" t="s">
        <v>273</v>
      </c>
      <c r="GQ91">
        <v>31.595915999999999</v>
      </c>
      <c r="GR91">
        <v>0.16800699999999999</v>
      </c>
      <c r="GS91">
        <v>2.778966</v>
      </c>
      <c r="GT91">
        <v>2.4077480000000002</v>
      </c>
      <c r="GU91">
        <v>86.641858999999997</v>
      </c>
      <c r="GV91">
        <v>27.120172</v>
      </c>
      <c r="GW91">
        <v>855.50421800000004</v>
      </c>
      <c r="GX91">
        <v>23.526361999999999</v>
      </c>
      <c r="GY91">
        <v>48</v>
      </c>
      <c r="GZ91">
        <v>48</v>
      </c>
      <c r="HA91">
        <v>39</v>
      </c>
      <c r="HB91">
        <v>40</v>
      </c>
      <c r="HC91" t="s">
        <v>273</v>
      </c>
      <c r="HD91" t="s">
        <v>273</v>
      </c>
      <c r="HE91">
        <v>31</v>
      </c>
      <c r="HF91">
        <v>7.5000000000000002E-4</v>
      </c>
      <c r="HG91">
        <v>4.0000000000000001E-3</v>
      </c>
      <c r="HH91">
        <v>3.2258000000000002E-2</v>
      </c>
      <c r="HI91">
        <v>6000</v>
      </c>
    </row>
    <row r="92" spans="1:217" x14ac:dyDescent="0.3">
      <c r="A92">
        <v>571</v>
      </c>
      <c r="B92" t="s">
        <v>269</v>
      </c>
      <c r="F92" t="s">
        <v>270</v>
      </c>
      <c r="G92" t="s">
        <v>288</v>
      </c>
      <c r="H92" t="s">
        <v>289</v>
      </c>
      <c r="I92">
        <v>3375</v>
      </c>
      <c r="J92">
        <v>1</v>
      </c>
      <c r="K92">
        <v>34.273242000000003</v>
      </c>
      <c r="L92">
        <v>0.22</v>
      </c>
      <c r="M92">
        <v>2.1968999999999999E-2</v>
      </c>
      <c r="N92">
        <v>0</v>
      </c>
      <c r="O92">
        <v>0</v>
      </c>
      <c r="P92">
        <v>0</v>
      </c>
      <c r="Q92">
        <v>13.36</v>
      </c>
      <c r="R92">
        <v>1</v>
      </c>
      <c r="S92">
        <v>1</v>
      </c>
      <c r="T92">
        <v>1</v>
      </c>
      <c r="U92">
        <v>1</v>
      </c>
      <c r="V92">
        <v>100</v>
      </c>
      <c r="W92" t="s">
        <v>273</v>
      </c>
      <c r="X92" t="s">
        <v>274</v>
      </c>
      <c r="Y92" t="s">
        <v>274</v>
      </c>
      <c r="Z92" t="s">
        <v>273</v>
      </c>
      <c r="AA92" t="s">
        <v>275</v>
      </c>
      <c r="AB92" t="s">
        <v>276</v>
      </c>
      <c r="AC92">
        <v>293</v>
      </c>
      <c r="AD92">
        <v>5</v>
      </c>
      <c r="AE92" t="s">
        <v>277</v>
      </c>
      <c r="AF92">
        <v>3.1937989999999998</v>
      </c>
      <c r="AG92">
        <v>100</v>
      </c>
      <c r="AH92">
        <v>28.8</v>
      </c>
      <c r="AI92">
        <v>1725</v>
      </c>
      <c r="AJ92">
        <v>800</v>
      </c>
      <c r="AK92">
        <v>1200</v>
      </c>
      <c r="AL92">
        <v>189.9</v>
      </c>
      <c r="AM92">
        <v>2.2000000000000002</v>
      </c>
      <c r="AN92" t="s">
        <v>273</v>
      </c>
      <c r="AO92" t="s">
        <v>278</v>
      </c>
      <c r="AP92" t="s">
        <v>291</v>
      </c>
      <c r="AQ92">
        <v>2.5</v>
      </c>
      <c r="AR92">
        <v>6</v>
      </c>
      <c r="AS92">
        <v>140</v>
      </c>
      <c r="AT92">
        <v>254.8</v>
      </c>
      <c r="AU92">
        <v>0.14535000000000001</v>
      </c>
      <c r="AV92">
        <v>36.1</v>
      </c>
      <c r="AW92">
        <v>238.9</v>
      </c>
      <c r="AX92" t="s">
        <v>280</v>
      </c>
      <c r="AY92">
        <v>0</v>
      </c>
      <c r="AZ92" t="s">
        <v>281</v>
      </c>
      <c r="BA92">
        <v>0.2</v>
      </c>
      <c r="BB92">
        <v>0.5</v>
      </c>
      <c r="BC92" t="s">
        <v>273</v>
      </c>
      <c r="BD92" t="s">
        <v>273</v>
      </c>
      <c r="BE92">
        <v>30.011171000000001</v>
      </c>
      <c r="BF92">
        <v>30.356732999999998</v>
      </c>
      <c r="BG92">
        <v>285.44242100000002</v>
      </c>
      <c r="BH92" t="s">
        <v>273</v>
      </c>
      <c r="BI92">
        <v>39.253242</v>
      </c>
      <c r="BJ92">
        <v>39.705221000000002</v>
      </c>
      <c r="BK92">
        <v>218.23576399999999</v>
      </c>
      <c r="BL92" t="s">
        <v>273</v>
      </c>
      <c r="BM92">
        <v>39.255186000000002</v>
      </c>
      <c r="BN92">
        <v>39.707186999999998</v>
      </c>
      <c r="BO92">
        <v>218.22495599999999</v>
      </c>
      <c r="BP92" t="s">
        <v>273</v>
      </c>
      <c r="BQ92">
        <v>26.177954</v>
      </c>
      <c r="BR92">
        <v>26.479378000000001</v>
      </c>
      <c r="BS92">
        <v>327.23952800000001</v>
      </c>
      <c r="BT92" t="s">
        <v>273</v>
      </c>
      <c r="BU92">
        <v>9.3069790000000001</v>
      </c>
      <c r="BV92">
        <v>9.4141429999999993</v>
      </c>
      <c r="BW92">
        <v>920.43415800000002</v>
      </c>
      <c r="BX92" t="s">
        <v>273</v>
      </c>
      <c r="BY92">
        <v>28.112407000000001</v>
      </c>
      <c r="BZ92">
        <v>29.568911</v>
      </c>
      <c r="CA92">
        <v>32.592950000000002</v>
      </c>
      <c r="CB92">
        <v>39.255186000000002</v>
      </c>
      <c r="CC92">
        <v>18.771322000000001</v>
      </c>
      <c r="CD92">
        <v>29.530828</v>
      </c>
      <c r="CE92" t="s">
        <v>273</v>
      </c>
      <c r="CF92">
        <v>28.436105000000001</v>
      </c>
      <c r="CG92">
        <v>29.909379999999999</v>
      </c>
      <c r="CH92">
        <v>32.968238999999997</v>
      </c>
      <c r="CI92">
        <v>39.707186999999998</v>
      </c>
      <c r="CJ92">
        <v>18.987463000000002</v>
      </c>
      <c r="CK92">
        <v>29.870857999999998</v>
      </c>
      <c r="CL92" t="s">
        <v>273</v>
      </c>
      <c r="CM92">
        <v>304.72173400000003</v>
      </c>
      <c r="CN92">
        <v>289.71176400000002</v>
      </c>
      <c r="CO92">
        <v>262.83172500000001</v>
      </c>
      <c r="CP92">
        <v>218.22495599999999</v>
      </c>
      <c r="CQ92">
        <v>456.35897999999997</v>
      </c>
      <c r="CR92">
        <v>290.08537699999999</v>
      </c>
      <c r="CS92" t="s">
        <v>273</v>
      </c>
      <c r="CT92">
        <v>362.84751899999998</v>
      </c>
      <c r="CU92">
        <v>371.43125600000002</v>
      </c>
      <c r="CV92">
        <v>312.91877199999999</v>
      </c>
      <c r="CW92">
        <v>739.19426999999996</v>
      </c>
      <c r="CX92">
        <v>270.51458000000002</v>
      </c>
      <c r="CY92">
        <v>597.57750799999997</v>
      </c>
      <c r="CZ92" t="s">
        <v>273</v>
      </c>
      <c r="DA92">
        <v>3.609623</v>
      </c>
      <c r="DB92">
        <v>510.01</v>
      </c>
      <c r="DC92">
        <v>3.8864529999999999</v>
      </c>
      <c r="DD92">
        <v>864</v>
      </c>
      <c r="DE92">
        <v>3.609067</v>
      </c>
      <c r="DF92">
        <v>505</v>
      </c>
      <c r="DG92">
        <v>10.268224</v>
      </c>
      <c r="DH92">
        <v>765</v>
      </c>
      <c r="DI92">
        <v>1.796905</v>
      </c>
      <c r="DJ92">
        <v>235</v>
      </c>
      <c r="DK92">
        <v>6.2446710000000003</v>
      </c>
      <c r="DL92">
        <v>365</v>
      </c>
      <c r="DM92" t="s">
        <v>273</v>
      </c>
      <c r="DN92">
        <v>3.467311</v>
      </c>
      <c r="DO92">
        <v>7.9550380000000001</v>
      </c>
      <c r="DP92">
        <v>4.0414469999999998</v>
      </c>
      <c r="DQ92" t="s">
        <v>282</v>
      </c>
      <c r="DR92">
        <v>4.7431549999999998</v>
      </c>
      <c r="DS92">
        <v>16.377206999999999</v>
      </c>
      <c r="DT92">
        <v>33.116847999999997</v>
      </c>
      <c r="DU92">
        <v>89.125630999999998</v>
      </c>
      <c r="DV92">
        <v>131.37879899999999</v>
      </c>
      <c r="DW92" t="s">
        <v>283</v>
      </c>
      <c r="DX92" t="s">
        <v>273</v>
      </c>
      <c r="DY92">
        <v>23.873373999999998</v>
      </c>
      <c r="DZ92">
        <v>4.1849999999999998E-2</v>
      </c>
      <c r="EA92">
        <v>1.005487</v>
      </c>
      <c r="EB92">
        <v>0.842947</v>
      </c>
      <c r="EC92">
        <v>83.834633999999994</v>
      </c>
      <c r="ED92">
        <v>19.711769</v>
      </c>
      <c r="EE92">
        <v>514.50026700000001</v>
      </c>
      <c r="EF92">
        <v>5.860271</v>
      </c>
      <c r="EG92">
        <v>27</v>
      </c>
      <c r="EH92">
        <v>27</v>
      </c>
      <c r="EI92">
        <v>22</v>
      </c>
      <c r="EJ92">
        <v>25</v>
      </c>
      <c r="EK92" t="s">
        <v>273</v>
      </c>
      <c r="EL92" t="s">
        <v>273</v>
      </c>
      <c r="EM92">
        <v>22.100595999999999</v>
      </c>
      <c r="EN92">
        <v>2.1857000000000001E-2</v>
      </c>
      <c r="EO92">
        <v>0.952843</v>
      </c>
      <c r="EP92">
        <v>0.75433600000000001</v>
      </c>
      <c r="EQ92">
        <v>79.166933999999998</v>
      </c>
      <c r="ER92">
        <v>17.037555999999999</v>
      </c>
      <c r="ES92">
        <v>422.79409900000002</v>
      </c>
      <c r="ET92">
        <v>3.0606770000000001</v>
      </c>
      <c r="EU92">
        <v>27</v>
      </c>
      <c r="EV92">
        <v>27</v>
      </c>
      <c r="EW92">
        <v>27</v>
      </c>
      <c r="EX92">
        <v>27</v>
      </c>
      <c r="EY92" t="s">
        <v>273</v>
      </c>
      <c r="EZ92" t="s">
        <v>273</v>
      </c>
      <c r="FA92">
        <v>27.670138999999999</v>
      </c>
      <c r="FB92">
        <v>4.2262000000000001E-2</v>
      </c>
      <c r="FC92">
        <v>1.005036</v>
      </c>
      <c r="FD92">
        <v>0.84289400000000003</v>
      </c>
      <c r="FE92">
        <v>83.867024999999998</v>
      </c>
      <c r="FF92">
        <v>22.855122999999999</v>
      </c>
      <c r="FG92">
        <v>514.54048799999998</v>
      </c>
      <c r="FH92">
        <v>5.9179599999999999</v>
      </c>
      <c r="FI92">
        <v>27</v>
      </c>
      <c r="FJ92">
        <v>27</v>
      </c>
      <c r="FK92">
        <v>22</v>
      </c>
      <c r="FL92">
        <v>25</v>
      </c>
      <c r="FM92" t="s">
        <v>273</v>
      </c>
      <c r="FN92" t="s">
        <v>273</v>
      </c>
      <c r="FO92">
        <v>29.946399</v>
      </c>
      <c r="FP92">
        <v>7.5541999999999998E-2</v>
      </c>
      <c r="FQ92">
        <v>2.5694599999999999</v>
      </c>
      <c r="FR92">
        <v>2.259789</v>
      </c>
      <c r="FS92">
        <v>87.948003</v>
      </c>
      <c r="FT92">
        <v>26.198668000000001</v>
      </c>
      <c r="FU92">
        <v>489.70544999999998</v>
      </c>
      <c r="FV92">
        <v>10.578344</v>
      </c>
      <c r="FW92">
        <v>10</v>
      </c>
      <c r="FX92">
        <v>10</v>
      </c>
      <c r="FY92">
        <v>10</v>
      </c>
      <c r="FZ92">
        <v>9</v>
      </c>
      <c r="GA92" t="s">
        <v>273</v>
      </c>
      <c r="GB92" t="s">
        <v>273</v>
      </c>
      <c r="GC92">
        <v>29.911104999999999</v>
      </c>
      <c r="GD92">
        <v>8.2213999999999995E-2</v>
      </c>
      <c r="GE92">
        <v>0.93920800000000004</v>
      </c>
      <c r="GF92">
        <v>0.77438399999999996</v>
      </c>
      <c r="GG92">
        <v>82.450704999999999</v>
      </c>
      <c r="GH92">
        <v>23.933264000000001</v>
      </c>
      <c r="GI92">
        <v>935.54538400000001</v>
      </c>
      <c r="GJ92">
        <v>11.512539</v>
      </c>
      <c r="GK92">
        <v>30</v>
      </c>
      <c r="GL92">
        <v>30</v>
      </c>
      <c r="GM92">
        <v>15</v>
      </c>
      <c r="GN92">
        <v>25</v>
      </c>
      <c r="GO92" t="s">
        <v>273</v>
      </c>
      <c r="GP92" t="s">
        <v>273</v>
      </c>
      <c r="GQ92">
        <v>31.458307999999999</v>
      </c>
      <c r="GR92">
        <v>0.13613500000000001</v>
      </c>
      <c r="GS92">
        <v>2.1820680000000001</v>
      </c>
      <c r="GT92">
        <v>1.9475450000000001</v>
      </c>
      <c r="GU92">
        <v>89.252255000000005</v>
      </c>
      <c r="GV92">
        <v>27.864591999999998</v>
      </c>
      <c r="GW92">
        <v>692.35709899999995</v>
      </c>
      <c r="GX92">
        <v>19.063196000000001</v>
      </c>
      <c r="GY92">
        <v>64</v>
      </c>
      <c r="GZ92">
        <v>64</v>
      </c>
      <c r="HA92">
        <v>30</v>
      </c>
      <c r="HB92">
        <v>31</v>
      </c>
      <c r="HC92" t="s">
        <v>273</v>
      </c>
      <c r="HD92" t="s">
        <v>273</v>
      </c>
      <c r="HE92">
        <v>18</v>
      </c>
      <c r="HF92">
        <v>7.5000000000000002E-4</v>
      </c>
      <c r="HG92">
        <v>6.0000000000000001E-3</v>
      </c>
      <c r="HH92">
        <v>5.5556000000000001E-2</v>
      </c>
      <c r="HI92">
        <v>3375</v>
      </c>
    </row>
    <row r="93" spans="1:217" x14ac:dyDescent="0.3">
      <c r="A93">
        <v>572</v>
      </c>
      <c r="B93" t="s">
        <v>269</v>
      </c>
      <c r="F93" t="s">
        <v>270</v>
      </c>
      <c r="G93" t="s">
        <v>288</v>
      </c>
      <c r="H93" t="s">
        <v>289</v>
      </c>
      <c r="I93">
        <v>4500</v>
      </c>
      <c r="J93">
        <v>1</v>
      </c>
      <c r="K93">
        <v>46.797656000000003</v>
      </c>
      <c r="L93">
        <v>0.22</v>
      </c>
      <c r="M93">
        <v>3.0209E-2</v>
      </c>
      <c r="N93">
        <v>0</v>
      </c>
      <c r="O93">
        <v>0</v>
      </c>
      <c r="P93">
        <v>0</v>
      </c>
      <c r="Q93">
        <v>17.78</v>
      </c>
      <c r="R93">
        <v>1</v>
      </c>
      <c r="S93">
        <v>1</v>
      </c>
      <c r="T93">
        <v>1</v>
      </c>
      <c r="U93">
        <v>1</v>
      </c>
      <c r="V93">
        <v>100</v>
      </c>
      <c r="W93" t="s">
        <v>273</v>
      </c>
      <c r="X93" t="s">
        <v>274</v>
      </c>
      <c r="Y93" t="s">
        <v>274</v>
      </c>
      <c r="Z93" t="s">
        <v>273</v>
      </c>
      <c r="AA93" t="s">
        <v>275</v>
      </c>
      <c r="AB93" t="s">
        <v>276</v>
      </c>
      <c r="AC93">
        <v>399</v>
      </c>
      <c r="AD93">
        <v>5</v>
      </c>
      <c r="AE93" t="s">
        <v>277</v>
      </c>
      <c r="AF93">
        <v>3.0734530000000002</v>
      </c>
      <c r="AG93">
        <v>100</v>
      </c>
      <c r="AH93">
        <v>27.7</v>
      </c>
      <c r="AI93">
        <v>1660</v>
      </c>
      <c r="AJ93">
        <v>800</v>
      </c>
      <c r="AK93">
        <v>1200</v>
      </c>
      <c r="AL93">
        <v>162.69999999999999</v>
      </c>
      <c r="AM93">
        <v>2.2000000000000002</v>
      </c>
      <c r="AN93" t="s">
        <v>273</v>
      </c>
      <c r="AO93" t="s">
        <v>278</v>
      </c>
      <c r="AP93" t="s">
        <v>292</v>
      </c>
      <c r="AQ93">
        <v>3.4</v>
      </c>
      <c r="AR93">
        <v>6</v>
      </c>
      <c r="AS93">
        <v>190.7</v>
      </c>
      <c r="AT93">
        <v>347</v>
      </c>
      <c r="AU93">
        <v>0.19767599999999999</v>
      </c>
      <c r="AV93">
        <v>36.5</v>
      </c>
      <c r="AW93">
        <v>235.8</v>
      </c>
      <c r="AX93" t="s">
        <v>280</v>
      </c>
      <c r="AY93">
        <v>0</v>
      </c>
      <c r="AZ93" t="s">
        <v>281</v>
      </c>
      <c r="BA93">
        <v>0.2</v>
      </c>
      <c r="BB93">
        <v>0.5</v>
      </c>
      <c r="BC93" t="s">
        <v>273</v>
      </c>
      <c r="BD93" t="s">
        <v>273</v>
      </c>
      <c r="BE93">
        <v>23.219360000000002</v>
      </c>
      <c r="BF93">
        <v>23.486718</v>
      </c>
      <c r="BG93">
        <v>368.936151</v>
      </c>
      <c r="BH93" t="s">
        <v>273</v>
      </c>
      <c r="BI93">
        <v>30.365414000000001</v>
      </c>
      <c r="BJ93">
        <v>30.715055</v>
      </c>
      <c r="BK93">
        <v>282.11244699999997</v>
      </c>
      <c r="BL93" t="s">
        <v>273</v>
      </c>
      <c r="BM93">
        <v>30.366451999999999</v>
      </c>
      <c r="BN93">
        <v>30.716104999999999</v>
      </c>
      <c r="BO93">
        <v>282.10280399999999</v>
      </c>
      <c r="BP93" t="s">
        <v>273</v>
      </c>
      <c r="BQ93">
        <v>19.753223999999999</v>
      </c>
      <c r="BR93">
        <v>19.980671000000001</v>
      </c>
      <c r="BS93">
        <v>433.67407600000001</v>
      </c>
      <c r="BT93" t="s">
        <v>273</v>
      </c>
      <c r="BU93">
        <v>7.0282309999999999</v>
      </c>
      <c r="BV93">
        <v>7.1091569999999997</v>
      </c>
      <c r="BW93">
        <v>1218.8645300000001</v>
      </c>
      <c r="BX93" t="s">
        <v>273</v>
      </c>
      <c r="BY93">
        <v>21.583031999999999</v>
      </c>
      <c r="BZ93">
        <v>23.040431999999999</v>
      </c>
      <c r="CA93">
        <v>25.017389999999999</v>
      </c>
      <c r="CB93">
        <v>30.366451999999999</v>
      </c>
      <c r="CC93">
        <v>14.384925000000001</v>
      </c>
      <c r="CD93">
        <v>22.130155999999999</v>
      </c>
      <c r="CE93" t="s">
        <v>273</v>
      </c>
      <c r="CF93">
        <v>21.831548000000002</v>
      </c>
      <c r="CG93">
        <v>23.305730000000001</v>
      </c>
      <c r="CH93">
        <v>25.305451000000001</v>
      </c>
      <c r="CI93">
        <v>30.716104999999999</v>
      </c>
      <c r="CJ93">
        <v>14.550559</v>
      </c>
      <c r="CK93">
        <v>22.384972000000001</v>
      </c>
      <c r="CL93" t="s">
        <v>273</v>
      </c>
      <c r="CM93">
        <v>396.90722199999999</v>
      </c>
      <c r="CN93">
        <v>371.801242</v>
      </c>
      <c r="CO93">
        <v>342.42026600000003</v>
      </c>
      <c r="CP93">
        <v>282.10280399999999</v>
      </c>
      <c r="CQ93">
        <v>595.51658599999996</v>
      </c>
      <c r="CR93">
        <v>387.09448099999997</v>
      </c>
      <c r="CS93" t="s">
        <v>273</v>
      </c>
      <c r="CT93">
        <v>472.67115999999999</v>
      </c>
      <c r="CU93">
        <v>476.788635</v>
      </c>
      <c r="CV93">
        <v>407.72271799999999</v>
      </c>
      <c r="CW93">
        <v>955.59981600000003</v>
      </c>
      <c r="CX93">
        <v>353.04774600000002</v>
      </c>
      <c r="CY93">
        <v>797.35818700000004</v>
      </c>
      <c r="CZ93" t="s">
        <v>273</v>
      </c>
      <c r="DA93">
        <v>3.6100340000000002</v>
      </c>
      <c r="DB93">
        <v>510.01</v>
      </c>
      <c r="DC93">
        <v>3.8873730000000002</v>
      </c>
      <c r="DD93">
        <v>864</v>
      </c>
      <c r="DE93">
        <v>3.609496</v>
      </c>
      <c r="DF93">
        <v>505</v>
      </c>
      <c r="DG93">
        <v>10.268566</v>
      </c>
      <c r="DH93">
        <v>765</v>
      </c>
      <c r="DI93">
        <v>1.7971349999999999</v>
      </c>
      <c r="DJ93">
        <v>235</v>
      </c>
      <c r="DK93">
        <v>6.2442120000000001</v>
      </c>
      <c r="DL93">
        <v>365</v>
      </c>
      <c r="DM93" t="s">
        <v>273</v>
      </c>
      <c r="DN93">
        <v>3.4497260000000001</v>
      </c>
      <c r="DO93">
        <v>7.9028720000000003</v>
      </c>
      <c r="DP93">
        <v>4.1119779999999997</v>
      </c>
      <c r="DQ93" t="s">
        <v>282</v>
      </c>
      <c r="DR93">
        <v>4.6800709999999999</v>
      </c>
      <c r="DS93">
        <v>16.304039</v>
      </c>
      <c r="DT93">
        <v>32.998959999999997</v>
      </c>
      <c r="DU93">
        <v>89.502599000000004</v>
      </c>
      <c r="DV93">
        <v>130.928923</v>
      </c>
      <c r="DW93" t="s">
        <v>283</v>
      </c>
      <c r="DX93" t="s">
        <v>273</v>
      </c>
      <c r="DY93">
        <v>24.515236999999999</v>
      </c>
      <c r="DZ93">
        <v>4.0939999999999997E-2</v>
      </c>
      <c r="EA93">
        <v>1.3450359999999999</v>
      </c>
      <c r="EB93">
        <v>1.123567</v>
      </c>
      <c r="EC93">
        <v>83.534362000000002</v>
      </c>
      <c r="ED93">
        <v>20.161318000000001</v>
      </c>
      <c r="EE93">
        <v>685.43205899999998</v>
      </c>
      <c r="EF93">
        <v>7.808109</v>
      </c>
      <c r="EG93">
        <v>26</v>
      </c>
      <c r="EH93">
        <v>26</v>
      </c>
      <c r="EI93">
        <v>22</v>
      </c>
      <c r="EJ93">
        <v>24</v>
      </c>
      <c r="EK93" t="s">
        <v>273</v>
      </c>
      <c r="EL93" t="s">
        <v>273</v>
      </c>
      <c r="EM93">
        <v>23.021640999999999</v>
      </c>
      <c r="EN93">
        <v>2.1387E-2</v>
      </c>
      <c r="EO93">
        <v>1.274092</v>
      </c>
      <c r="EP93">
        <v>1.0063249999999999</v>
      </c>
      <c r="EQ93">
        <v>78.983653000000004</v>
      </c>
      <c r="ER93">
        <v>17.688549999999999</v>
      </c>
      <c r="ES93">
        <v>563.32463299999995</v>
      </c>
      <c r="ET93">
        <v>4.0789660000000003</v>
      </c>
      <c r="EU93">
        <v>27</v>
      </c>
      <c r="EV93">
        <v>27</v>
      </c>
      <c r="EW93">
        <v>27</v>
      </c>
      <c r="EX93">
        <v>27</v>
      </c>
      <c r="EY93" t="s">
        <v>273</v>
      </c>
      <c r="EZ93" t="s">
        <v>273</v>
      </c>
      <c r="FA93">
        <v>28.406593999999998</v>
      </c>
      <c r="FB93">
        <v>4.1342999999999998E-2</v>
      </c>
      <c r="FC93">
        <v>1.344382</v>
      </c>
      <c r="FD93">
        <v>1.1234949999999999</v>
      </c>
      <c r="FE93">
        <v>83.569637999999998</v>
      </c>
      <c r="FF93">
        <v>23.371041000000002</v>
      </c>
      <c r="FG93">
        <v>685.48058000000003</v>
      </c>
      <c r="FH93">
        <v>7.8849559999999999</v>
      </c>
      <c r="FI93">
        <v>26</v>
      </c>
      <c r="FJ93">
        <v>26</v>
      </c>
      <c r="FK93">
        <v>22</v>
      </c>
      <c r="FL93">
        <v>24</v>
      </c>
      <c r="FM93" t="s">
        <v>273</v>
      </c>
      <c r="FN93" t="s">
        <v>273</v>
      </c>
      <c r="FO93">
        <v>30.871433</v>
      </c>
      <c r="FP93">
        <v>7.3861999999999997E-2</v>
      </c>
      <c r="FQ93">
        <v>3.4242979999999998</v>
      </c>
      <c r="FR93">
        <v>3.0095369999999999</v>
      </c>
      <c r="FS93">
        <v>87.887702000000004</v>
      </c>
      <c r="FT93">
        <v>26.987090999999999</v>
      </c>
      <c r="FU93">
        <v>652.10087999999996</v>
      </c>
      <c r="FV93">
        <v>14.086790000000001</v>
      </c>
      <c r="FW93">
        <v>10</v>
      </c>
      <c r="FX93">
        <v>10</v>
      </c>
      <c r="FY93">
        <v>10</v>
      </c>
      <c r="FZ93">
        <v>10</v>
      </c>
      <c r="GA93" t="s">
        <v>273</v>
      </c>
      <c r="GB93" t="s">
        <v>273</v>
      </c>
      <c r="GC93">
        <v>30.727015999999999</v>
      </c>
      <c r="GD93">
        <v>8.0463999999999994E-2</v>
      </c>
      <c r="GE93">
        <v>1.2591939999999999</v>
      </c>
      <c r="GF93">
        <v>1.032905</v>
      </c>
      <c r="GG93">
        <v>82.029073999999994</v>
      </c>
      <c r="GH93">
        <v>24.444500000000001</v>
      </c>
      <c r="GI93">
        <v>1246.8984660000001</v>
      </c>
      <c r="GJ93">
        <v>15.345917</v>
      </c>
      <c r="GK93">
        <v>26</v>
      </c>
      <c r="GL93">
        <v>26</v>
      </c>
      <c r="GM93">
        <v>15</v>
      </c>
      <c r="GN93">
        <v>24</v>
      </c>
      <c r="GO93" t="s">
        <v>273</v>
      </c>
      <c r="GP93" t="s">
        <v>273</v>
      </c>
      <c r="GQ93">
        <v>32.091225000000001</v>
      </c>
      <c r="GR93">
        <v>0.133433</v>
      </c>
      <c r="GS93">
        <v>2.9701499999999998</v>
      </c>
      <c r="GT93">
        <v>2.5998770000000002</v>
      </c>
      <c r="GU93">
        <v>87.533496</v>
      </c>
      <c r="GV93">
        <v>27.877427999999998</v>
      </c>
      <c r="GW93">
        <v>924.31771200000003</v>
      </c>
      <c r="GX93">
        <v>25.448073999999998</v>
      </c>
      <c r="GY93">
        <v>68</v>
      </c>
      <c r="GZ93">
        <v>68</v>
      </c>
      <c r="HA93">
        <v>35</v>
      </c>
      <c r="HB93">
        <v>35</v>
      </c>
      <c r="HC93" t="s">
        <v>273</v>
      </c>
      <c r="HD93" t="s">
        <v>273</v>
      </c>
      <c r="HE93">
        <v>18</v>
      </c>
      <c r="HF93">
        <v>7.5000000000000002E-4</v>
      </c>
      <c r="HG93">
        <v>6.0000000000000001E-3</v>
      </c>
      <c r="HH93">
        <v>5.5556000000000001E-2</v>
      </c>
      <c r="HI93">
        <v>4500</v>
      </c>
    </row>
    <row r="94" spans="1:217" x14ac:dyDescent="0.3">
      <c r="A94">
        <v>573</v>
      </c>
      <c r="B94" t="s">
        <v>269</v>
      </c>
      <c r="F94" t="s">
        <v>270</v>
      </c>
      <c r="G94" t="s">
        <v>288</v>
      </c>
      <c r="H94" t="s">
        <v>289</v>
      </c>
      <c r="I94">
        <v>6000</v>
      </c>
      <c r="J94">
        <v>1</v>
      </c>
      <c r="K94">
        <v>63.496875000000003</v>
      </c>
      <c r="L94">
        <v>0.22</v>
      </c>
      <c r="M94">
        <v>4.1195000000000002E-2</v>
      </c>
      <c r="N94">
        <v>0</v>
      </c>
      <c r="O94">
        <v>0</v>
      </c>
      <c r="P94">
        <v>0</v>
      </c>
      <c r="Q94">
        <v>23.66</v>
      </c>
      <c r="R94">
        <v>1</v>
      </c>
      <c r="S94">
        <v>1</v>
      </c>
      <c r="T94">
        <v>1</v>
      </c>
      <c r="U94">
        <v>1</v>
      </c>
      <c r="V94">
        <v>100</v>
      </c>
      <c r="W94" t="s">
        <v>273</v>
      </c>
      <c r="X94" t="s">
        <v>274</v>
      </c>
      <c r="Y94" t="s">
        <v>274</v>
      </c>
      <c r="Z94" t="s">
        <v>273</v>
      </c>
      <c r="AA94" t="s">
        <v>275</v>
      </c>
      <c r="AB94" t="s">
        <v>276</v>
      </c>
      <c r="AC94">
        <v>505</v>
      </c>
      <c r="AD94">
        <v>5</v>
      </c>
      <c r="AE94" t="s">
        <v>277</v>
      </c>
      <c r="AF94">
        <v>2.9068200000000002</v>
      </c>
      <c r="AG94">
        <v>100</v>
      </c>
      <c r="AH94">
        <v>26.2</v>
      </c>
      <c r="AI94">
        <v>1570</v>
      </c>
      <c r="AJ94">
        <v>800</v>
      </c>
      <c r="AK94">
        <v>1200</v>
      </c>
      <c r="AL94">
        <v>144.6</v>
      </c>
      <c r="AM94">
        <v>2.2000000000000002</v>
      </c>
      <c r="AN94" t="s">
        <v>273</v>
      </c>
      <c r="AO94" t="s">
        <v>278</v>
      </c>
      <c r="AP94" t="s">
        <v>290</v>
      </c>
      <c r="AQ94">
        <v>4.3</v>
      </c>
      <c r="AR94">
        <v>6</v>
      </c>
      <c r="AS94">
        <v>241.4</v>
      </c>
      <c r="AT94">
        <v>439.2</v>
      </c>
      <c r="AU94">
        <v>0.250002</v>
      </c>
      <c r="AV94">
        <v>36.9</v>
      </c>
      <c r="AW94">
        <v>233.6</v>
      </c>
      <c r="AX94" t="s">
        <v>280</v>
      </c>
      <c r="AY94">
        <v>0</v>
      </c>
      <c r="AZ94" t="s">
        <v>281</v>
      </c>
      <c r="BA94">
        <v>0.2</v>
      </c>
      <c r="BB94">
        <v>0.5</v>
      </c>
      <c r="BC94" t="s">
        <v>273</v>
      </c>
      <c r="BD94" t="s">
        <v>273</v>
      </c>
      <c r="BE94">
        <v>18.140944000000001</v>
      </c>
      <c r="BF94">
        <v>18.349827000000001</v>
      </c>
      <c r="BG94">
        <v>472.21694600000001</v>
      </c>
      <c r="BH94" t="s">
        <v>273</v>
      </c>
      <c r="BI94">
        <v>23.476516</v>
      </c>
      <c r="BJ94">
        <v>23.746835000000001</v>
      </c>
      <c r="BK94">
        <v>364.89490799999999</v>
      </c>
      <c r="BL94" t="s">
        <v>273</v>
      </c>
      <c r="BM94">
        <v>23.4941</v>
      </c>
      <c r="BN94">
        <v>23.764621999999999</v>
      </c>
      <c r="BO94">
        <v>364.621803</v>
      </c>
      <c r="BP94" t="s">
        <v>273</v>
      </c>
      <c r="BQ94">
        <v>15.243690000000001</v>
      </c>
      <c r="BR94">
        <v>15.419212999999999</v>
      </c>
      <c r="BS94">
        <v>561.96767999999997</v>
      </c>
      <c r="BT94" t="s">
        <v>273</v>
      </c>
      <c r="BU94">
        <v>5.5834440000000001</v>
      </c>
      <c r="BV94">
        <v>5.6477339999999998</v>
      </c>
      <c r="BW94">
        <v>1534.261295</v>
      </c>
      <c r="BX94" t="s">
        <v>273</v>
      </c>
      <c r="BY94">
        <v>16.800156000000001</v>
      </c>
      <c r="BZ94">
        <v>18.075156</v>
      </c>
      <c r="CA94">
        <v>19.445506000000002</v>
      </c>
      <c r="CB94">
        <v>23.4941</v>
      </c>
      <c r="CC94">
        <v>11.501623</v>
      </c>
      <c r="CD94">
        <v>16.817568999999999</v>
      </c>
      <c r="CE94" t="s">
        <v>273</v>
      </c>
      <c r="CF94">
        <v>16.993600000000001</v>
      </c>
      <c r="CG94">
        <v>18.283282</v>
      </c>
      <c r="CH94">
        <v>19.669409999999999</v>
      </c>
      <c r="CI94">
        <v>23.764621999999999</v>
      </c>
      <c r="CJ94">
        <v>11.634058</v>
      </c>
      <c r="CK94">
        <v>17.011213999999999</v>
      </c>
      <c r="CL94" t="s">
        <v>273</v>
      </c>
      <c r="CM94">
        <v>509.90367500000002</v>
      </c>
      <c r="CN94">
        <v>473.93566800000002</v>
      </c>
      <c r="CO94">
        <v>440.53680700000001</v>
      </c>
      <c r="CP94">
        <v>364.621803</v>
      </c>
      <c r="CQ94">
        <v>744.80454099999997</v>
      </c>
      <c r="CR94">
        <v>509.37572499999999</v>
      </c>
      <c r="CS94" t="s">
        <v>273</v>
      </c>
      <c r="CT94">
        <v>607.20655299999999</v>
      </c>
      <c r="CU94">
        <v>607.61127599999998</v>
      </c>
      <c r="CV94">
        <v>524.49675300000001</v>
      </c>
      <c r="CW94">
        <v>1235.073216</v>
      </c>
      <c r="CX94">
        <v>441.31295</v>
      </c>
      <c r="CY94">
        <v>1049.2694799999999</v>
      </c>
      <c r="CZ94" t="s">
        <v>273</v>
      </c>
      <c r="DA94">
        <v>3.6098520000000001</v>
      </c>
      <c r="DB94">
        <v>510.01</v>
      </c>
      <c r="DC94">
        <v>3.8864010000000002</v>
      </c>
      <c r="DD94">
        <v>864</v>
      </c>
      <c r="DE94">
        <v>3.609124</v>
      </c>
      <c r="DF94">
        <v>505</v>
      </c>
      <c r="DG94">
        <v>10.268126000000001</v>
      </c>
      <c r="DH94">
        <v>765</v>
      </c>
      <c r="DI94">
        <v>1.796162</v>
      </c>
      <c r="DJ94">
        <v>235</v>
      </c>
      <c r="DK94">
        <v>6.244389</v>
      </c>
      <c r="DL94">
        <v>365</v>
      </c>
      <c r="DM94" t="s">
        <v>273</v>
      </c>
      <c r="DN94">
        <v>3.677422</v>
      </c>
      <c r="DO94">
        <v>8.5306309999999996</v>
      </c>
      <c r="DP94">
        <v>4.559342</v>
      </c>
      <c r="DQ94" t="s">
        <v>282</v>
      </c>
      <c r="DR94">
        <v>5.0501319999999996</v>
      </c>
      <c r="DS94">
        <v>16.746976</v>
      </c>
      <c r="DT94">
        <v>34.887081000000002</v>
      </c>
      <c r="DU94">
        <v>87.321117000000001</v>
      </c>
      <c r="DV94">
        <v>124.16085099999999</v>
      </c>
      <c r="DW94" t="s">
        <v>283</v>
      </c>
      <c r="DX94" t="s">
        <v>273</v>
      </c>
      <c r="DY94">
        <v>25.592172000000001</v>
      </c>
      <c r="DZ94">
        <v>4.3087E-2</v>
      </c>
      <c r="EA94">
        <v>1.8037749999999999</v>
      </c>
      <c r="EB94">
        <v>1.496661</v>
      </c>
      <c r="EC94">
        <v>82.973832000000002</v>
      </c>
      <c r="ED94">
        <v>20.906638000000001</v>
      </c>
      <c r="EE94">
        <v>913.12297100000001</v>
      </c>
      <c r="EF94">
        <v>10.401331000000001</v>
      </c>
      <c r="EG94">
        <v>23</v>
      </c>
      <c r="EH94">
        <v>23</v>
      </c>
      <c r="EI94">
        <v>21</v>
      </c>
      <c r="EJ94">
        <v>22</v>
      </c>
      <c r="EK94" t="s">
        <v>273</v>
      </c>
      <c r="EL94" t="s">
        <v>273</v>
      </c>
      <c r="EM94">
        <v>24.235458000000001</v>
      </c>
      <c r="EN94">
        <v>2.2518E-2</v>
      </c>
      <c r="EO94">
        <v>1.70929</v>
      </c>
      <c r="EP94">
        <v>1.341483</v>
      </c>
      <c r="EQ94">
        <v>78.481890000000007</v>
      </c>
      <c r="ER94">
        <v>18.497337999999999</v>
      </c>
      <c r="ES94">
        <v>750.90460900000005</v>
      </c>
      <c r="ET94">
        <v>5.4358500000000003</v>
      </c>
      <c r="EU94">
        <v>25</v>
      </c>
      <c r="EV94">
        <v>25</v>
      </c>
      <c r="EW94">
        <v>25</v>
      </c>
      <c r="EX94">
        <v>25</v>
      </c>
      <c r="EY94" t="s">
        <v>273</v>
      </c>
      <c r="EZ94" t="s">
        <v>273</v>
      </c>
      <c r="FA94">
        <v>29.566663999999999</v>
      </c>
      <c r="FB94">
        <v>4.3506999999999997E-2</v>
      </c>
      <c r="FC94">
        <v>1.800047</v>
      </c>
      <c r="FD94">
        <v>1.496429</v>
      </c>
      <c r="FE94">
        <v>83.132795999999999</v>
      </c>
      <c r="FF94">
        <v>24.199397999999999</v>
      </c>
      <c r="FG94">
        <v>913.15528400000005</v>
      </c>
      <c r="FH94">
        <v>10.502770999999999</v>
      </c>
      <c r="FI94">
        <v>27</v>
      </c>
      <c r="FJ94">
        <v>27</v>
      </c>
      <c r="FK94">
        <v>22</v>
      </c>
      <c r="FL94">
        <v>23</v>
      </c>
      <c r="FM94" t="s">
        <v>273</v>
      </c>
      <c r="FN94" t="s">
        <v>273</v>
      </c>
      <c r="FO94">
        <v>31.802710999999999</v>
      </c>
      <c r="FP94">
        <v>7.7715999999999993E-2</v>
      </c>
      <c r="FQ94">
        <v>4.559272</v>
      </c>
      <c r="FR94">
        <v>4.0079929999999999</v>
      </c>
      <c r="FS94">
        <v>87.908602999999999</v>
      </c>
      <c r="FT94">
        <v>27.808893000000001</v>
      </c>
      <c r="FU94">
        <v>868.51558699999998</v>
      </c>
      <c r="FV94">
        <v>18.761012999999998</v>
      </c>
      <c r="FW94">
        <v>51</v>
      </c>
      <c r="FX94">
        <v>51</v>
      </c>
      <c r="FY94">
        <v>14</v>
      </c>
      <c r="FZ94">
        <v>14</v>
      </c>
      <c r="GA94" t="s">
        <v>273</v>
      </c>
      <c r="GB94" t="s">
        <v>273</v>
      </c>
      <c r="GC94">
        <v>31.468354999999999</v>
      </c>
      <c r="GD94">
        <v>8.4686999999999998E-2</v>
      </c>
      <c r="GE94">
        <v>1.6119790000000001</v>
      </c>
      <c r="GF94">
        <v>1.3748689999999999</v>
      </c>
      <c r="GG94">
        <v>85.290745000000001</v>
      </c>
      <c r="GH94">
        <v>26.051826999999999</v>
      </c>
      <c r="GI94">
        <v>1662.020604</v>
      </c>
      <c r="GJ94">
        <v>20.443860999999998</v>
      </c>
      <c r="GK94">
        <v>35</v>
      </c>
      <c r="GL94">
        <v>35</v>
      </c>
      <c r="GM94">
        <v>14</v>
      </c>
      <c r="GN94">
        <v>25</v>
      </c>
      <c r="GO94" t="s">
        <v>273</v>
      </c>
      <c r="GP94" t="s">
        <v>273</v>
      </c>
      <c r="GQ94">
        <v>32.645308</v>
      </c>
      <c r="GR94">
        <v>0.140684</v>
      </c>
      <c r="GS94">
        <v>3.9760010000000001</v>
      </c>
      <c r="GT94">
        <v>3.4682759999999999</v>
      </c>
      <c r="GU94">
        <v>87.230262999999994</v>
      </c>
      <c r="GV94">
        <v>28.271984</v>
      </c>
      <c r="GW94">
        <v>1233.5197619999999</v>
      </c>
      <c r="GX94">
        <v>33.961906999999997</v>
      </c>
      <c r="GY94">
        <v>50</v>
      </c>
      <c r="GZ94">
        <v>50</v>
      </c>
      <c r="HA94">
        <v>40</v>
      </c>
      <c r="HB94">
        <v>42</v>
      </c>
      <c r="HC94" t="s">
        <v>273</v>
      </c>
      <c r="HD94" t="s">
        <v>273</v>
      </c>
      <c r="HE94">
        <v>18</v>
      </c>
      <c r="HF94">
        <v>7.5000000000000002E-4</v>
      </c>
      <c r="HG94">
        <v>6.0000000000000001E-3</v>
      </c>
      <c r="HH94">
        <v>5.5556000000000001E-2</v>
      </c>
      <c r="HI94">
        <v>6000</v>
      </c>
    </row>
    <row r="95" spans="1:217" x14ac:dyDescent="0.3">
      <c r="A95">
        <v>574</v>
      </c>
      <c r="B95" t="s">
        <v>269</v>
      </c>
      <c r="F95" t="s">
        <v>270</v>
      </c>
      <c r="G95" t="s">
        <v>288</v>
      </c>
      <c r="H95" t="s">
        <v>289</v>
      </c>
      <c r="I95">
        <v>6000</v>
      </c>
      <c r="J95">
        <v>1</v>
      </c>
      <c r="K95">
        <v>63.496875000000003</v>
      </c>
      <c r="L95">
        <v>0.22</v>
      </c>
      <c r="M95">
        <v>4.1195000000000002E-2</v>
      </c>
      <c r="N95">
        <v>0</v>
      </c>
      <c r="O95">
        <v>0</v>
      </c>
      <c r="P95">
        <v>0</v>
      </c>
      <c r="Q95">
        <v>23.66</v>
      </c>
      <c r="R95">
        <v>1</v>
      </c>
      <c r="S95">
        <v>1</v>
      </c>
      <c r="T95">
        <v>1</v>
      </c>
      <c r="U95">
        <v>1</v>
      </c>
      <c r="V95">
        <v>100</v>
      </c>
      <c r="W95" t="s">
        <v>273</v>
      </c>
      <c r="X95" t="s">
        <v>274</v>
      </c>
      <c r="Y95" t="s">
        <v>274</v>
      </c>
      <c r="Z95" t="s">
        <v>273</v>
      </c>
      <c r="AA95" t="s">
        <v>275</v>
      </c>
      <c r="AB95" t="s">
        <v>276</v>
      </c>
      <c r="AC95">
        <v>293</v>
      </c>
      <c r="AD95">
        <v>5</v>
      </c>
      <c r="AE95" t="s">
        <v>277</v>
      </c>
      <c r="AF95">
        <v>3.1937989999999998</v>
      </c>
      <c r="AG95">
        <v>100</v>
      </c>
      <c r="AH95">
        <v>28.8</v>
      </c>
      <c r="AI95">
        <v>1725</v>
      </c>
      <c r="AJ95">
        <v>800</v>
      </c>
      <c r="AK95">
        <v>1200</v>
      </c>
      <c r="AL95">
        <v>189.9</v>
      </c>
      <c r="AM95">
        <v>2.2000000000000002</v>
      </c>
      <c r="AN95" t="s">
        <v>273</v>
      </c>
      <c r="AO95" t="s">
        <v>278</v>
      </c>
      <c r="AP95" t="s">
        <v>291</v>
      </c>
      <c r="AQ95">
        <v>2.5</v>
      </c>
      <c r="AR95">
        <v>6</v>
      </c>
      <c r="AS95">
        <v>140</v>
      </c>
      <c r="AT95">
        <v>254.8</v>
      </c>
      <c r="AU95">
        <v>0.14535000000000001</v>
      </c>
      <c r="AV95">
        <v>36.1</v>
      </c>
      <c r="AW95">
        <v>238.9</v>
      </c>
      <c r="AX95" t="s">
        <v>280</v>
      </c>
      <c r="AY95">
        <v>0</v>
      </c>
      <c r="AZ95" t="s">
        <v>281</v>
      </c>
      <c r="BA95">
        <v>0.2</v>
      </c>
      <c r="BB95">
        <v>0.5</v>
      </c>
      <c r="BC95" t="s">
        <v>273</v>
      </c>
      <c r="BD95" t="s">
        <v>273</v>
      </c>
      <c r="BE95">
        <v>19.479593000000001</v>
      </c>
      <c r="BF95">
        <v>19.703890000000001</v>
      </c>
      <c r="BG95">
        <v>439.76592399999998</v>
      </c>
      <c r="BH95" t="s">
        <v>273</v>
      </c>
      <c r="BI95">
        <v>23.410698</v>
      </c>
      <c r="BJ95">
        <v>23.680259</v>
      </c>
      <c r="BK95">
        <v>365.920796</v>
      </c>
      <c r="BL95" t="s">
        <v>273</v>
      </c>
      <c r="BM95">
        <v>23.411404999999998</v>
      </c>
      <c r="BN95">
        <v>23.680973999999999</v>
      </c>
      <c r="BO95">
        <v>365.90974699999998</v>
      </c>
      <c r="BP95" t="s">
        <v>273</v>
      </c>
      <c r="BQ95">
        <v>14.631698</v>
      </c>
      <c r="BR95">
        <v>14.800174</v>
      </c>
      <c r="BS95">
        <v>585.47279300000002</v>
      </c>
      <c r="BT95" t="s">
        <v>273</v>
      </c>
      <c r="BU95">
        <v>7.0862100000000003</v>
      </c>
      <c r="BV95">
        <v>7.1678040000000003</v>
      </c>
      <c r="BW95">
        <v>1208.8917730000001</v>
      </c>
      <c r="BX95" t="s">
        <v>273</v>
      </c>
      <c r="BY95">
        <v>17.449300000000001</v>
      </c>
      <c r="BZ95">
        <v>20.051797000000001</v>
      </c>
      <c r="CA95">
        <v>20.163792000000001</v>
      </c>
      <c r="CB95">
        <v>23.411404999999998</v>
      </c>
      <c r="CC95">
        <v>10.573515</v>
      </c>
      <c r="CD95">
        <v>16.431227</v>
      </c>
      <c r="CE95" t="s">
        <v>273</v>
      </c>
      <c r="CF95">
        <v>17.650219</v>
      </c>
      <c r="CG95">
        <v>20.282682999999999</v>
      </c>
      <c r="CH95">
        <v>20.395966999999999</v>
      </c>
      <c r="CI95">
        <v>23.680973999999999</v>
      </c>
      <c r="CJ95">
        <v>10.695264</v>
      </c>
      <c r="CK95">
        <v>16.620424</v>
      </c>
      <c r="CL95" t="s">
        <v>273</v>
      </c>
      <c r="CM95">
        <v>490.93437499999999</v>
      </c>
      <c r="CN95">
        <v>427.21662600000002</v>
      </c>
      <c r="CO95">
        <v>424.84375499999999</v>
      </c>
      <c r="CP95">
        <v>365.90974699999998</v>
      </c>
      <c r="CQ95">
        <v>810.18099199999995</v>
      </c>
      <c r="CR95">
        <v>521.35248899999999</v>
      </c>
      <c r="CS95" t="s">
        <v>273</v>
      </c>
      <c r="CT95">
        <v>583.74269300000003</v>
      </c>
      <c r="CU95">
        <v>546.33756700000004</v>
      </c>
      <c r="CV95">
        <v>505.07762100000002</v>
      </c>
      <c r="CW95">
        <v>1239.170654</v>
      </c>
      <c r="CX95">
        <v>475.42394000000002</v>
      </c>
      <c r="CY95">
        <v>1072.1456619999999</v>
      </c>
      <c r="CZ95" t="s">
        <v>273</v>
      </c>
      <c r="DA95">
        <v>3.6044510000000001</v>
      </c>
      <c r="DB95">
        <v>510.01</v>
      </c>
      <c r="DC95">
        <v>3.876627</v>
      </c>
      <c r="DD95">
        <v>864</v>
      </c>
      <c r="DE95">
        <v>3.6038779999999999</v>
      </c>
      <c r="DF95">
        <v>505</v>
      </c>
      <c r="DG95">
        <v>10.265930000000001</v>
      </c>
      <c r="DH95">
        <v>765</v>
      </c>
      <c r="DI95">
        <v>1.778853</v>
      </c>
      <c r="DJ95">
        <v>235</v>
      </c>
      <c r="DK95">
        <v>6.2339520000000004</v>
      </c>
      <c r="DL95">
        <v>365</v>
      </c>
      <c r="DM95" t="s">
        <v>273</v>
      </c>
      <c r="DN95">
        <v>5.2237530000000003</v>
      </c>
      <c r="DO95">
        <v>14.044667</v>
      </c>
      <c r="DP95">
        <v>7.1958799999999998</v>
      </c>
      <c r="DQ95" t="s">
        <v>282</v>
      </c>
      <c r="DR95">
        <v>9.0828340000000001</v>
      </c>
      <c r="DS95">
        <v>20.220082999999999</v>
      </c>
      <c r="DT95">
        <v>50.543464</v>
      </c>
      <c r="DU95">
        <v>72.054693999999998</v>
      </c>
      <c r="DV95">
        <v>102.846317</v>
      </c>
      <c r="DW95" t="s">
        <v>283</v>
      </c>
      <c r="DX95" t="s">
        <v>273</v>
      </c>
      <c r="DY95">
        <v>26.632387999999999</v>
      </c>
      <c r="DZ95">
        <v>7.4255000000000002E-2</v>
      </c>
      <c r="EA95">
        <v>1.804556</v>
      </c>
      <c r="EB95">
        <v>1.4925999999999999</v>
      </c>
      <c r="EC95">
        <v>82.712886999999995</v>
      </c>
      <c r="ED95">
        <v>21.740161000000001</v>
      </c>
      <c r="EE95">
        <v>914.20335299999999</v>
      </c>
      <c r="EF95">
        <v>10.398056</v>
      </c>
      <c r="EG95">
        <v>31</v>
      </c>
      <c r="EH95">
        <v>31</v>
      </c>
      <c r="EI95">
        <v>27</v>
      </c>
      <c r="EJ95">
        <v>30</v>
      </c>
      <c r="EK95" t="s">
        <v>273</v>
      </c>
      <c r="EL95" t="s">
        <v>273</v>
      </c>
      <c r="EM95">
        <v>26.838951999999999</v>
      </c>
      <c r="EN95">
        <v>3.8753999999999997E-2</v>
      </c>
      <c r="EO95">
        <v>1.7020230000000001</v>
      </c>
      <c r="EP95">
        <v>1.3294079999999999</v>
      </c>
      <c r="EQ95">
        <v>78.107568000000001</v>
      </c>
      <c r="ER95">
        <v>20.537362999999999</v>
      </c>
      <c r="ES95">
        <v>751.53363300000001</v>
      </c>
      <c r="ET95">
        <v>5.426723</v>
      </c>
      <c r="EU95">
        <v>29</v>
      </c>
      <c r="EV95">
        <v>29</v>
      </c>
      <c r="EW95">
        <v>27</v>
      </c>
      <c r="EX95">
        <v>29</v>
      </c>
      <c r="EY95" t="s">
        <v>273</v>
      </c>
      <c r="EZ95" t="s">
        <v>273</v>
      </c>
      <c r="FA95">
        <v>30.776509000000001</v>
      </c>
      <c r="FB95">
        <v>7.4985999999999997E-2</v>
      </c>
      <c r="FC95">
        <v>1.8043309999999999</v>
      </c>
      <c r="FD95">
        <v>1.492488</v>
      </c>
      <c r="FE95">
        <v>82.716972999999996</v>
      </c>
      <c r="FF95">
        <v>25.124086999999999</v>
      </c>
      <c r="FG95">
        <v>914.27679000000001</v>
      </c>
      <c r="FH95">
        <v>10.500385</v>
      </c>
      <c r="FI95">
        <v>31</v>
      </c>
      <c r="FJ95">
        <v>31</v>
      </c>
      <c r="FK95">
        <v>27</v>
      </c>
      <c r="FL95">
        <v>30</v>
      </c>
      <c r="FM95" t="s">
        <v>273</v>
      </c>
      <c r="FN95" t="s">
        <v>273</v>
      </c>
      <c r="FO95">
        <v>32.064148000000003</v>
      </c>
      <c r="FP95">
        <v>0.13390099999999999</v>
      </c>
      <c r="FQ95">
        <v>4.6120020000000004</v>
      </c>
      <c r="FR95">
        <v>4.0022529999999996</v>
      </c>
      <c r="FS95">
        <v>86.779069000000007</v>
      </c>
      <c r="FT95">
        <v>27.701263000000001</v>
      </c>
      <c r="FU95">
        <v>868.21021800000005</v>
      </c>
      <c r="FV95">
        <v>18.750404</v>
      </c>
      <c r="FW95">
        <v>39</v>
      </c>
      <c r="FX95">
        <v>39</v>
      </c>
      <c r="FY95">
        <v>39</v>
      </c>
      <c r="FZ95">
        <v>37</v>
      </c>
      <c r="GA95" t="s">
        <v>273</v>
      </c>
      <c r="GB95" t="s">
        <v>273</v>
      </c>
      <c r="GC95">
        <v>30.388836000000001</v>
      </c>
      <c r="GD95">
        <v>0.14507500000000001</v>
      </c>
      <c r="GE95">
        <v>1.677003</v>
      </c>
      <c r="GF95">
        <v>1.3587929999999999</v>
      </c>
      <c r="GG95">
        <v>81.025105999999994</v>
      </c>
      <c r="GH95">
        <v>24.030329999999999</v>
      </c>
      <c r="GI95">
        <v>1667.623875</v>
      </c>
      <c r="GJ95">
        <v>20.315114000000001</v>
      </c>
      <c r="GK95">
        <v>26</v>
      </c>
      <c r="GL95">
        <v>26</v>
      </c>
      <c r="GM95">
        <v>16</v>
      </c>
      <c r="GN95">
        <v>25</v>
      </c>
      <c r="GO95" t="s">
        <v>273</v>
      </c>
      <c r="GP95" t="s">
        <v>273</v>
      </c>
      <c r="GQ95">
        <v>32.288874</v>
      </c>
      <c r="GR95">
        <v>0.24166099999999999</v>
      </c>
      <c r="GS95">
        <v>4.0183280000000003</v>
      </c>
      <c r="GT95">
        <v>3.4529130000000001</v>
      </c>
      <c r="GU95">
        <v>85.929096999999999</v>
      </c>
      <c r="GV95">
        <v>27.569628000000002</v>
      </c>
      <c r="GW95">
        <v>1231.1583740000001</v>
      </c>
      <c r="GX95">
        <v>33.840238999999997</v>
      </c>
      <c r="GY95">
        <v>55</v>
      </c>
      <c r="GZ95">
        <v>55</v>
      </c>
      <c r="HA95">
        <v>46</v>
      </c>
      <c r="HB95">
        <v>43</v>
      </c>
      <c r="HC95" t="s">
        <v>273</v>
      </c>
      <c r="HD95" t="s">
        <v>273</v>
      </c>
      <c r="HE95">
        <v>31</v>
      </c>
      <c r="HF95">
        <v>7.5000000000000002E-4</v>
      </c>
      <c r="HG95">
        <v>6.0000000000000001E-3</v>
      </c>
      <c r="HH95">
        <v>3.2258000000000002E-2</v>
      </c>
      <c r="HI95">
        <v>6000</v>
      </c>
    </row>
    <row r="96" spans="1:217" x14ac:dyDescent="0.3">
      <c r="A96">
        <v>590</v>
      </c>
      <c r="B96" t="s">
        <v>269</v>
      </c>
      <c r="F96" t="s">
        <v>270</v>
      </c>
      <c r="G96" t="s">
        <v>288</v>
      </c>
      <c r="H96" t="s">
        <v>289</v>
      </c>
      <c r="I96">
        <v>4500</v>
      </c>
      <c r="J96">
        <v>1</v>
      </c>
      <c r="K96">
        <v>39.766406000000003</v>
      </c>
      <c r="L96">
        <v>0.22</v>
      </c>
      <c r="M96">
        <v>4.7787000000000003E-2</v>
      </c>
      <c r="N96">
        <v>0</v>
      </c>
      <c r="O96">
        <v>0</v>
      </c>
      <c r="P96">
        <v>0</v>
      </c>
      <c r="Q96">
        <v>22.7</v>
      </c>
      <c r="R96">
        <v>1</v>
      </c>
      <c r="S96">
        <v>1</v>
      </c>
      <c r="T96">
        <v>1</v>
      </c>
      <c r="U96">
        <v>1</v>
      </c>
      <c r="V96">
        <v>100</v>
      </c>
      <c r="W96" t="s">
        <v>273</v>
      </c>
      <c r="X96" t="s">
        <v>274</v>
      </c>
      <c r="Y96" t="s">
        <v>274</v>
      </c>
      <c r="Z96" t="s">
        <v>273</v>
      </c>
      <c r="AA96" t="s">
        <v>275</v>
      </c>
      <c r="AB96" t="s">
        <v>276</v>
      </c>
      <c r="AC96">
        <v>399</v>
      </c>
      <c r="AD96">
        <v>5</v>
      </c>
      <c r="AE96" t="s">
        <v>277</v>
      </c>
      <c r="AF96">
        <v>3.0734530000000002</v>
      </c>
      <c r="AG96">
        <v>100</v>
      </c>
      <c r="AH96">
        <v>27.7</v>
      </c>
      <c r="AI96">
        <v>1660</v>
      </c>
      <c r="AJ96">
        <v>800</v>
      </c>
      <c r="AK96">
        <v>1200</v>
      </c>
      <c r="AL96">
        <v>162.69999999999999</v>
      </c>
      <c r="AM96">
        <v>2.2000000000000002</v>
      </c>
      <c r="AN96" t="s">
        <v>273</v>
      </c>
      <c r="AO96" t="s">
        <v>278</v>
      </c>
      <c r="AP96" t="s">
        <v>292</v>
      </c>
      <c r="AQ96">
        <v>3.4</v>
      </c>
      <c r="AR96">
        <v>6</v>
      </c>
      <c r="AS96">
        <v>190.7</v>
      </c>
      <c r="AT96">
        <v>347</v>
      </c>
      <c r="AU96">
        <v>0.19767599999999999</v>
      </c>
      <c r="AV96">
        <v>36.5</v>
      </c>
      <c r="AW96">
        <v>235.8</v>
      </c>
      <c r="AX96" t="s">
        <v>280</v>
      </c>
      <c r="AY96">
        <v>0</v>
      </c>
      <c r="AZ96" t="s">
        <v>281</v>
      </c>
      <c r="BA96">
        <v>0.2</v>
      </c>
      <c r="BB96">
        <v>0.5</v>
      </c>
      <c r="BC96" t="s">
        <v>273</v>
      </c>
      <c r="BD96" t="s">
        <v>273</v>
      </c>
      <c r="BE96">
        <v>22.029823</v>
      </c>
      <c r="BF96">
        <v>22.283484000000001</v>
      </c>
      <c r="BG96">
        <v>388.85747800000001</v>
      </c>
      <c r="BH96" t="s">
        <v>273</v>
      </c>
      <c r="BI96">
        <v>25.169996999999999</v>
      </c>
      <c r="BJ96">
        <v>25.459814999999999</v>
      </c>
      <c r="BK96">
        <v>340.344157</v>
      </c>
      <c r="BL96" t="s">
        <v>273</v>
      </c>
      <c r="BM96">
        <v>25.170987</v>
      </c>
      <c r="BN96">
        <v>25.460816000000001</v>
      </c>
      <c r="BO96">
        <v>340.33077100000003</v>
      </c>
      <c r="BP96" t="s">
        <v>273</v>
      </c>
      <c r="BQ96">
        <v>16.239702000000001</v>
      </c>
      <c r="BR96">
        <v>16.426693</v>
      </c>
      <c r="BS96">
        <v>527.50113199999998</v>
      </c>
      <c r="BT96" t="s">
        <v>273</v>
      </c>
      <c r="BU96">
        <v>6.670928</v>
      </c>
      <c r="BV96">
        <v>6.7477400000000003</v>
      </c>
      <c r="BW96">
        <v>1284.1483189999999</v>
      </c>
      <c r="BX96" t="s">
        <v>273</v>
      </c>
      <c r="BY96">
        <v>19.650427000000001</v>
      </c>
      <c r="BZ96">
        <v>22.742273000000001</v>
      </c>
      <c r="CA96">
        <v>22.761635999999999</v>
      </c>
      <c r="CB96">
        <v>25.170987</v>
      </c>
      <c r="CC96">
        <v>13.487234000000001</v>
      </c>
      <c r="CD96">
        <v>17.252545000000001</v>
      </c>
      <c r="CE96" t="s">
        <v>273</v>
      </c>
      <c r="CF96">
        <v>19.876691000000001</v>
      </c>
      <c r="CG96">
        <v>23.004137</v>
      </c>
      <c r="CH96">
        <v>23.023723</v>
      </c>
      <c r="CI96">
        <v>25.460816000000001</v>
      </c>
      <c r="CJ96">
        <v>13.642531</v>
      </c>
      <c r="CK96">
        <v>17.451198999999999</v>
      </c>
      <c r="CL96" t="s">
        <v>273</v>
      </c>
      <c r="CM96">
        <v>435.94275499999998</v>
      </c>
      <c r="CN96">
        <v>376.67568699999998</v>
      </c>
      <c r="CO96">
        <v>376.355255</v>
      </c>
      <c r="CP96">
        <v>340.33077100000003</v>
      </c>
      <c r="CQ96">
        <v>635.15332599999999</v>
      </c>
      <c r="CR96">
        <v>496.533187</v>
      </c>
      <c r="CS96" t="s">
        <v>273</v>
      </c>
      <c r="CT96">
        <v>519.05690500000003</v>
      </c>
      <c r="CU96">
        <v>483.04717900000003</v>
      </c>
      <c r="CV96">
        <v>448.041631</v>
      </c>
      <c r="CW96">
        <v>1152.758227</v>
      </c>
      <c r="CX96">
        <v>376.28952700000002</v>
      </c>
      <c r="CY96">
        <v>1022.591887</v>
      </c>
      <c r="CZ96" t="s">
        <v>273</v>
      </c>
      <c r="DA96">
        <v>3.6093299999999999</v>
      </c>
      <c r="DB96">
        <v>510.01</v>
      </c>
      <c r="DC96">
        <v>3.887435</v>
      </c>
      <c r="DD96">
        <v>864</v>
      </c>
      <c r="DE96">
        <v>3.6087889999999998</v>
      </c>
      <c r="DF96">
        <v>505</v>
      </c>
      <c r="DG96">
        <v>10.267818</v>
      </c>
      <c r="DH96">
        <v>765</v>
      </c>
      <c r="DI96">
        <v>1.795911</v>
      </c>
      <c r="DJ96">
        <v>235</v>
      </c>
      <c r="DK96">
        <v>6.2430269999999997</v>
      </c>
      <c r="DL96">
        <v>365</v>
      </c>
      <c r="DM96" t="s">
        <v>273</v>
      </c>
      <c r="DN96">
        <v>3.448731</v>
      </c>
      <c r="DO96">
        <v>8.0224569999999993</v>
      </c>
      <c r="DP96">
        <v>4.1766969999999999</v>
      </c>
      <c r="DQ96" t="s">
        <v>282</v>
      </c>
      <c r="DR96">
        <v>4.8891140000000002</v>
      </c>
      <c r="DS96">
        <v>16.488835999999999</v>
      </c>
      <c r="DT96">
        <v>33.577105000000003</v>
      </c>
      <c r="DU96">
        <v>86.535781</v>
      </c>
      <c r="DV96">
        <v>107.059082</v>
      </c>
      <c r="DW96" t="s">
        <v>283</v>
      </c>
      <c r="DX96" t="s">
        <v>273</v>
      </c>
      <c r="DY96">
        <v>25.055733</v>
      </c>
      <c r="DZ96">
        <v>4.6283999999999999E-2</v>
      </c>
      <c r="EA96">
        <v>1.5095959999999999</v>
      </c>
      <c r="EB96">
        <v>1.2681249999999999</v>
      </c>
      <c r="EC96">
        <v>84.004273999999995</v>
      </c>
      <c r="ED96">
        <v>20.756072</v>
      </c>
      <c r="EE96">
        <v>775.05277699999999</v>
      </c>
      <c r="EF96">
        <v>8.8273050000000008</v>
      </c>
      <c r="EG96">
        <v>28</v>
      </c>
      <c r="EH96">
        <v>28</v>
      </c>
      <c r="EI96">
        <v>24</v>
      </c>
      <c r="EJ96">
        <v>26</v>
      </c>
      <c r="EK96" t="s">
        <v>273</v>
      </c>
      <c r="EL96" t="s">
        <v>273</v>
      </c>
      <c r="EM96">
        <v>23.156074</v>
      </c>
      <c r="EN96">
        <v>2.1828E-2</v>
      </c>
      <c r="EO96">
        <v>1.298354</v>
      </c>
      <c r="EP96">
        <v>1.0262309999999999</v>
      </c>
      <c r="EQ96">
        <v>79.040920999999997</v>
      </c>
      <c r="ER96">
        <v>17.818854000000002</v>
      </c>
      <c r="ES96">
        <v>574.91352700000004</v>
      </c>
      <c r="ET96">
        <v>4.1629459999999998</v>
      </c>
      <c r="EU96">
        <v>27</v>
      </c>
      <c r="EV96">
        <v>27</v>
      </c>
      <c r="EW96">
        <v>27</v>
      </c>
      <c r="EX96">
        <v>27</v>
      </c>
      <c r="EY96" t="s">
        <v>273</v>
      </c>
      <c r="EZ96" t="s">
        <v>273</v>
      </c>
      <c r="FA96">
        <v>29.013988999999999</v>
      </c>
      <c r="FB96">
        <v>4.6740999999999998E-2</v>
      </c>
      <c r="FC96">
        <v>1.5089140000000001</v>
      </c>
      <c r="FD96">
        <v>1.2680629999999999</v>
      </c>
      <c r="FE96">
        <v>84.038110000000003</v>
      </c>
      <c r="FF96">
        <v>24.044452</v>
      </c>
      <c r="FG96">
        <v>775.12328000000002</v>
      </c>
      <c r="FH96">
        <v>8.9143530000000002</v>
      </c>
      <c r="FI96">
        <v>28</v>
      </c>
      <c r="FJ96">
        <v>28</v>
      </c>
      <c r="FK96">
        <v>24</v>
      </c>
      <c r="FL96">
        <v>26</v>
      </c>
      <c r="FM96" t="s">
        <v>273</v>
      </c>
      <c r="FN96" t="s">
        <v>273</v>
      </c>
      <c r="FO96">
        <v>31.987437</v>
      </c>
      <c r="FP96">
        <v>9.2527999999999999E-2</v>
      </c>
      <c r="FQ96">
        <v>4.2801239999999998</v>
      </c>
      <c r="FR96">
        <v>3.7679480000000001</v>
      </c>
      <c r="FS96">
        <v>88.033603999999997</v>
      </c>
      <c r="FT96">
        <v>28.025307000000002</v>
      </c>
      <c r="FU96">
        <v>816.96387100000004</v>
      </c>
      <c r="FV96">
        <v>17.646901</v>
      </c>
      <c r="FW96">
        <v>15</v>
      </c>
      <c r="FX96">
        <v>15</v>
      </c>
      <c r="FY96">
        <v>15</v>
      </c>
      <c r="FZ96">
        <v>15</v>
      </c>
      <c r="GA96" t="s">
        <v>273</v>
      </c>
      <c r="GB96" t="s">
        <v>273</v>
      </c>
      <c r="GC96">
        <v>30.732956999999999</v>
      </c>
      <c r="GD96">
        <v>8.6379999999999998E-2</v>
      </c>
      <c r="GE96">
        <v>1.3423480000000001</v>
      </c>
      <c r="GF96">
        <v>1.107064</v>
      </c>
      <c r="GG96">
        <v>82.472166000000001</v>
      </c>
      <c r="GH96">
        <v>24.620889999999999</v>
      </c>
      <c r="GI96">
        <v>1339.487541</v>
      </c>
      <c r="GJ96">
        <v>16.474201999999998</v>
      </c>
      <c r="GK96">
        <v>30</v>
      </c>
      <c r="GL96">
        <v>30</v>
      </c>
      <c r="GM96">
        <v>17</v>
      </c>
      <c r="GN96">
        <v>27</v>
      </c>
      <c r="GO96" t="s">
        <v>273</v>
      </c>
      <c r="GP96" t="s">
        <v>273</v>
      </c>
      <c r="GQ96">
        <v>32.776395999999998</v>
      </c>
      <c r="GR96">
        <v>0.17539299999999999</v>
      </c>
      <c r="GS96">
        <v>3.8904719999999999</v>
      </c>
      <c r="GT96">
        <v>3.412884</v>
      </c>
      <c r="GU96">
        <v>87.724162000000007</v>
      </c>
      <c r="GV96">
        <v>28.572870999999999</v>
      </c>
      <c r="GW96">
        <v>1215.216895</v>
      </c>
      <c r="GX96">
        <v>33.450685</v>
      </c>
      <c r="GY96">
        <v>137</v>
      </c>
      <c r="GZ96">
        <v>137</v>
      </c>
      <c r="HA96">
        <v>49</v>
      </c>
      <c r="HB96">
        <v>51</v>
      </c>
      <c r="HC96" t="s">
        <v>273</v>
      </c>
      <c r="HD96" t="s">
        <v>273</v>
      </c>
      <c r="HE96">
        <v>18</v>
      </c>
      <c r="HF96">
        <v>7.5000000000000002E-4</v>
      </c>
      <c r="HG96">
        <v>8.0000000000000002E-3</v>
      </c>
      <c r="HH96">
        <v>5.5556000000000001E-2</v>
      </c>
      <c r="HI96">
        <v>4500</v>
      </c>
    </row>
    <row r="97" spans="1:217" x14ac:dyDescent="0.3">
      <c r="A97">
        <v>591</v>
      </c>
      <c r="B97" t="s">
        <v>269</v>
      </c>
      <c r="F97" t="s">
        <v>270</v>
      </c>
      <c r="G97" t="s">
        <v>288</v>
      </c>
      <c r="H97" t="s">
        <v>289</v>
      </c>
      <c r="I97">
        <v>6000</v>
      </c>
      <c r="J97">
        <v>1</v>
      </c>
      <c r="K97">
        <v>54.121875000000003</v>
      </c>
      <c r="L97">
        <v>0.22</v>
      </c>
      <c r="M97">
        <v>6.4632999999999996E-2</v>
      </c>
      <c r="N97">
        <v>0</v>
      </c>
      <c r="O97">
        <v>0</v>
      </c>
      <c r="P97">
        <v>0</v>
      </c>
      <c r="Q97">
        <v>30.23</v>
      </c>
      <c r="R97">
        <v>1</v>
      </c>
      <c r="S97">
        <v>1</v>
      </c>
      <c r="T97">
        <v>1</v>
      </c>
      <c r="U97">
        <v>1</v>
      </c>
      <c r="V97">
        <v>100</v>
      </c>
      <c r="W97" t="s">
        <v>273</v>
      </c>
      <c r="X97" t="s">
        <v>274</v>
      </c>
      <c r="Y97" t="s">
        <v>274</v>
      </c>
      <c r="Z97" t="s">
        <v>273</v>
      </c>
      <c r="AA97" t="s">
        <v>275</v>
      </c>
      <c r="AB97" t="s">
        <v>276</v>
      </c>
      <c r="AC97">
        <v>505</v>
      </c>
      <c r="AD97">
        <v>5</v>
      </c>
      <c r="AE97" t="s">
        <v>277</v>
      </c>
      <c r="AF97">
        <v>2.9068200000000002</v>
      </c>
      <c r="AG97">
        <v>100</v>
      </c>
      <c r="AH97">
        <v>26.2</v>
      </c>
      <c r="AI97">
        <v>1570</v>
      </c>
      <c r="AJ97">
        <v>800</v>
      </c>
      <c r="AK97">
        <v>1200</v>
      </c>
      <c r="AL97">
        <v>144.6</v>
      </c>
      <c r="AM97">
        <v>2.2000000000000002</v>
      </c>
      <c r="AN97" t="s">
        <v>273</v>
      </c>
      <c r="AO97" t="s">
        <v>278</v>
      </c>
      <c r="AP97" t="s">
        <v>290</v>
      </c>
      <c r="AQ97">
        <v>4.3</v>
      </c>
      <c r="AR97">
        <v>6</v>
      </c>
      <c r="AS97">
        <v>241.4</v>
      </c>
      <c r="AT97">
        <v>439.2</v>
      </c>
      <c r="AU97">
        <v>0.250002</v>
      </c>
      <c r="AV97">
        <v>36.9</v>
      </c>
      <c r="AW97">
        <v>233.6</v>
      </c>
      <c r="AX97" t="s">
        <v>280</v>
      </c>
      <c r="AY97">
        <v>0</v>
      </c>
      <c r="AZ97" t="s">
        <v>281</v>
      </c>
      <c r="BA97">
        <v>0.2</v>
      </c>
      <c r="BB97">
        <v>0.5</v>
      </c>
      <c r="BC97" t="s">
        <v>273</v>
      </c>
      <c r="BD97" t="s">
        <v>273</v>
      </c>
      <c r="BE97">
        <v>17.18289</v>
      </c>
      <c r="BF97">
        <v>17.380742000000001</v>
      </c>
      <c r="BG97">
        <v>498.54600399999998</v>
      </c>
      <c r="BH97" t="s">
        <v>273</v>
      </c>
      <c r="BI97">
        <v>19.103227</v>
      </c>
      <c r="BJ97">
        <v>19.32319</v>
      </c>
      <c r="BK97">
        <v>448.43006000000003</v>
      </c>
      <c r="BL97" t="s">
        <v>273</v>
      </c>
      <c r="BM97">
        <v>19.112324999999998</v>
      </c>
      <c r="BN97">
        <v>19.332391999999999</v>
      </c>
      <c r="BO97">
        <v>448.21660800000001</v>
      </c>
      <c r="BP97" t="s">
        <v>273</v>
      </c>
      <c r="BQ97">
        <v>12.370217</v>
      </c>
      <c r="BR97">
        <v>12.512653</v>
      </c>
      <c r="BS97">
        <v>692.50694199999998</v>
      </c>
      <c r="BT97" t="s">
        <v>273</v>
      </c>
      <c r="BU97">
        <v>4.5120040000000001</v>
      </c>
      <c r="BV97">
        <v>4.5639580000000004</v>
      </c>
      <c r="BW97">
        <v>1898.593296</v>
      </c>
      <c r="BX97" t="s">
        <v>273</v>
      </c>
      <c r="BY97">
        <v>15.247612</v>
      </c>
      <c r="BZ97">
        <v>17.838919000000001</v>
      </c>
      <c r="CA97">
        <v>17.646470999999998</v>
      </c>
      <c r="CB97">
        <v>19.112324999999998</v>
      </c>
      <c r="CC97">
        <v>10.702738</v>
      </c>
      <c r="CD97">
        <v>12.950362999999999</v>
      </c>
      <c r="CE97" t="s">
        <v>273</v>
      </c>
      <c r="CF97">
        <v>15.423178999999999</v>
      </c>
      <c r="CG97">
        <v>18.044324</v>
      </c>
      <c r="CH97">
        <v>17.84966</v>
      </c>
      <c r="CI97">
        <v>19.332391999999999</v>
      </c>
      <c r="CJ97">
        <v>10.825974</v>
      </c>
      <c r="CK97">
        <v>13.099479000000001</v>
      </c>
      <c r="CL97" t="s">
        <v>273</v>
      </c>
      <c r="CM97">
        <v>561.82315300000005</v>
      </c>
      <c r="CN97">
        <v>480.211904</v>
      </c>
      <c r="CO97">
        <v>485.44896599999998</v>
      </c>
      <c r="CP97">
        <v>448.21660800000001</v>
      </c>
      <c r="CQ97">
        <v>800.39901899999995</v>
      </c>
      <c r="CR97">
        <v>661.484283</v>
      </c>
      <c r="CS97" t="s">
        <v>273</v>
      </c>
      <c r="CT97">
        <v>668.87176699999998</v>
      </c>
      <c r="CU97">
        <v>615.66343900000004</v>
      </c>
      <c r="CV97">
        <v>577.85514799999999</v>
      </c>
      <c r="CW97">
        <v>1518.1509490000001</v>
      </c>
      <c r="CX97">
        <v>473.94884500000001</v>
      </c>
      <c r="CY97">
        <v>1362.2442530000001</v>
      </c>
      <c r="CZ97" t="s">
        <v>273</v>
      </c>
      <c r="DA97">
        <v>3.6089790000000002</v>
      </c>
      <c r="DB97">
        <v>510.01</v>
      </c>
      <c r="DC97">
        <v>3.8864369999999999</v>
      </c>
      <c r="DD97">
        <v>864</v>
      </c>
      <c r="DE97">
        <v>3.6084160000000001</v>
      </c>
      <c r="DF97">
        <v>505</v>
      </c>
      <c r="DG97">
        <v>10.267581</v>
      </c>
      <c r="DH97">
        <v>765</v>
      </c>
      <c r="DI97">
        <v>1.795007</v>
      </c>
      <c r="DJ97">
        <v>235</v>
      </c>
      <c r="DK97">
        <v>6.2427590000000004</v>
      </c>
      <c r="DL97">
        <v>365</v>
      </c>
      <c r="DM97" t="s">
        <v>273</v>
      </c>
      <c r="DN97">
        <v>3.6764269999999999</v>
      </c>
      <c r="DO97">
        <v>8.6773919999999993</v>
      </c>
      <c r="DP97">
        <v>4.6418819999999998</v>
      </c>
      <c r="DQ97" t="s">
        <v>282</v>
      </c>
      <c r="DR97">
        <v>5.3302620000000003</v>
      </c>
      <c r="DS97">
        <v>16.929943999999999</v>
      </c>
      <c r="DT97">
        <v>35.579481000000001</v>
      </c>
      <c r="DU97">
        <v>84.472401000000005</v>
      </c>
      <c r="DV97">
        <v>111.566726</v>
      </c>
      <c r="DW97" t="s">
        <v>283</v>
      </c>
      <c r="DX97" t="s">
        <v>273</v>
      </c>
      <c r="DY97">
        <v>26.188797999999998</v>
      </c>
      <c r="DZ97">
        <v>4.8712999999999999E-2</v>
      </c>
      <c r="EA97">
        <v>2.03328</v>
      </c>
      <c r="EB97">
        <v>1.6891099999999999</v>
      </c>
      <c r="EC97">
        <v>83.073170000000005</v>
      </c>
      <c r="ED97">
        <v>21.457401999999998</v>
      </c>
      <c r="EE97">
        <v>1032.604259</v>
      </c>
      <c r="EF97">
        <v>11.75949</v>
      </c>
      <c r="EG97">
        <v>34</v>
      </c>
      <c r="EH97">
        <v>34</v>
      </c>
      <c r="EI97">
        <v>26</v>
      </c>
      <c r="EJ97">
        <v>27</v>
      </c>
      <c r="EK97" t="s">
        <v>273</v>
      </c>
      <c r="EL97" t="s">
        <v>273</v>
      </c>
      <c r="EM97">
        <v>24.369831999999999</v>
      </c>
      <c r="EN97">
        <v>2.2977999999999998E-2</v>
      </c>
      <c r="EO97">
        <v>1.7415449999999999</v>
      </c>
      <c r="EP97">
        <v>1.3678330000000001</v>
      </c>
      <c r="EQ97">
        <v>78.541348999999997</v>
      </c>
      <c r="ER97">
        <v>18.628882999999998</v>
      </c>
      <c r="ES97">
        <v>766.25969799999996</v>
      </c>
      <c r="ET97">
        <v>5.5470579999999998</v>
      </c>
      <c r="EU97">
        <v>33</v>
      </c>
      <c r="EV97">
        <v>33</v>
      </c>
      <c r="EW97">
        <v>25</v>
      </c>
      <c r="EX97">
        <v>25</v>
      </c>
      <c r="EY97" t="s">
        <v>273</v>
      </c>
      <c r="EZ97" t="s">
        <v>273</v>
      </c>
      <c r="FA97">
        <v>30.312365</v>
      </c>
      <c r="FB97">
        <v>4.9193000000000001E-2</v>
      </c>
      <c r="FC97">
        <v>2.033188</v>
      </c>
      <c r="FD97">
        <v>1.6890179999999999</v>
      </c>
      <c r="FE97">
        <v>83.072412</v>
      </c>
      <c r="FF97">
        <v>24.835523999999999</v>
      </c>
      <c r="FG97">
        <v>1032.7020749999999</v>
      </c>
      <c r="FH97">
        <v>11.875423</v>
      </c>
      <c r="FI97">
        <v>29</v>
      </c>
      <c r="FJ97">
        <v>29</v>
      </c>
      <c r="FK97">
        <v>26</v>
      </c>
      <c r="FL97">
        <v>27</v>
      </c>
      <c r="FM97" t="s">
        <v>273</v>
      </c>
      <c r="FN97" t="s">
        <v>273</v>
      </c>
      <c r="FO97">
        <v>32.374777000000002</v>
      </c>
      <c r="FP97">
        <v>9.7382999999999997E-2</v>
      </c>
      <c r="FQ97">
        <v>5.705063</v>
      </c>
      <c r="FR97">
        <v>5.0186349999999997</v>
      </c>
      <c r="FS97">
        <v>87.968095000000005</v>
      </c>
      <c r="FT97">
        <v>28.348749999999999</v>
      </c>
      <c r="FU97">
        <v>1088.3614319999999</v>
      </c>
      <c r="FV97">
        <v>23.508707000000001</v>
      </c>
      <c r="FW97">
        <v>16</v>
      </c>
      <c r="FX97">
        <v>16</v>
      </c>
      <c r="FY97">
        <v>16</v>
      </c>
      <c r="FZ97">
        <v>16</v>
      </c>
      <c r="GA97" t="s">
        <v>273</v>
      </c>
      <c r="GB97" t="s">
        <v>273</v>
      </c>
      <c r="GC97">
        <v>31.470618000000002</v>
      </c>
      <c r="GD97">
        <v>9.0898999999999994E-2</v>
      </c>
      <c r="GE97">
        <v>1.731312</v>
      </c>
      <c r="GF97">
        <v>1.473306</v>
      </c>
      <c r="GG97">
        <v>85.097649000000004</v>
      </c>
      <c r="GH97">
        <v>26.037379999999999</v>
      </c>
      <c r="GI97">
        <v>1785.0875639999999</v>
      </c>
      <c r="GJ97">
        <v>21.943536000000002</v>
      </c>
      <c r="GK97">
        <v>39</v>
      </c>
      <c r="GL97">
        <v>39</v>
      </c>
      <c r="GM97">
        <v>18</v>
      </c>
      <c r="GN97">
        <v>27</v>
      </c>
      <c r="GO97" t="s">
        <v>273</v>
      </c>
      <c r="GP97" t="s">
        <v>273</v>
      </c>
      <c r="GQ97">
        <v>33.189456</v>
      </c>
      <c r="GR97">
        <v>0.18487100000000001</v>
      </c>
      <c r="GS97">
        <v>5.2480000000000002</v>
      </c>
      <c r="GT97">
        <v>4.5524659999999999</v>
      </c>
      <c r="GU97">
        <v>86.746694000000005</v>
      </c>
      <c r="GV97">
        <v>28.616154000000002</v>
      </c>
      <c r="GW97">
        <v>1621.3706400000001</v>
      </c>
      <c r="GX97">
        <v>44.628770000000003</v>
      </c>
      <c r="GY97">
        <v>66</v>
      </c>
      <c r="GZ97">
        <v>66</v>
      </c>
      <c r="HA97">
        <v>49</v>
      </c>
      <c r="HB97">
        <v>45</v>
      </c>
      <c r="HC97" t="s">
        <v>273</v>
      </c>
      <c r="HD97" t="s">
        <v>273</v>
      </c>
      <c r="HE97">
        <v>18</v>
      </c>
      <c r="HF97">
        <v>7.5000000000000002E-4</v>
      </c>
      <c r="HG97">
        <v>8.0000000000000002E-3</v>
      </c>
      <c r="HH97">
        <v>5.5556000000000001E-2</v>
      </c>
      <c r="HI97">
        <v>6000</v>
      </c>
    </row>
    <row r="98" spans="1:217" x14ac:dyDescent="0.3">
      <c r="A98">
        <v>592</v>
      </c>
      <c r="B98" t="s">
        <v>269</v>
      </c>
      <c r="F98" t="s">
        <v>270</v>
      </c>
      <c r="G98" t="s">
        <v>288</v>
      </c>
      <c r="H98" t="s">
        <v>289</v>
      </c>
      <c r="I98">
        <v>6000</v>
      </c>
      <c r="J98">
        <v>1</v>
      </c>
      <c r="K98">
        <v>54.121875000000003</v>
      </c>
      <c r="L98">
        <v>0.22</v>
      </c>
      <c r="M98">
        <v>6.4632999999999996E-2</v>
      </c>
      <c r="N98">
        <v>0</v>
      </c>
      <c r="O98">
        <v>0</v>
      </c>
      <c r="P98">
        <v>0</v>
      </c>
      <c r="Q98">
        <v>30.23</v>
      </c>
      <c r="R98">
        <v>1</v>
      </c>
      <c r="S98">
        <v>1</v>
      </c>
      <c r="T98">
        <v>1</v>
      </c>
      <c r="U98">
        <v>1</v>
      </c>
      <c r="V98">
        <v>100</v>
      </c>
      <c r="W98" t="s">
        <v>273</v>
      </c>
      <c r="X98" t="s">
        <v>274</v>
      </c>
      <c r="Y98" t="s">
        <v>274</v>
      </c>
      <c r="Z98" t="s">
        <v>273</v>
      </c>
      <c r="AA98" t="s">
        <v>275</v>
      </c>
      <c r="AB98" t="s">
        <v>276</v>
      </c>
      <c r="AC98">
        <v>293</v>
      </c>
      <c r="AD98">
        <v>5</v>
      </c>
      <c r="AE98" t="s">
        <v>277</v>
      </c>
      <c r="AF98">
        <v>3.1937989999999998</v>
      </c>
      <c r="AG98">
        <v>100</v>
      </c>
      <c r="AH98">
        <v>28.8</v>
      </c>
      <c r="AI98">
        <v>1725</v>
      </c>
      <c r="AJ98">
        <v>800</v>
      </c>
      <c r="AK98">
        <v>1200</v>
      </c>
      <c r="AL98">
        <v>189.9</v>
      </c>
      <c r="AM98">
        <v>2.2000000000000002</v>
      </c>
      <c r="AN98" t="s">
        <v>273</v>
      </c>
      <c r="AO98" t="s">
        <v>278</v>
      </c>
      <c r="AP98" t="s">
        <v>291</v>
      </c>
      <c r="AQ98">
        <v>2.5</v>
      </c>
      <c r="AR98">
        <v>6</v>
      </c>
      <c r="AS98">
        <v>140</v>
      </c>
      <c r="AT98">
        <v>254.8</v>
      </c>
      <c r="AU98">
        <v>0.14535000000000001</v>
      </c>
      <c r="AV98">
        <v>36.1</v>
      </c>
      <c r="AW98">
        <v>238.9</v>
      </c>
      <c r="AX98" t="s">
        <v>280</v>
      </c>
      <c r="AY98">
        <v>0</v>
      </c>
      <c r="AZ98" t="s">
        <v>281</v>
      </c>
      <c r="BA98">
        <v>0.2</v>
      </c>
      <c r="BB98">
        <v>0.5</v>
      </c>
      <c r="BC98" t="s">
        <v>273</v>
      </c>
      <c r="BD98" t="s">
        <v>273</v>
      </c>
      <c r="BE98">
        <v>18.310903</v>
      </c>
      <c r="BF98">
        <v>18.521743000000001</v>
      </c>
      <c r="BG98">
        <v>467.83390600000001</v>
      </c>
      <c r="BH98" t="s">
        <v>273</v>
      </c>
      <c r="BI98">
        <v>19.098509</v>
      </c>
      <c r="BJ98">
        <v>19.318418000000001</v>
      </c>
      <c r="BK98">
        <v>448.54083900000001</v>
      </c>
      <c r="BL98" t="s">
        <v>273</v>
      </c>
      <c r="BM98">
        <v>19.098876000000001</v>
      </c>
      <c r="BN98">
        <v>19.318788000000001</v>
      </c>
      <c r="BO98">
        <v>448.53223000000003</v>
      </c>
      <c r="BP98" t="s">
        <v>273</v>
      </c>
      <c r="BQ98">
        <v>11.632761</v>
      </c>
      <c r="BR98">
        <v>11.766705999999999</v>
      </c>
      <c r="BS98">
        <v>736.40825099999995</v>
      </c>
      <c r="BT98" t="s">
        <v>273</v>
      </c>
      <c r="BU98">
        <v>6.387308</v>
      </c>
      <c r="BV98">
        <v>6.4608540000000003</v>
      </c>
      <c r="BW98">
        <v>1341.1693580000001</v>
      </c>
      <c r="BX98" t="s">
        <v>273</v>
      </c>
      <c r="BY98">
        <v>15.675283</v>
      </c>
      <c r="BZ98">
        <v>19.757657999999999</v>
      </c>
      <c r="CA98">
        <v>18.105005999999999</v>
      </c>
      <c r="CB98">
        <v>19.098876000000001</v>
      </c>
      <c r="CC98">
        <v>9.9770979999999998</v>
      </c>
      <c r="CD98">
        <v>12.209159</v>
      </c>
      <c r="CE98" t="s">
        <v>273</v>
      </c>
      <c r="CF98">
        <v>15.855775</v>
      </c>
      <c r="CG98">
        <v>19.985157000000001</v>
      </c>
      <c r="CH98">
        <v>18.313475</v>
      </c>
      <c r="CI98">
        <v>19.318788000000001</v>
      </c>
      <c r="CJ98">
        <v>10.091979</v>
      </c>
      <c r="CK98">
        <v>12.349741</v>
      </c>
      <c r="CL98" t="s">
        <v>273</v>
      </c>
      <c r="CM98">
        <v>546.49482699999999</v>
      </c>
      <c r="CN98">
        <v>433.57674900000001</v>
      </c>
      <c r="CO98">
        <v>473.15429</v>
      </c>
      <c r="CP98">
        <v>448.53223000000003</v>
      </c>
      <c r="CQ98">
        <v>858.61251600000003</v>
      </c>
      <c r="CR98">
        <v>701.64218900000003</v>
      </c>
      <c r="CS98" t="s">
        <v>273</v>
      </c>
      <c r="CT98">
        <v>649.60504000000003</v>
      </c>
      <c r="CU98">
        <v>554.46466299999997</v>
      </c>
      <c r="CV98">
        <v>562.33737900000006</v>
      </c>
      <c r="CW98">
        <v>1518.8601819999999</v>
      </c>
      <c r="CX98">
        <v>501.94572799999997</v>
      </c>
      <c r="CY98">
        <v>1441.8036279999999</v>
      </c>
      <c r="CZ98" t="s">
        <v>273</v>
      </c>
      <c r="DA98">
        <v>3.6033339999999998</v>
      </c>
      <c r="DB98">
        <v>510.01</v>
      </c>
      <c r="DC98">
        <v>3.876582</v>
      </c>
      <c r="DD98">
        <v>864</v>
      </c>
      <c r="DE98">
        <v>3.60276</v>
      </c>
      <c r="DF98">
        <v>505</v>
      </c>
      <c r="DG98">
        <v>10.26515</v>
      </c>
      <c r="DH98">
        <v>765</v>
      </c>
      <c r="DI98">
        <v>1.772151</v>
      </c>
      <c r="DJ98">
        <v>235</v>
      </c>
      <c r="DK98">
        <v>6.22919</v>
      </c>
      <c r="DL98">
        <v>365</v>
      </c>
      <c r="DM98" t="s">
        <v>273</v>
      </c>
      <c r="DN98">
        <v>5.2216639999999996</v>
      </c>
      <c r="DO98">
        <v>14.516018000000001</v>
      </c>
      <c r="DP98">
        <v>7.417567</v>
      </c>
      <c r="DQ98" t="s">
        <v>282</v>
      </c>
      <c r="DR98">
        <v>10.387377000000001</v>
      </c>
      <c r="DS98">
        <v>20.418265999999999</v>
      </c>
      <c r="DT98">
        <v>52.739227999999997</v>
      </c>
      <c r="DU98">
        <v>70.073196999999993</v>
      </c>
      <c r="DV98">
        <v>92.307355999999999</v>
      </c>
      <c r="DW98" t="s">
        <v>283</v>
      </c>
      <c r="DX98" t="s">
        <v>273</v>
      </c>
      <c r="DY98">
        <v>27.090188000000001</v>
      </c>
      <c r="DZ98">
        <v>8.3918000000000006E-2</v>
      </c>
      <c r="EA98">
        <v>2.0426790000000001</v>
      </c>
      <c r="EB98">
        <v>1.684245</v>
      </c>
      <c r="EC98">
        <v>82.452741000000003</v>
      </c>
      <c r="ED98">
        <v>22.078192000000001</v>
      </c>
      <c r="EE98">
        <v>1033.4904429999999</v>
      </c>
      <c r="EF98">
        <v>11.751170999999999</v>
      </c>
      <c r="EG98">
        <v>35</v>
      </c>
      <c r="EH98">
        <v>35</v>
      </c>
      <c r="EI98">
        <v>31</v>
      </c>
      <c r="EJ98">
        <v>33</v>
      </c>
      <c r="EK98" t="s">
        <v>273</v>
      </c>
      <c r="EL98" t="s">
        <v>273</v>
      </c>
      <c r="EM98">
        <v>26.947714999999999</v>
      </c>
      <c r="EN98">
        <v>3.9549000000000001E-2</v>
      </c>
      <c r="EO98">
        <v>1.7343409999999999</v>
      </c>
      <c r="EP98">
        <v>1.3557349999999999</v>
      </c>
      <c r="EQ98">
        <v>78.170051999999998</v>
      </c>
      <c r="ER98">
        <v>20.651693999999999</v>
      </c>
      <c r="ES98">
        <v>766.96871499999997</v>
      </c>
      <c r="ET98">
        <v>5.5381130000000001</v>
      </c>
      <c r="EU98">
        <v>29</v>
      </c>
      <c r="EV98">
        <v>29</v>
      </c>
      <c r="EW98">
        <v>27</v>
      </c>
      <c r="EX98">
        <v>29</v>
      </c>
      <c r="EY98" t="s">
        <v>273</v>
      </c>
      <c r="EZ98" t="s">
        <v>273</v>
      </c>
      <c r="FA98">
        <v>31.290299000000001</v>
      </c>
      <c r="FB98">
        <v>8.4745000000000001E-2</v>
      </c>
      <c r="FC98">
        <v>2.042421</v>
      </c>
      <c r="FD98">
        <v>1.684137</v>
      </c>
      <c r="FE98">
        <v>82.457848999999996</v>
      </c>
      <c r="FF98">
        <v>25.502642000000002</v>
      </c>
      <c r="FG98">
        <v>1033.585724</v>
      </c>
      <c r="FH98">
        <v>11.866956</v>
      </c>
      <c r="FI98">
        <v>35</v>
      </c>
      <c r="FJ98">
        <v>35</v>
      </c>
      <c r="FK98">
        <v>31</v>
      </c>
      <c r="FL98">
        <v>33</v>
      </c>
      <c r="FM98" t="s">
        <v>273</v>
      </c>
      <c r="FN98" t="s">
        <v>273</v>
      </c>
      <c r="FO98">
        <v>33.111364999999999</v>
      </c>
      <c r="FP98">
        <v>0.16780999999999999</v>
      </c>
      <c r="FQ98">
        <v>5.8375899999999996</v>
      </c>
      <c r="FR98">
        <v>5.01248</v>
      </c>
      <c r="FS98">
        <v>85.865573999999995</v>
      </c>
      <c r="FT98">
        <v>28.323419000000001</v>
      </c>
      <c r="FU98">
        <v>1088.1549640000001</v>
      </c>
      <c r="FV98">
        <v>23.498681000000001</v>
      </c>
      <c r="FW98">
        <v>43</v>
      </c>
      <c r="FX98">
        <v>43</v>
      </c>
      <c r="FY98">
        <v>42</v>
      </c>
      <c r="FZ98">
        <v>42</v>
      </c>
      <c r="GA98" t="s">
        <v>273</v>
      </c>
      <c r="GB98" t="s">
        <v>273</v>
      </c>
      <c r="GC98">
        <v>30.496853999999999</v>
      </c>
      <c r="GD98">
        <v>0.15397</v>
      </c>
      <c r="GE98">
        <v>1.7768489999999999</v>
      </c>
      <c r="GF98">
        <v>1.4407859999999999</v>
      </c>
      <c r="GG98">
        <v>81.086586999999994</v>
      </c>
      <c r="GH98">
        <v>24.156161999999998</v>
      </c>
      <c r="GI98">
        <v>1776.5669029999999</v>
      </c>
      <c r="GJ98">
        <v>21.560721000000001</v>
      </c>
      <c r="GK98">
        <v>26</v>
      </c>
      <c r="GL98">
        <v>26</v>
      </c>
      <c r="GM98">
        <v>16</v>
      </c>
      <c r="GN98">
        <v>25</v>
      </c>
      <c r="GO98" t="s">
        <v>273</v>
      </c>
      <c r="GP98" t="s">
        <v>273</v>
      </c>
      <c r="GQ98">
        <v>32.066141999999999</v>
      </c>
      <c r="GR98">
        <v>0.31708500000000001</v>
      </c>
      <c r="GS98">
        <v>5.3665050000000001</v>
      </c>
      <c r="GT98">
        <v>4.5268420000000003</v>
      </c>
      <c r="GU98">
        <v>84.353632000000005</v>
      </c>
      <c r="GV98">
        <v>26.899736999999998</v>
      </c>
      <c r="GW98">
        <v>1616.6469500000001</v>
      </c>
      <c r="GX98">
        <v>44.402023999999997</v>
      </c>
      <c r="GY98">
        <v>54</v>
      </c>
      <c r="GZ98">
        <v>54</v>
      </c>
      <c r="HA98">
        <v>45</v>
      </c>
      <c r="HB98">
        <v>42</v>
      </c>
      <c r="HC98" t="s">
        <v>273</v>
      </c>
      <c r="HD98" t="s">
        <v>273</v>
      </c>
      <c r="HE98">
        <v>31</v>
      </c>
      <c r="HF98">
        <v>7.5000000000000002E-4</v>
      </c>
      <c r="HG98">
        <v>8.0000000000000002E-3</v>
      </c>
      <c r="HH98">
        <v>3.2258000000000002E-2</v>
      </c>
      <c r="HI98">
        <v>6000</v>
      </c>
    </row>
    <row r="99" spans="1:217" x14ac:dyDescent="0.3">
      <c r="A99">
        <v>607</v>
      </c>
      <c r="B99" t="s">
        <v>269</v>
      </c>
      <c r="F99" t="s">
        <v>270</v>
      </c>
      <c r="G99" t="s">
        <v>288</v>
      </c>
      <c r="H99" t="s">
        <v>289</v>
      </c>
      <c r="I99">
        <v>3375</v>
      </c>
      <c r="J99">
        <v>1</v>
      </c>
      <c r="K99">
        <v>54.707811999999997</v>
      </c>
      <c r="L99">
        <v>0.22</v>
      </c>
      <c r="M99">
        <v>1.0434000000000001E-2</v>
      </c>
      <c r="N99">
        <v>0</v>
      </c>
      <c r="O99">
        <v>0</v>
      </c>
      <c r="P99">
        <v>0</v>
      </c>
      <c r="Q99">
        <v>12.24</v>
      </c>
      <c r="R99">
        <v>1</v>
      </c>
      <c r="S99">
        <v>1</v>
      </c>
      <c r="T99">
        <v>1</v>
      </c>
      <c r="U99">
        <v>1</v>
      </c>
      <c r="V99">
        <v>100</v>
      </c>
      <c r="W99" t="s">
        <v>273</v>
      </c>
      <c r="X99" t="s">
        <v>274</v>
      </c>
      <c r="Y99" t="s">
        <v>274</v>
      </c>
      <c r="Z99" t="s">
        <v>273</v>
      </c>
      <c r="AA99" t="s">
        <v>275</v>
      </c>
      <c r="AB99" t="s">
        <v>276</v>
      </c>
      <c r="AC99">
        <v>293</v>
      </c>
      <c r="AD99">
        <v>5</v>
      </c>
      <c r="AE99" t="s">
        <v>277</v>
      </c>
      <c r="AF99">
        <v>3.1937989999999998</v>
      </c>
      <c r="AG99">
        <v>100</v>
      </c>
      <c r="AH99">
        <v>28.8</v>
      </c>
      <c r="AI99">
        <v>1725</v>
      </c>
      <c r="AJ99">
        <v>800</v>
      </c>
      <c r="AK99">
        <v>1200</v>
      </c>
      <c r="AL99">
        <v>189.9</v>
      </c>
      <c r="AM99">
        <v>2.2000000000000002</v>
      </c>
      <c r="AN99" t="s">
        <v>273</v>
      </c>
      <c r="AO99" t="s">
        <v>278</v>
      </c>
      <c r="AP99" t="s">
        <v>291</v>
      </c>
      <c r="AQ99">
        <v>2.5</v>
      </c>
      <c r="AR99">
        <v>6</v>
      </c>
      <c r="AS99">
        <v>140</v>
      </c>
      <c r="AT99">
        <v>254.8</v>
      </c>
      <c r="AU99">
        <v>0.14535000000000001</v>
      </c>
      <c r="AV99">
        <v>36.1</v>
      </c>
      <c r="AW99">
        <v>238.9</v>
      </c>
      <c r="AX99" t="s">
        <v>280</v>
      </c>
      <c r="AY99">
        <v>0</v>
      </c>
      <c r="AZ99" t="s">
        <v>281</v>
      </c>
      <c r="BA99">
        <v>0.2</v>
      </c>
      <c r="BB99">
        <v>0.5</v>
      </c>
      <c r="BC99" t="s">
        <v>273</v>
      </c>
      <c r="BD99" t="s">
        <v>273</v>
      </c>
      <c r="BE99">
        <v>28.999627</v>
      </c>
      <c r="BF99">
        <v>29.333542000000001</v>
      </c>
      <c r="BG99">
        <v>295.39901200000003</v>
      </c>
      <c r="BH99" t="s">
        <v>273</v>
      </c>
      <c r="BI99">
        <v>42.09854</v>
      </c>
      <c r="BJ99">
        <v>42.583280999999999</v>
      </c>
      <c r="BK99">
        <v>203.48594499999999</v>
      </c>
      <c r="BL99" t="s">
        <v>273</v>
      </c>
      <c r="BM99">
        <v>42.100966999999997</v>
      </c>
      <c r="BN99">
        <v>42.585735</v>
      </c>
      <c r="BO99">
        <v>203.47421800000001</v>
      </c>
      <c r="BP99" t="s">
        <v>273</v>
      </c>
      <c r="BQ99">
        <v>29.494226999999999</v>
      </c>
      <c r="BR99">
        <v>29.833836000000002</v>
      </c>
      <c r="BS99">
        <v>290.44536099999999</v>
      </c>
      <c r="BT99" t="s">
        <v>273</v>
      </c>
      <c r="BU99">
        <v>10.215978</v>
      </c>
      <c r="BV99">
        <v>10.333608999999999</v>
      </c>
      <c r="BW99">
        <v>838.53562899999997</v>
      </c>
      <c r="BX99" t="s">
        <v>273</v>
      </c>
      <c r="BY99">
        <v>28.16414</v>
      </c>
      <c r="BZ99">
        <v>27.687252999999998</v>
      </c>
      <c r="CA99">
        <v>32.652830999999999</v>
      </c>
      <c r="CB99">
        <v>42.100966999999997</v>
      </c>
      <c r="CC99">
        <v>19.025001</v>
      </c>
      <c r="CD99">
        <v>35.039945000000003</v>
      </c>
      <c r="CE99" t="s">
        <v>273</v>
      </c>
      <c r="CF99">
        <v>28.488434000000002</v>
      </c>
      <c r="CG99">
        <v>28.006056999999998</v>
      </c>
      <c r="CH99">
        <v>33.02881</v>
      </c>
      <c r="CI99">
        <v>42.585735</v>
      </c>
      <c r="CJ99">
        <v>19.244063000000001</v>
      </c>
      <c r="CK99">
        <v>35.443410999999998</v>
      </c>
      <c r="CL99" t="s">
        <v>273</v>
      </c>
      <c r="CM99">
        <v>304.16200700000002</v>
      </c>
      <c r="CN99">
        <v>309.40090400000003</v>
      </c>
      <c r="CO99">
        <v>262.34972800000003</v>
      </c>
      <c r="CP99">
        <v>203.47421800000001</v>
      </c>
      <c r="CQ99">
        <v>450.27389599999998</v>
      </c>
      <c r="CR99">
        <v>244.47701599999999</v>
      </c>
      <c r="CS99" t="s">
        <v>273</v>
      </c>
      <c r="CT99">
        <v>362.09913699999998</v>
      </c>
      <c r="CU99">
        <v>396.37748199999999</v>
      </c>
      <c r="CV99">
        <v>312.27427899999998</v>
      </c>
      <c r="CW99">
        <v>689.23125300000004</v>
      </c>
      <c r="CX99">
        <v>266.83506399999999</v>
      </c>
      <c r="CY99">
        <v>503.73208299999999</v>
      </c>
      <c r="CZ99" t="s">
        <v>273</v>
      </c>
      <c r="DA99">
        <v>3.6088070000000001</v>
      </c>
      <c r="DB99">
        <v>510.01</v>
      </c>
      <c r="DC99">
        <v>3.8835470000000001</v>
      </c>
      <c r="DD99">
        <v>864</v>
      </c>
      <c r="DE99">
        <v>3.6082510000000001</v>
      </c>
      <c r="DF99">
        <v>505</v>
      </c>
      <c r="DG99">
        <v>10.268257</v>
      </c>
      <c r="DH99">
        <v>765</v>
      </c>
      <c r="DI99">
        <v>1.7964169999999999</v>
      </c>
      <c r="DJ99">
        <v>235</v>
      </c>
      <c r="DK99">
        <v>6.2460110000000002</v>
      </c>
      <c r="DL99">
        <v>365</v>
      </c>
      <c r="DM99" t="s">
        <v>273</v>
      </c>
      <c r="DN99">
        <v>3.4925419999999998</v>
      </c>
      <c r="DO99">
        <v>7.9555340000000001</v>
      </c>
      <c r="DP99">
        <v>4.049887</v>
      </c>
      <c r="DQ99" t="s">
        <v>282</v>
      </c>
      <c r="DR99">
        <v>4.6175189999999997</v>
      </c>
      <c r="DS99">
        <v>16.30423</v>
      </c>
      <c r="DT99">
        <v>32.927169999999997</v>
      </c>
      <c r="DU99">
        <v>91.118536000000006</v>
      </c>
      <c r="DV99">
        <v>151.341126</v>
      </c>
      <c r="DW99" t="s">
        <v>283</v>
      </c>
      <c r="DX99" t="s">
        <v>273</v>
      </c>
      <c r="DY99">
        <v>23.875843</v>
      </c>
      <c r="DZ99">
        <v>4.1711999999999999E-2</v>
      </c>
      <c r="EA99">
        <v>1.003517</v>
      </c>
      <c r="EB99">
        <v>0.84031699999999998</v>
      </c>
      <c r="EC99">
        <v>83.737117999999995</v>
      </c>
      <c r="ED99">
        <v>19.687795000000001</v>
      </c>
      <c r="EE99">
        <v>512.93031900000005</v>
      </c>
      <c r="EF99">
        <v>5.8410679999999999</v>
      </c>
      <c r="EG99">
        <v>27</v>
      </c>
      <c r="EH99">
        <v>27</v>
      </c>
      <c r="EI99">
        <v>22</v>
      </c>
      <c r="EJ99">
        <v>26</v>
      </c>
      <c r="EK99" t="s">
        <v>273</v>
      </c>
      <c r="EL99" t="s">
        <v>273</v>
      </c>
      <c r="EM99">
        <v>22.847017000000001</v>
      </c>
      <c r="EN99">
        <v>2.4187E-2</v>
      </c>
      <c r="EO99">
        <v>1.05118</v>
      </c>
      <c r="EP99">
        <v>0.83192699999999997</v>
      </c>
      <c r="EQ99">
        <v>79.142201999999997</v>
      </c>
      <c r="ER99">
        <v>17.667285</v>
      </c>
      <c r="ES99">
        <v>468.21582999999998</v>
      </c>
      <c r="ET99">
        <v>3.3869579999999999</v>
      </c>
      <c r="EU99">
        <v>27</v>
      </c>
      <c r="EV99">
        <v>27</v>
      </c>
      <c r="EW99">
        <v>27</v>
      </c>
      <c r="EX99">
        <v>27</v>
      </c>
      <c r="EY99" t="s">
        <v>273</v>
      </c>
      <c r="EZ99" t="s">
        <v>273</v>
      </c>
      <c r="FA99">
        <v>27.670911</v>
      </c>
      <c r="FB99">
        <v>4.2122E-2</v>
      </c>
      <c r="FC99">
        <v>1.0029939999999999</v>
      </c>
      <c r="FD99">
        <v>0.84024200000000004</v>
      </c>
      <c r="FE99">
        <v>83.773393999999996</v>
      </c>
      <c r="FF99">
        <v>22.826739</v>
      </c>
      <c r="FG99">
        <v>512.95790099999999</v>
      </c>
      <c r="FH99">
        <v>5.8984240000000003</v>
      </c>
      <c r="FI99">
        <v>27</v>
      </c>
      <c r="FJ99">
        <v>27</v>
      </c>
      <c r="FK99">
        <v>22</v>
      </c>
      <c r="FL99">
        <v>26</v>
      </c>
      <c r="FM99" t="s">
        <v>273</v>
      </c>
      <c r="FN99" t="s">
        <v>273</v>
      </c>
      <c r="FO99">
        <v>29.407900000000001</v>
      </c>
      <c r="FP99">
        <v>6.9099999999999995E-2</v>
      </c>
      <c r="FQ99">
        <v>2.352706</v>
      </c>
      <c r="FR99">
        <v>2.067939</v>
      </c>
      <c r="FS99">
        <v>87.896203</v>
      </c>
      <c r="FT99">
        <v>25.701657999999998</v>
      </c>
      <c r="FU99">
        <v>447.94203099999999</v>
      </c>
      <c r="FV99">
        <v>9.6762250000000005</v>
      </c>
      <c r="FW99">
        <v>10</v>
      </c>
      <c r="FX99">
        <v>10</v>
      </c>
      <c r="FY99">
        <v>10</v>
      </c>
      <c r="FZ99">
        <v>9</v>
      </c>
      <c r="GA99" t="s">
        <v>273</v>
      </c>
      <c r="GB99" t="s">
        <v>273</v>
      </c>
      <c r="GC99">
        <v>29.835393</v>
      </c>
      <c r="GD99">
        <v>8.0710000000000004E-2</v>
      </c>
      <c r="GE99">
        <v>0.92408800000000002</v>
      </c>
      <c r="GF99">
        <v>0.761015</v>
      </c>
      <c r="GG99">
        <v>82.353060999999997</v>
      </c>
      <c r="GH99">
        <v>23.819420999999998</v>
      </c>
      <c r="GI99">
        <v>918.67841999999996</v>
      </c>
      <c r="GJ99">
        <v>11.301909</v>
      </c>
      <c r="GK99">
        <v>27</v>
      </c>
      <c r="GL99">
        <v>27</v>
      </c>
      <c r="GM99">
        <v>15</v>
      </c>
      <c r="GN99">
        <v>25</v>
      </c>
      <c r="GO99" t="s">
        <v>273</v>
      </c>
      <c r="GP99" t="s">
        <v>273</v>
      </c>
      <c r="GQ99">
        <v>30.765825</v>
      </c>
      <c r="GR99">
        <v>0.11208600000000001</v>
      </c>
      <c r="GS99">
        <v>1.798899</v>
      </c>
      <c r="GT99">
        <v>1.607199</v>
      </c>
      <c r="GU99">
        <v>89.343442999999994</v>
      </c>
      <c r="GV99">
        <v>27.216373999999998</v>
      </c>
      <c r="GW99">
        <v>569.92788299999995</v>
      </c>
      <c r="GX99">
        <v>15.695626000000001</v>
      </c>
      <c r="GY99">
        <v>34</v>
      </c>
      <c r="GZ99">
        <v>34</v>
      </c>
      <c r="HA99">
        <v>15</v>
      </c>
      <c r="HB99">
        <v>16</v>
      </c>
      <c r="HC99" t="s">
        <v>273</v>
      </c>
      <c r="HD99" t="s">
        <v>273</v>
      </c>
      <c r="HE99">
        <v>18</v>
      </c>
      <c r="HF99">
        <v>1E-3</v>
      </c>
      <c r="HG99">
        <v>5.0000000000000001E-3</v>
      </c>
      <c r="HH99">
        <v>5.5556000000000001E-2</v>
      </c>
      <c r="HI99">
        <v>3375</v>
      </c>
    </row>
    <row r="100" spans="1:217" x14ac:dyDescent="0.3">
      <c r="A100">
        <v>608</v>
      </c>
      <c r="B100" t="s">
        <v>269</v>
      </c>
      <c r="F100" t="s">
        <v>270</v>
      </c>
      <c r="G100" t="s">
        <v>288</v>
      </c>
      <c r="H100" t="s">
        <v>289</v>
      </c>
      <c r="I100">
        <v>4500</v>
      </c>
      <c r="J100">
        <v>1</v>
      </c>
      <c r="K100">
        <v>74.043750000000003</v>
      </c>
      <c r="L100">
        <v>0.22</v>
      </c>
      <c r="M100">
        <v>1.4827999999999999E-2</v>
      </c>
      <c r="N100">
        <v>0</v>
      </c>
      <c r="O100">
        <v>0</v>
      </c>
      <c r="P100">
        <v>0</v>
      </c>
      <c r="Q100">
        <v>16.28</v>
      </c>
      <c r="R100">
        <v>1</v>
      </c>
      <c r="S100">
        <v>1</v>
      </c>
      <c r="T100">
        <v>1</v>
      </c>
      <c r="U100">
        <v>1</v>
      </c>
      <c r="V100">
        <v>100</v>
      </c>
      <c r="W100" t="s">
        <v>273</v>
      </c>
      <c r="X100" t="s">
        <v>274</v>
      </c>
      <c r="Y100" t="s">
        <v>274</v>
      </c>
      <c r="Z100" t="s">
        <v>273</v>
      </c>
      <c r="AA100" t="s">
        <v>275</v>
      </c>
      <c r="AB100" t="s">
        <v>276</v>
      </c>
      <c r="AC100">
        <v>399</v>
      </c>
      <c r="AD100">
        <v>5</v>
      </c>
      <c r="AE100" t="s">
        <v>277</v>
      </c>
      <c r="AF100">
        <v>3.0734530000000002</v>
      </c>
      <c r="AG100">
        <v>100</v>
      </c>
      <c r="AH100">
        <v>27.7</v>
      </c>
      <c r="AI100">
        <v>1660</v>
      </c>
      <c r="AJ100">
        <v>800</v>
      </c>
      <c r="AK100">
        <v>1200</v>
      </c>
      <c r="AL100">
        <v>162.69999999999999</v>
      </c>
      <c r="AM100">
        <v>2.2000000000000002</v>
      </c>
      <c r="AN100" t="s">
        <v>273</v>
      </c>
      <c r="AO100" t="s">
        <v>278</v>
      </c>
      <c r="AP100" t="s">
        <v>292</v>
      </c>
      <c r="AQ100">
        <v>3.4</v>
      </c>
      <c r="AR100">
        <v>6</v>
      </c>
      <c r="AS100">
        <v>190.7</v>
      </c>
      <c r="AT100">
        <v>347</v>
      </c>
      <c r="AU100">
        <v>0.19767599999999999</v>
      </c>
      <c r="AV100">
        <v>36.5</v>
      </c>
      <c r="AW100">
        <v>235.8</v>
      </c>
      <c r="AX100" t="s">
        <v>280</v>
      </c>
      <c r="AY100">
        <v>0</v>
      </c>
      <c r="AZ100" t="s">
        <v>281</v>
      </c>
      <c r="BA100">
        <v>0.2</v>
      </c>
      <c r="BB100">
        <v>0.5</v>
      </c>
      <c r="BC100" t="s">
        <v>273</v>
      </c>
      <c r="BD100" t="s">
        <v>273</v>
      </c>
      <c r="BE100">
        <v>22.431384000000001</v>
      </c>
      <c r="BF100">
        <v>22.689668999999999</v>
      </c>
      <c r="BG100">
        <v>381.89624300000003</v>
      </c>
      <c r="BH100" t="s">
        <v>273</v>
      </c>
      <c r="BI100">
        <v>32.622587000000003</v>
      </c>
      <c r="BJ100">
        <v>32.998218000000001</v>
      </c>
      <c r="BK100">
        <v>262.59294699999998</v>
      </c>
      <c r="BL100" t="s">
        <v>273</v>
      </c>
      <c r="BM100">
        <v>32.624043999999998</v>
      </c>
      <c r="BN100">
        <v>32.999692000000003</v>
      </c>
      <c r="BO100">
        <v>262.58121599999998</v>
      </c>
      <c r="BP100" t="s">
        <v>273</v>
      </c>
      <c r="BQ100">
        <v>22.314993999999999</v>
      </c>
      <c r="BR100">
        <v>22.571937999999999</v>
      </c>
      <c r="BS100">
        <v>383.88813299999998</v>
      </c>
      <c r="BT100" t="s">
        <v>273</v>
      </c>
      <c r="BU100">
        <v>7.5776909999999997</v>
      </c>
      <c r="BV100">
        <v>7.6649440000000002</v>
      </c>
      <c r="BW100">
        <v>1130.4843940000001</v>
      </c>
      <c r="BX100" t="s">
        <v>273</v>
      </c>
      <c r="BY100">
        <v>21.638725999999998</v>
      </c>
      <c r="BZ100">
        <v>21.541186</v>
      </c>
      <c r="CA100">
        <v>25.081914000000001</v>
      </c>
      <c r="CB100">
        <v>32.624043999999998</v>
      </c>
      <c r="CC100">
        <v>14.597478000000001</v>
      </c>
      <c r="CD100">
        <v>26.317561999999999</v>
      </c>
      <c r="CE100" t="s">
        <v>273</v>
      </c>
      <c r="CF100">
        <v>21.887884</v>
      </c>
      <c r="CG100">
        <v>21.789221000000001</v>
      </c>
      <c r="CH100">
        <v>25.370718</v>
      </c>
      <c r="CI100">
        <v>32.999692000000003</v>
      </c>
      <c r="CJ100">
        <v>14.765560000000001</v>
      </c>
      <c r="CK100">
        <v>26.620594000000001</v>
      </c>
      <c r="CL100" t="s">
        <v>273</v>
      </c>
      <c r="CM100">
        <v>395.88565299999999</v>
      </c>
      <c r="CN100">
        <v>397.67825099999999</v>
      </c>
      <c r="CO100">
        <v>341.53937500000001</v>
      </c>
      <c r="CP100">
        <v>262.58121599999998</v>
      </c>
      <c r="CQ100">
        <v>586.84529499999996</v>
      </c>
      <c r="CR100">
        <v>325.50360499999999</v>
      </c>
      <c r="CS100" t="s">
        <v>273</v>
      </c>
      <c r="CT100">
        <v>471.34910300000001</v>
      </c>
      <c r="CU100">
        <v>509.58981999999997</v>
      </c>
      <c r="CV100">
        <v>406.58279399999998</v>
      </c>
      <c r="CW100">
        <v>889.47814600000004</v>
      </c>
      <c r="CX100">
        <v>347.80805900000001</v>
      </c>
      <c r="CY100">
        <v>670.62296100000003</v>
      </c>
      <c r="CZ100" t="s">
        <v>273</v>
      </c>
      <c r="DA100">
        <v>3.609226</v>
      </c>
      <c r="DB100">
        <v>510.01</v>
      </c>
      <c r="DC100">
        <v>3.884455</v>
      </c>
      <c r="DD100">
        <v>864</v>
      </c>
      <c r="DE100">
        <v>3.6086879999999999</v>
      </c>
      <c r="DF100">
        <v>505</v>
      </c>
      <c r="DG100">
        <v>10.268636000000001</v>
      </c>
      <c r="DH100">
        <v>765</v>
      </c>
      <c r="DI100">
        <v>1.796624</v>
      </c>
      <c r="DJ100">
        <v>235</v>
      </c>
      <c r="DK100">
        <v>6.2454499999999999</v>
      </c>
      <c r="DL100">
        <v>365</v>
      </c>
      <c r="DM100" t="s">
        <v>273</v>
      </c>
      <c r="DN100">
        <v>3.4750730000000001</v>
      </c>
      <c r="DO100">
        <v>7.903613</v>
      </c>
      <c r="DP100">
        <v>4.1208169999999997</v>
      </c>
      <c r="DQ100" t="s">
        <v>282</v>
      </c>
      <c r="DR100">
        <v>4.5776960000000004</v>
      </c>
      <c r="DS100">
        <v>16.231280999999999</v>
      </c>
      <c r="DT100">
        <v>32.833407000000001</v>
      </c>
      <c r="DU100">
        <v>91.522964000000002</v>
      </c>
      <c r="DV100">
        <v>154.70610099999999</v>
      </c>
      <c r="DW100" t="s">
        <v>283</v>
      </c>
      <c r="DX100" t="s">
        <v>273</v>
      </c>
      <c r="DY100">
        <v>24.536875999999999</v>
      </c>
      <c r="DZ100">
        <v>4.0807000000000003E-2</v>
      </c>
      <c r="EA100">
        <v>1.3424579999999999</v>
      </c>
      <c r="EB100">
        <v>1.120088</v>
      </c>
      <c r="EC100">
        <v>83.435631999999998</v>
      </c>
      <c r="ED100">
        <v>20.151797999999999</v>
      </c>
      <c r="EE100">
        <v>683.34380099999998</v>
      </c>
      <c r="EF100">
        <v>7.7825790000000001</v>
      </c>
      <c r="EG100">
        <v>26</v>
      </c>
      <c r="EH100">
        <v>26</v>
      </c>
      <c r="EI100">
        <v>22</v>
      </c>
      <c r="EJ100">
        <v>25</v>
      </c>
      <c r="EK100" t="s">
        <v>273</v>
      </c>
      <c r="EL100" t="s">
        <v>273</v>
      </c>
      <c r="EM100">
        <v>23.766743999999999</v>
      </c>
      <c r="EN100">
        <v>2.3671999999999999E-2</v>
      </c>
      <c r="EO100">
        <v>1.405818</v>
      </c>
      <c r="EP100">
        <v>1.110096</v>
      </c>
      <c r="EQ100">
        <v>78.964447000000007</v>
      </c>
      <c r="ER100">
        <v>18.317633000000001</v>
      </c>
      <c r="ES100">
        <v>623.95919200000003</v>
      </c>
      <c r="ET100">
        <v>4.5146220000000001</v>
      </c>
      <c r="EU100">
        <v>27</v>
      </c>
      <c r="EV100">
        <v>27</v>
      </c>
      <c r="EW100">
        <v>27</v>
      </c>
      <c r="EX100">
        <v>27</v>
      </c>
      <c r="EY100" t="s">
        <v>273</v>
      </c>
      <c r="EZ100" t="s">
        <v>273</v>
      </c>
      <c r="FA100">
        <v>28.430409999999998</v>
      </c>
      <c r="FB100">
        <v>4.1208000000000002E-2</v>
      </c>
      <c r="FC100">
        <v>1.3417479999999999</v>
      </c>
      <c r="FD100">
        <v>1.1199939999999999</v>
      </c>
      <c r="FE100">
        <v>83.472804999999994</v>
      </c>
      <c r="FF100">
        <v>23.359735000000001</v>
      </c>
      <c r="FG100">
        <v>683.38564699999995</v>
      </c>
      <c r="FH100">
        <v>7.8590980000000004</v>
      </c>
      <c r="FI100">
        <v>26</v>
      </c>
      <c r="FJ100">
        <v>26</v>
      </c>
      <c r="FK100">
        <v>22</v>
      </c>
      <c r="FL100">
        <v>25</v>
      </c>
      <c r="FM100" t="s">
        <v>273</v>
      </c>
      <c r="FN100" t="s">
        <v>273</v>
      </c>
      <c r="FO100">
        <v>30.368994000000001</v>
      </c>
      <c r="FP100">
        <v>6.7553000000000002E-2</v>
      </c>
      <c r="FQ100">
        <v>3.1354829999999998</v>
      </c>
      <c r="FR100">
        <v>2.7536589999999999</v>
      </c>
      <c r="FS100">
        <v>87.822485999999998</v>
      </c>
      <c r="FT100">
        <v>26.516956</v>
      </c>
      <c r="FU100">
        <v>596.40128500000003</v>
      </c>
      <c r="FV100">
        <v>12.883646000000001</v>
      </c>
      <c r="FW100">
        <v>9</v>
      </c>
      <c r="FX100">
        <v>9</v>
      </c>
      <c r="FY100">
        <v>9</v>
      </c>
      <c r="FZ100">
        <v>9</v>
      </c>
      <c r="GA100" t="s">
        <v>273</v>
      </c>
      <c r="GB100" t="s">
        <v>273</v>
      </c>
      <c r="GC100">
        <v>30.666146000000001</v>
      </c>
      <c r="GD100">
        <v>7.8979999999999995E-2</v>
      </c>
      <c r="GE100">
        <v>1.238048</v>
      </c>
      <c r="GF100">
        <v>1.014724</v>
      </c>
      <c r="GG100">
        <v>81.961597999999995</v>
      </c>
      <c r="GH100">
        <v>24.355328</v>
      </c>
      <c r="GI100">
        <v>1224.261833</v>
      </c>
      <c r="GJ100">
        <v>15.063034999999999</v>
      </c>
      <c r="GK100">
        <v>26</v>
      </c>
      <c r="GL100">
        <v>26</v>
      </c>
      <c r="GM100">
        <v>15</v>
      </c>
      <c r="GN100">
        <v>24</v>
      </c>
      <c r="GO100" t="s">
        <v>273</v>
      </c>
      <c r="GP100" t="s">
        <v>273</v>
      </c>
      <c r="GQ100">
        <v>31.513058000000001</v>
      </c>
      <c r="GR100">
        <v>0.10989</v>
      </c>
      <c r="GS100">
        <v>2.4530569999999998</v>
      </c>
      <c r="GT100">
        <v>2.1457820000000001</v>
      </c>
      <c r="GU100">
        <v>87.473793999999998</v>
      </c>
      <c r="GV100">
        <v>27.297521</v>
      </c>
      <c r="GW100">
        <v>761.080513</v>
      </c>
      <c r="GX100">
        <v>20.958026</v>
      </c>
      <c r="GY100">
        <v>32</v>
      </c>
      <c r="GZ100">
        <v>32</v>
      </c>
      <c r="HA100">
        <v>18</v>
      </c>
      <c r="HB100">
        <v>19</v>
      </c>
      <c r="HC100" t="s">
        <v>273</v>
      </c>
      <c r="HD100" t="s">
        <v>273</v>
      </c>
      <c r="HE100">
        <v>18</v>
      </c>
      <c r="HF100">
        <v>1E-3</v>
      </c>
      <c r="HG100">
        <v>5.0000000000000001E-3</v>
      </c>
      <c r="HH100">
        <v>5.5556000000000001E-2</v>
      </c>
      <c r="HI100">
        <v>4500</v>
      </c>
    </row>
    <row r="101" spans="1:217" x14ac:dyDescent="0.3">
      <c r="A101">
        <v>609</v>
      </c>
      <c r="B101" t="s">
        <v>269</v>
      </c>
      <c r="F101" t="s">
        <v>270</v>
      </c>
      <c r="G101" t="s">
        <v>288</v>
      </c>
      <c r="H101" t="s">
        <v>289</v>
      </c>
      <c r="I101">
        <v>6000</v>
      </c>
      <c r="J101">
        <v>1</v>
      </c>
      <c r="K101">
        <v>99.825000000000003</v>
      </c>
      <c r="L101">
        <v>0.22</v>
      </c>
      <c r="M101">
        <v>2.0688000000000002E-2</v>
      </c>
      <c r="N101">
        <v>0</v>
      </c>
      <c r="O101">
        <v>0</v>
      </c>
      <c r="P101">
        <v>0</v>
      </c>
      <c r="Q101">
        <v>21.67</v>
      </c>
      <c r="R101">
        <v>1</v>
      </c>
      <c r="S101">
        <v>1</v>
      </c>
      <c r="T101">
        <v>1</v>
      </c>
      <c r="U101">
        <v>1</v>
      </c>
      <c r="V101">
        <v>100</v>
      </c>
      <c r="W101" t="s">
        <v>273</v>
      </c>
      <c r="X101" t="s">
        <v>274</v>
      </c>
      <c r="Y101" t="s">
        <v>274</v>
      </c>
      <c r="Z101" t="s">
        <v>273</v>
      </c>
      <c r="AA101" t="s">
        <v>275</v>
      </c>
      <c r="AB101" t="s">
        <v>276</v>
      </c>
      <c r="AC101">
        <v>505</v>
      </c>
      <c r="AD101">
        <v>5</v>
      </c>
      <c r="AE101" t="s">
        <v>277</v>
      </c>
      <c r="AF101">
        <v>2.9068200000000002</v>
      </c>
      <c r="AG101">
        <v>100</v>
      </c>
      <c r="AH101">
        <v>26.2</v>
      </c>
      <c r="AI101">
        <v>1570</v>
      </c>
      <c r="AJ101">
        <v>800</v>
      </c>
      <c r="AK101">
        <v>1200</v>
      </c>
      <c r="AL101">
        <v>144.6</v>
      </c>
      <c r="AM101">
        <v>2.2000000000000002</v>
      </c>
      <c r="AN101" t="s">
        <v>273</v>
      </c>
      <c r="AO101" t="s">
        <v>278</v>
      </c>
      <c r="AP101" t="s">
        <v>290</v>
      </c>
      <c r="AQ101">
        <v>4.3</v>
      </c>
      <c r="AR101">
        <v>6</v>
      </c>
      <c r="AS101">
        <v>241.4</v>
      </c>
      <c r="AT101">
        <v>439.2</v>
      </c>
      <c r="AU101">
        <v>0.250002</v>
      </c>
      <c r="AV101">
        <v>36.9</v>
      </c>
      <c r="AW101">
        <v>233.6</v>
      </c>
      <c r="AX101" t="s">
        <v>280</v>
      </c>
      <c r="AY101">
        <v>0</v>
      </c>
      <c r="AZ101" t="s">
        <v>281</v>
      </c>
      <c r="BA101">
        <v>0.2</v>
      </c>
      <c r="BB101">
        <v>0.5</v>
      </c>
      <c r="BC101" t="s">
        <v>273</v>
      </c>
      <c r="BD101" t="s">
        <v>273</v>
      </c>
      <c r="BE101">
        <v>17.496663000000002</v>
      </c>
      <c r="BF101">
        <v>17.698128000000001</v>
      </c>
      <c r="BG101">
        <v>489.60542400000003</v>
      </c>
      <c r="BH101" t="s">
        <v>273</v>
      </c>
      <c r="BI101">
        <v>25.2715</v>
      </c>
      <c r="BJ101">
        <v>25.562487000000001</v>
      </c>
      <c r="BK101">
        <v>338.97716400000002</v>
      </c>
      <c r="BL101" t="s">
        <v>273</v>
      </c>
      <c r="BM101">
        <v>25.272670000000002</v>
      </c>
      <c r="BN101">
        <v>25.563670999999999</v>
      </c>
      <c r="BO101">
        <v>338.96146599999997</v>
      </c>
      <c r="BP101" t="s">
        <v>273</v>
      </c>
      <c r="BQ101">
        <v>17.279589000000001</v>
      </c>
      <c r="BR101">
        <v>17.478553999999999</v>
      </c>
      <c r="BS101">
        <v>495.756078</v>
      </c>
      <c r="BT101" t="s">
        <v>273</v>
      </c>
      <c r="BU101">
        <v>5.8742760000000001</v>
      </c>
      <c r="BV101">
        <v>5.9419149999999998</v>
      </c>
      <c r="BW101">
        <v>1458.300702</v>
      </c>
      <c r="BX101" t="s">
        <v>273</v>
      </c>
      <c r="BY101">
        <v>16.798324999999998</v>
      </c>
      <c r="BZ101">
        <v>16.874880000000001</v>
      </c>
      <c r="CA101">
        <v>19.460891</v>
      </c>
      <c r="CB101">
        <v>25.272670000000002</v>
      </c>
      <c r="CC101">
        <v>11.674238000000001</v>
      </c>
      <c r="CD101">
        <v>20.047260999999999</v>
      </c>
      <c r="CE101" t="s">
        <v>273</v>
      </c>
      <c r="CF101">
        <v>16.991748000000001</v>
      </c>
      <c r="CG101">
        <v>17.069185000000001</v>
      </c>
      <c r="CH101">
        <v>19.684971999999998</v>
      </c>
      <c r="CI101">
        <v>25.563670999999999</v>
      </c>
      <c r="CJ101">
        <v>11.808661000000001</v>
      </c>
      <c r="CK101">
        <v>20.278093999999999</v>
      </c>
      <c r="CL101" t="s">
        <v>273</v>
      </c>
      <c r="CM101">
        <v>509.95925499999998</v>
      </c>
      <c r="CN101">
        <v>507.64575300000001</v>
      </c>
      <c r="CO101">
        <v>440.18855300000001</v>
      </c>
      <c r="CP101">
        <v>338.96146599999997</v>
      </c>
      <c r="CQ101">
        <v>733.79187899999999</v>
      </c>
      <c r="CR101">
        <v>427.31330200000002</v>
      </c>
      <c r="CS101" t="s">
        <v>273</v>
      </c>
      <c r="CT101">
        <v>607.12566300000003</v>
      </c>
      <c r="CU101">
        <v>650.33647399999995</v>
      </c>
      <c r="CV101">
        <v>523.97972300000004</v>
      </c>
      <c r="CW101">
        <v>1148.1707759999999</v>
      </c>
      <c r="CX101">
        <v>434.66541799999999</v>
      </c>
      <c r="CY101">
        <v>880.325469</v>
      </c>
      <c r="CZ101" t="s">
        <v>273</v>
      </c>
      <c r="DA101">
        <v>3.608978</v>
      </c>
      <c r="DB101">
        <v>510.01</v>
      </c>
      <c r="DC101">
        <v>3.8834569999999999</v>
      </c>
      <c r="DD101">
        <v>864</v>
      </c>
      <c r="DE101">
        <v>3.6084179999999999</v>
      </c>
      <c r="DF101">
        <v>505</v>
      </c>
      <c r="DG101">
        <v>10.268269999999999</v>
      </c>
      <c r="DH101">
        <v>765</v>
      </c>
      <c r="DI101">
        <v>1.7956570000000001</v>
      </c>
      <c r="DJ101">
        <v>235</v>
      </c>
      <c r="DK101">
        <v>6.2450799999999997</v>
      </c>
      <c r="DL101">
        <v>365</v>
      </c>
      <c r="DM101" t="s">
        <v>273</v>
      </c>
      <c r="DN101">
        <v>3.707163</v>
      </c>
      <c r="DO101">
        <v>8.5288579999999996</v>
      </c>
      <c r="DP101">
        <v>4.569553</v>
      </c>
      <c r="DQ101" t="s">
        <v>282</v>
      </c>
      <c r="DR101">
        <v>4.9233349999999998</v>
      </c>
      <c r="DS101">
        <v>16.681913000000002</v>
      </c>
      <c r="DT101">
        <v>34.703659999999999</v>
      </c>
      <c r="DU101">
        <v>89.259325000000004</v>
      </c>
      <c r="DV101">
        <v>154.34985</v>
      </c>
      <c r="DW101" t="s">
        <v>283</v>
      </c>
      <c r="DX101" t="s">
        <v>273</v>
      </c>
      <c r="DY101">
        <v>25.59187</v>
      </c>
      <c r="DZ101">
        <v>4.2944000000000003E-2</v>
      </c>
      <c r="EA101">
        <v>1.8035129999999999</v>
      </c>
      <c r="EB101">
        <v>1.49193</v>
      </c>
      <c r="EC101">
        <v>82.723551</v>
      </c>
      <c r="ED101">
        <v>20.840187</v>
      </c>
      <c r="EE101">
        <v>910.31825800000001</v>
      </c>
      <c r="EF101">
        <v>10.366871</v>
      </c>
      <c r="EG101">
        <v>23</v>
      </c>
      <c r="EH101">
        <v>23</v>
      </c>
      <c r="EI101">
        <v>20</v>
      </c>
      <c r="EJ101">
        <v>21</v>
      </c>
      <c r="EK101" t="s">
        <v>273</v>
      </c>
      <c r="EL101" t="s">
        <v>273</v>
      </c>
      <c r="EM101">
        <v>24.918635999999999</v>
      </c>
      <c r="EN101">
        <v>2.4917999999999999E-2</v>
      </c>
      <c r="EO101">
        <v>1.8810530000000001</v>
      </c>
      <c r="EP101">
        <v>1.479579</v>
      </c>
      <c r="EQ101">
        <v>78.656959999999998</v>
      </c>
      <c r="ER101">
        <v>19.12471</v>
      </c>
      <c r="ES101">
        <v>831.59409300000004</v>
      </c>
      <c r="ET101">
        <v>6.0154069999999997</v>
      </c>
      <c r="EU101">
        <v>77</v>
      </c>
      <c r="EV101">
        <v>77</v>
      </c>
      <c r="EW101">
        <v>25</v>
      </c>
      <c r="EX101">
        <v>25</v>
      </c>
      <c r="EY101" t="s">
        <v>273</v>
      </c>
      <c r="EZ101" t="s">
        <v>273</v>
      </c>
      <c r="FA101">
        <v>29.638601999999999</v>
      </c>
      <c r="FB101">
        <v>4.3366000000000002E-2</v>
      </c>
      <c r="FC101">
        <v>1.802648</v>
      </c>
      <c r="FD101">
        <v>1.491798</v>
      </c>
      <c r="FE101">
        <v>82.755915000000002</v>
      </c>
      <c r="FF101">
        <v>24.144714</v>
      </c>
      <c r="FG101">
        <v>910.37028099999998</v>
      </c>
      <c r="FH101">
        <v>10.468693</v>
      </c>
      <c r="FI101">
        <v>23</v>
      </c>
      <c r="FJ101">
        <v>23</v>
      </c>
      <c r="FK101">
        <v>20</v>
      </c>
      <c r="FL101">
        <v>21</v>
      </c>
      <c r="FM101" t="s">
        <v>273</v>
      </c>
      <c r="FN101" t="s">
        <v>273</v>
      </c>
      <c r="FO101">
        <v>31.320371000000002</v>
      </c>
      <c r="FP101">
        <v>7.1066000000000004E-2</v>
      </c>
      <c r="FQ101">
        <v>4.1741890000000001</v>
      </c>
      <c r="FR101">
        <v>3.6665719999999999</v>
      </c>
      <c r="FS101">
        <v>87.839162000000002</v>
      </c>
      <c r="FT101">
        <v>27.354129</v>
      </c>
      <c r="FU101">
        <v>794.19010000000003</v>
      </c>
      <c r="FV101">
        <v>17.155730999999999</v>
      </c>
      <c r="FW101">
        <v>13</v>
      </c>
      <c r="FX101">
        <v>13</v>
      </c>
      <c r="FY101">
        <v>13</v>
      </c>
      <c r="FZ101">
        <v>13</v>
      </c>
      <c r="GA101" t="s">
        <v>273</v>
      </c>
      <c r="GB101" t="s">
        <v>273</v>
      </c>
      <c r="GC101">
        <v>31.401747</v>
      </c>
      <c r="GD101">
        <v>8.3141999999999994E-2</v>
      </c>
      <c r="GE101">
        <v>1.5843370000000001</v>
      </c>
      <c r="GF101">
        <v>1.3509439999999999</v>
      </c>
      <c r="GG101">
        <v>85.268692000000001</v>
      </c>
      <c r="GH101">
        <v>25.967659000000001</v>
      </c>
      <c r="GI101">
        <v>1632.1534469999999</v>
      </c>
      <c r="GJ101">
        <v>20.070830000000001</v>
      </c>
      <c r="GK101">
        <v>37</v>
      </c>
      <c r="GL101">
        <v>37</v>
      </c>
      <c r="GM101">
        <v>14</v>
      </c>
      <c r="GN101">
        <v>25</v>
      </c>
      <c r="GO101" t="s">
        <v>273</v>
      </c>
      <c r="GP101" t="s">
        <v>273</v>
      </c>
      <c r="GQ101">
        <v>32.108981999999997</v>
      </c>
      <c r="GR101">
        <v>0.11584899999999999</v>
      </c>
      <c r="GS101">
        <v>3.2810169999999999</v>
      </c>
      <c r="GT101">
        <v>2.8612449999999998</v>
      </c>
      <c r="GU101">
        <v>87.206027000000006</v>
      </c>
      <c r="GV101">
        <v>27.749082000000001</v>
      </c>
      <c r="GW101">
        <v>1015.6560009999999</v>
      </c>
      <c r="GX101">
        <v>27.966663</v>
      </c>
      <c r="GY101">
        <v>48</v>
      </c>
      <c r="GZ101">
        <v>48</v>
      </c>
      <c r="HA101">
        <v>34</v>
      </c>
      <c r="HB101">
        <v>35</v>
      </c>
      <c r="HC101" t="s">
        <v>273</v>
      </c>
      <c r="HD101" t="s">
        <v>273</v>
      </c>
      <c r="HE101">
        <v>18</v>
      </c>
      <c r="HF101">
        <v>1E-3</v>
      </c>
      <c r="HG101">
        <v>5.0000000000000001E-3</v>
      </c>
      <c r="HH101">
        <v>5.5556000000000001E-2</v>
      </c>
      <c r="HI101">
        <v>6000</v>
      </c>
    </row>
    <row r="102" spans="1:217" x14ac:dyDescent="0.3">
      <c r="A102">
        <v>610</v>
      </c>
      <c r="B102" t="s">
        <v>269</v>
      </c>
      <c r="F102" t="s">
        <v>270</v>
      </c>
      <c r="G102" t="s">
        <v>288</v>
      </c>
      <c r="H102" t="s">
        <v>289</v>
      </c>
      <c r="I102">
        <v>6000</v>
      </c>
      <c r="J102">
        <v>1</v>
      </c>
      <c r="K102">
        <v>99.825000000000003</v>
      </c>
      <c r="L102">
        <v>0.22</v>
      </c>
      <c r="M102">
        <v>2.0688000000000002E-2</v>
      </c>
      <c r="N102">
        <v>0</v>
      </c>
      <c r="O102">
        <v>0</v>
      </c>
      <c r="P102">
        <v>0</v>
      </c>
      <c r="Q102">
        <v>21.67</v>
      </c>
      <c r="R102">
        <v>1</v>
      </c>
      <c r="S102">
        <v>1</v>
      </c>
      <c r="T102">
        <v>1</v>
      </c>
      <c r="U102">
        <v>1</v>
      </c>
      <c r="V102">
        <v>100</v>
      </c>
      <c r="W102" t="s">
        <v>273</v>
      </c>
      <c r="X102" t="s">
        <v>274</v>
      </c>
      <c r="Y102" t="s">
        <v>274</v>
      </c>
      <c r="Z102" t="s">
        <v>273</v>
      </c>
      <c r="AA102" t="s">
        <v>275</v>
      </c>
      <c r="AB102" t="s">
        <v>276</v>
      </c>
      <c r="AC102">
        <v>293</v>
      </c>
      <c r="AD102">
        <v>5</v>
      </c>
      <c r="AE102" t="s">
        <v>277</v>
      </c>
      <c r="AF102">
        <v>3.1937989999999998</v>
      </c>
      <c r="AG102">
        <v>100</v>
      </c>
      <c r="AH102">
        <v>28.8</v>
      </c>
      <c r="AI102">
        <v>1725</v>
      </c>
      <c r="AJ102">
        <v>800</v>
      </c>
      <c r="AK102">
        <v>1200</v>
      </c>
      <c r="AL102">
        <v>189.9</v>
      </c>
      <c r="AM102">
        <v>2.2000000000000002</v>
      </c>
      <c r="AN102" t="s">
        <v>273</v>
      </c>
      <c r="AO102" t="s">
        <v>278</v>
      </c>
      <c r="AP102" t="s">
        <v>291</v>
      </c>
      <c r="AQ102">
        <v>2.5</v>
      </c>
      <c r="AR102">
        <v>6</v>
      </c>
      <c r="AS102">
        <v>140</v>
      </c>
      <c r="AT102">
        <v>254.8</v>
      </c>
      <c r="AU102">
        <v>0.14535000000000001</v>
      </c>
      <c r="AV102">
        <v>36.1</v>
      </c>
      <c r="AW102">
        <v>238.9</v>
      </c>
      <c r="AX102" t="s">
        <v>280</v>
      </c>
      <c r="AY102">
        <v>0</v>
      </c>
      <c r="AZ102" t="s">
        <v>281</v>
      </c>
      <c r="BA102">
        <v>0.2</v>
      </c>
      <c r="BB102">
        <v>0.5</v>
      </c>
      <c r="BC102" t="s">
        <v>273</v>
      </c>
      <c r="BD102" t="s">
        <v>273</v>
      </c>
      <c r="BE102">
        <v>18.695485999999999</v>
      </c>
      <c r="BF102">
        <v>18.910754000000001</v>
      </c>
      <c r="BG102">
        <v>458.210149</v>
      </c>
      <c r="BH102" t="s">
        <v>273</v>
      </c>
      <c r="BI102">
        <v>25.431059000000001</v>
      </c>
      <c r="BJ102">
        <v>25.723884000000002</v>
      </c>
      <c r="BK102">
        <v>336.85035199999999</v>
      </c>
      <c r="BL102" t="s">
        <v>273</v>
      </c>
      <c r="BM102">
        <v>25.432155999999999</v>
      </c>
      <c r="BN102">
        <v>25.724993000000001</v>
      </c>
      <c r="BO102">
        <v>336.83582799999999</v>
      </c>
      <c r="BP102" t="s">
        <v>273</v>
      </c>
      <c r="BQ102">
        <v>16.719633000000002</v>
      </c>
      <c r="BR102">
        <v>16.91215</v>
      </c>
      <c r="BS102">
        <v>512.35939900000005</v>
      </c>
      <c r="BT102" t="s">
        <v>273</v>
      </c>
      <c r="BU102">
        <v>7.9693360000000002</v>
      </c>
      <c r="BV102">
        <v>8.0610979999999994</v>
      </c>
      <c r="BW102">
        <v>1074.927923</v>
      </c>
      <c r="BX102" t="s">
        <v>273</v>
      </c>
      <c r="BY102">
        <v>17.434526000000002</v>
      </c>
      <c r="BZ102">
        <v>18.522994000000001</v>
      </c>
      <c r="CA102">
        <v>20.148809</v>
      </c>
      <c r="CB102">
        <v>25.432155999999999</v>
      </c>
      <c r="CC102">
        <v>10.720361</v>
      </c>
      <c r="CD102">
        <v>19.898709</v>
      </c>
      <c r="CE102" t="s">
        <v>273</v>
      </c>
      <c r="CF102">
        <v>17.635275</v>
      </c>
      <c r="CG102">
        <v>18.736274999999999</v>
      </c>
      <c r="CH102">
        <v>20.380811000000001</v>
      </c>
      <c r="CI102">
        <v>25.724993000000001</v>
      </c>
      <c r="CJ102">
        <v>10.8438</v>
      </c>
      <c r="CK102">
        <v>20.127831</v>
      </c>
      <c r="CL102" t="s">
        <v>273</v>
      </c>
      <c r="CM102">
        <v>491.35038800000001</v>
      </c>
      <c r="CN102">
        <v>462.477147</v>
      </c>
      <c r="CO102">
        <v>425.15968299999997</v>
      </c>
      <c r="CP102">
        <v>336.83582799999999</v>
      </c>
      <c r="CQ102">
        <v>799.08325500000001</v>
      </c>
      <c r="CR102">
        <v>430.50336700000003</v>
      </c>
      <c r="CS102" t="s">
        <v>273</v>
      </c>
      <c r="CT102">
        <v>584.05850599999997</v>
      </c>
      <c r="CU102">
        <v>590.92873099999997</v>
      </c>
      <c r="CV102">
        <v>505.29901100000001</v>
      </c>
      <c r="CW102">
        <v>1140.7575119999999</v>
      </c>
      <c r="CX102">
        <v>469.21943299999998</v>
      </c>
      <c r="CY102">
        <v>885.46959800000002</v>
      </c>
      <c r="CZ102" t="s">
        <v>273</v>
      </c>
      <c r="DA102">
        <v>3.603348</v>
      </c>
      <c r="DB102">
        <v>510.01</v>
      </c>
      <c r="DC102">
        <v>3.8733430000000002</v>
      </c>
      <c r="DD102">
        <v>864</v>
      </c>
      <c r="DE102">
        <v>3.6027779999999998</v>
      </c>
      <c r="DF102">
        <v>505</v>
      </c>
      <c r="DG102">
        <v>10.266353000000001</v>
      </c>
      <c r="DH102">
        <v>765</v>
      </c>
      <c r="DI102">
        <v>1.7800210000000001</v>
      </c>
      <c r="DJ102">
        <v>235</v>
      </c>
      <c r="DK102">
        <v>6.2350260000000004</v>
      </c>
      <c r="DL102">
        <v>365</v>
      </c>
      <c r="DM102" t="s">
        <v>273</v>
      </c>
      <c r="DN102">
        <v>5.2940800000000001</v>
      </c>
      <c r="DO102">
        <v>14.013717</v>
      </c>
      <c r="DP102">
        <v>7.2300769999999996</v>
      </c>
      <c r="DQ102" t="s">
        <v>282</v>
      </c>
      <c r="DR102">
        <v>8.5133069999999993</v>
      </c>
      <c r="DS102">
        <v>20.217358999999998</v>
      </c>
      <c r="DT102">
        <v>49.974459000000003</v>
      </c>
      <c r="DU102">
        <v>73.172379000000006</v>
      </c>
      <c r="DV102">
        <v>118.459906</v>
      </c>
      <c r="DW102" t="s">
        <v>283</v>
      </c>
      <c r="DX102" t="s">
        <v>273</v>
      </c>
      <c r="DY102">
        <v>26.623943000000001</v>
      </c>
      <c r="DZ102">
        <v>7.4010000000000006E-2</v>
      </c>
      <c r="EA102">
        <v>1.804959</v>
      </c>
      <c r="EB102">
        <v>1.4875970000000001</v>
      </c>
      <c r="EC102">
        <v>82.417196000000004</v>
      </c>
      <c r="ED102">
        <v>21.656623</v>
      </c>
      <c r="EE102">
        <v>911.46076200000005</v>
      </c>
      <c r="EF102">
        <v>10.363689000000001</v>
      </c>
      <c r="EG102">
        <v>31</v>
      </c>
      <c r="EH102">
        <v>31</v>
      </c>
      <c r="EI102">
        <v>28</v>
      </c>
      <c r="EJ102">
        <v>30</v>
      </c>
      <c r="EK102" t="s">
        <v>273</v>
      </c>
      <c r="EL102" t="s">
        <v>273</v>
      </c>
      <c r="EM102">
        <v>27.405480000000001</v>
      </c>
      <c r="EN102">
        <v>4.2910999999999998E-2</v>
      </c>
      <c r="EO102">
        <v>1.8797980000000001</v>
      </c>
      <c r="EP102">
        <v>1.4684330000000001</v>
      </c>
      <c r="EQ102">
        <v>78.116528000000002</v>
      </c>
      <c r="ER102">
        <v>21.024614</v>
      </c>
      <c r="ES102">
        <v>832.86447899999996</v>
      </c>
      <c r="ET102">
        <v>6.0089069999999998</v>
      </c>
      <c r="EU102">
        <v>29</v>
      </c>
      <c r="EV102">
        <v>29</v>
      </c>
      <c r="EW102">
        <v>27</v>
      </c>
      <c r="EX102">
        <v>29</v>
      </c>
      <c r="EY102" t="s">
        <v>273</v>
      </c>
      <c r="EZ102" t="s">
        <v>273</v>
      </c>
      <c r="FA102">
        <v>30.765747000000001</v>
      </c>
      <c r="FB102">
        <v>7.4735999999999997E-2</v>
      </c>
      <c r="FC102">
        <v>1.8044910000000001</v>
      </c>
      <c r="FD102">
        <v>1.4874510000000001</v>
      </c>
      <c r="FE102">
        <v>82.430539999999993</v>
      </c>
      <c r="FF102">
        <v>25.029509999999998</v>
      </c>
      <c r="FG102">
        <v>911.51095599999996</v>
      </c>
      <c r="FH102">
        <v>10.465426000000001</v>
      </c>
      <c r="FI102">
        <v>31</v>
      </c>
      <c r="FJ102">
        <v>31</v>
      </c>
      <c r="FK102">
        <v>28</v>
      </c>
      <c r="FL102">
        <v>30</v>
      </c>
      <c r="FM102" t="s">
        <v>273</v>
      </c>
      <c r="FN102" t="s">
        <v>273</v>
      </c>
      <c r="FO102">
        <v>31.896460000000001</v>
      </c>
      <c r="FP102">
        <v>0.12245399999999999</v>
      </c>
      <c r="FQ102">
        <v>4.2235199999999997</v>
      </c>
      <c r="FR102">
        <v>3.6612969999999998</v>
      </c>
      <c r="FS102">
        <v>86.688281000000003</v>
      </c>
      <c r="FT102">
        <v>27.518668000000002</v>
      </c>
      <c r="FU102">
        <v>793.95705799999996</v>
      </c>
      <c r="FV102">
        <v>17.147493999999998</v>
      </c>
      <c r="FW102">
        <v>35</v>
      </c>
      <c r="FX102">
        <v>35</v>
      </c>
      <c r="FY102">
        <v>35</v>
      </c>
      <c r="FZ102">
        <v>32</v>
      </c>
      <c r="GA102" t="s">
        <v>273</v>
      </c>
      <c r="GB102" t="s">
        <v>273</v>
      </c>
      <c r="GC102">
        <v>30.445322000000001</v>
      </c>
      <c r="GD102">
        <v>0.14291100000000001</v>
      </c>
      <c r="GE102">
        <v>1.6581939999999999</v>
      </c>
      <c r="GF102">
        <v>1.339607</v>
      </c>
      <c r="GG102">
        <v>80.787148000000002</v>
      </c>
      <c r="GH102">
        <v>23.984850000000002</v>
      </c>
      <c r="GI102">
        <v>1641.6667600000001</v>
      </c>
      <c r="GJ102">
        <v>20.012028999999998</v>
      </c>
      <c r="GK102">
        <v>25</v>
      </c>
      <c r="GL102">
        <v>25</v>
      </c>
      <c r="GM102">
        <v>16</v>
      </c>
      <c r="GN102">
        <v>24</v>
      </c>
      <c r="GO102" t="s">
        <v>273</v>
      </c>
      <c r="GP102" t="s">
        <v>273</v>
      </c>
      <c r="GQ102">
        <v>32.073968000000001</v>
      </c>
      <c r="GR102">
        <v>0.19905</v>
      </c>
      <c r="GS102">
        <v>3.2965909999999998</v>
      </c>
      <c r="GT102">
        <v>2.8475229999999998</v>
      </c>
      <c r="GU102">
        <v>86.377816999999993</v>
      </c>
      <c r="GV102">
        <v>27.495809000000001</v>
      </c>
      <c r="GW102">
        <v>1013.8986650000001</v>
      </c>
      <c r="GX102">
        <v>27.873327</v>
      </c>
      <c r="GY102">
        <v>48</v>
      </c>
      <c r="GZ102">
        <v>48</v>
      </c>
      <c r="HA102">
        <v>42</v>
      </c>
      <c r="HB102">
        <v>41</v>
      </c>
      <c r="HC102" t="s">
        <v>273</v>
      </c>
      <c r="HD102" t="s">
        <v>273</v>
      </c>
      <c r="HE102">
        <v>31</v>
      </c>
      <c r="HF102">
        <v>1E-3</v>
      </c>
      <c r="HG102">
        <v>5.0000000000000001E-3</v>
      </c>
      <c r="HH102">
        <v>3.2258000000000002E-2</v>
      </c>
      <c r="HI102">
        <v>6000</v>
      </c>
    </row>
    <row r="103" spans="1:217" x14ac:dyDescent="0.3">
      <c r="A103">
        <v>625</v>
      </c>
      <c r="B103" t="s">
        <v>269</v>
      </c>
      <c r="F103" t="s">
        <v>270</v>
      </c>
      <c r="G103" t="s">
        <v>288</v>
      </c>
      <c r="H103" t="s">
        <v>289</v>
      </c>
      <c r="I103">
        <v>3375</v>
      </c>
      <c r="J103">
        <v>1</v>
      </c>
      <c r="K103">
        <v>50.752733999999997</v>
      </c>
      <c r="L103">
        <v>0.22</v>
      </c>
      <c r="M103">
        <v>2.0320999999999999E-2</v>
      </c>
      <c r="N103">
        <v>0</v>
      </c>
      <c r="O103">
        <v>0</v>
      </c>
      <c r="P103">
        <v>0</v>
      </c>
      <c r="Q103">
        <v>15.01</v>
      </c>
      <c r="R103">
        <v>1</v>
      </c>
      <c r="S103">
        <v>1</v>
      </c>
      <c r="T103">
        <v>1</v>
      </c>
      <c r="U103">
        <v>1</v>
      </c>
      <c r="V103">
        <v>100</v>
      </c>
      <c r="W103" t="s">
        <v>273</v>
      </c>
      <c r="X103" t="s">
        <v>274</v>
      </c>
      <c r="Y103" t="s">
        <v>274</v>
      </c>
      <c r="Z103" t="s">
        <v>273</v>
      </c>
      <c r="AA103" t="s">
        <v>275</v>
      </c>
      <c r="AB103" t="s">
        <v>276</v>
      </c>
      <c r="AC103">
        <v>293</v>
      </c>
      <c r="AD103">
        <v>5</v>
      </c>
      <c r="AE103" t="s">
        <v>277</v>
      </c>
      <c r="AF103">
        <v>3.1937989999999998</v>
      </c>
      <c r="AG103">
        <v>100</v>
      </c>
      <c r="AH103">
        <v>28.8</v>
      </c>
      <c r="AI103">
        <v>1725</v>
      </c>
      <c r="AJ103">
        <v>800</v>
      </c>
      <c r="AK103">
        <v>1200</v>
      </c>
      <c r="AL103">
        <v>189.9</v>
      </c>
      <c r="AM103">
        <v>2.2000000000000002</v>
      </c>
      <c r="AN103" t="s">
        <v>273</v>
      </c>
      <c r="AO103" t="s">
        <v>278</v>
      </c>
      <c r="AP103" t="s">
        <v>291</v>
      </c>
      <c r="AQ103">
        <v>2.5</v>
      </c>
      <c r="AR103">
        <v>6</v>
      </c>
      <c r="AS103">
        <v>140</v>
      </c>
      <c r="AT103">
        <v>254.8</v>
      </c>
      <c r="AU103">
        <v>0.14535000000000001</v>
      </c>
      <c r="AV103">
        <v>36.1</v>
      </c>
      <c r="AW103">
        <v>238.9</v>
      </c>
      <c r="AX103" t="s">
        <v>280</v>
      </c>
      <c r="AY103">
        <v>0</v>
      </c>
      <c r="AZ103" t="s">
        <v>281</v>
      </c>
      <c r="BA103">
        <v>0.2</v>
      </c>
      <c r="BB103">
        <v>0.5</v>
      </c>
      <c r="BC103" t="s">
        <v>273</v>
      </c>
      <c r="BD103" t="s">
        <v>273</v>
      </c>
      <c r="BE103">
        <v>27.931304000000001</v>
      </c>
      <c r="BF103">
        <v>28.252918000000001</v>
      </c>
      <c r="BG103">
        <v>306.69749999999999</v>
      </c>
      <c r="BH103" t="s">
        <v>273</v>
      </c>
      <c r="BI103">
        <v>36.320940999999998</v>
      </c>
      <c r="BJ103">
        <v>36.739156000000001</v>
      </c>
      <c r="BK103">
        <v>235.85460800000001</v>
      </c>
      <c r="BL103" t="s">
        <v>273</v>
      </c>
      <c r="BM103">
        <v>36.187817000000003</v>
      </c>
      <c r="BN103">
        <v>36.604498999999997</v>
      </c>
      <c r="BO103">
        <v>236.72224700000001</v>
      </c>
      <c r="BP103" t="s">
        <v>273</v>
      </c>
      <c r="BQ103">
        <v>24.726348000000002</v>
      </c>
      <c r="BR103">
        <v>25.011057999999998</v>
      </c>
      <c r="BS103">
        <v>346.45072299999998</v>
      </c>
      <c r="BT103" t="s">
        <v>273</v>
      </c>
      <c r="BU103">
        <v>9.2936119999999995</v>
      </c>
      <c r="BV103">
        <v>9.4006229999999995</v>
      </c>
      <c r="BW103">
        <v>921.75797599999999</v>
      </c>
      <c r="BX103" t="s">
        <v>273</v>
      </c>
      <c r="BY103">
        <v>26.256737000000001</v>
      </c>
      <c r="BZ103">
        <v>27.440218000000002</v>
      </c>
      <c r="CA103">
        <v>30.423406</v>
      </c>
      <c r="CB103">
        <v>36.187817000000003</v>
      </c>
      <c r="CC103">
        <v>18.182976</v>
      </c>
      <c r="CD103">
        <v>27.580860000000001</v>
      </c>
      <c r="CE103" t="s">
        <v>273</v>
      </c>
      <c r="CF103">
        <v>26.559068</v>
      </c>
      <c r="CG103">
        <v>27.756176</v>
      </c>
      <c r="CH103">
        <v>30.773714999999999</v>
      </c>
      <c r="CI103">
        <v>36.604498999999997</v>
      </c>
      <c r="CJ103">
        <v>18.392341999999999</v>
      </c>
      <c r="CK103">
        <v>27.898437999999999</v>
      </c>
      <c r="CL103" t="s">
        <v>273</v>
      </c>
      <c r="CM103">
        <v>326.257654</v>
      </c>
      <c r="CN103">
        <v>312.18634400000002</v>
      </c>
      <c r="CO103">
        <v>281.57469099999997</v>
      </c>
      <c r="CP103">
        <v>236.72224700000001</v>
      </c>
      <c r="CQ103">
        <v>471.12537900000001</v>
      </c>
      <c r="CR103">
        <v>310.59441800000002</v>
      </c>
      <c r="CS103" t="s">
        <v>273</v>
      </c>
      <c r="CT103">
        <v>388.339653</v>
      </c>
      <c r="CU103">
        <v>399.94968699999998</v>
      </c>
      <c r="CV103">
        <v>335.102462</v>
      </c>
      <c r="CW103">
        <v>801.80375100000003</v>
      </c>
      <c r="CX103">
        <v>279.09189500000002</v>
      </c>
      <c r="CY103">
        <v>639.75991699999997</v>
      </c>
      <c r="CZ103" t="s">
        <v>273</v>
      </c>
      <c r="DA103">
        <v>3.6082130000000001</v>
      </c>
      <c r="DB103">
        <v>510.01</v>
      </c>
      <c r="DC103">
        <v>3.8835829999999998</v>
      </c>
      <c r="DD103">
        <v>864</v>
      </c>
      <c r="DE103">
        <v>3.607656</v>
      </c>
      <c r="DF103">
        <v>505</v>
      </c>
      <c r="DG103">
        <v>10.267628999999999</v>
      </c>
      <c r="DH103">
        <v>765</v>
      </c>
      <c r="DI103">
        <v>1.7957749999999999</v>
      </c>
      <c r="DJ103">
        <v>235</v>
      </c>
      <c r="DK103">
        <v>6.2440230000000003</v>
      </c>
      <c r="DL103">
        <v>365</v>
      </c>
      <c r="DM103" t="s">
        <v>273</v>
      </c>
      <c r="DN103">
        <v>3.4917370000000001</v>
      </c>
      <c r="DO103">
        <v>8.0424710000000008</v>
      </c>
      <c r="DP103">
        <v>4.0961949999999998</v>
      </c>
      <c r="DQ103" t="s">
        <v>282</v>
      </c>
      <c r="DR103">
        <v>4.8071440000000001</v>
      </c>
      <c r="DS103">
        <v>16.444496000000001</v>
      </c>
      <c r="DT103">
        <v>33.390306000000002</v>
      </c>
      <c r="DU103">
        <v>88.790975000000003</v>
      </c>
      <c r="DV103">
        <v>132.76886300000001</v>
      </c>
      <c r="DW103" t="s">
        <v>283</v>
      </c>
      <c r="DX103" t="s">
        <v>273</v>
      </c>
      <c r="DY103">
        <v>24.344671000000002</v>
      </c>
      <c r="DZ103">
        <v>4.5787000000000001E-2</v>
      </c>
      <c r="EA103">
        <v>1.0973729999999999</v>
      </c>
      <c r="EB103">
        <v>0.921122</v>
      </c>
      <c r="EC103">
        <v>83.938822999999999</v>
      </c>
      <c r="ED103">
        <v>20.150884999999999</v>
      </c>
      <c r="EE103">
        <v>563.13251500000001</v>
      </c>
      <c r="EF103">
        <v>6.4116970000000002</v>
      </c>
      <c r="EG103">
        <v>28</v>
      </c>
      <c r="EH103">
        <v>28</v>
      </c>
      <c r="EI103">
        <v>23</v>
      </c>
      <c r="EJ103">
        <v>26</v>
      </c>
      <c r="EK103" t="s">
        <v>273</v>
      </c>
      <c r="EL103" t="s">
        <v>273</v>
      </c>
      <c r="EM103">
        <v>22.951912</v>
      </c>
      <c r="EN103">
        <v>2.4539999999999999E-2</v>
      </c>
      <c r="EO103">
        <v>1.065523</v>
      </c>
      <c r="EP103">
        <v>0.84363100000000002</v>
      </c>
      <c r="EQ103">
        <v>79.175303999999997</v>
      </c>
      <c r="ER103">
        <v>17.765160999999999</v>
      </c>
      <c r="ES103">
        <v>475.04842500000001</v>
      </c>
      <c r="ET103">
        <v>3.4364150000000002</v>
      </c>
      <c r="EU103">
        <v>27</v>
      </c>
      <c r="EV103">
        <v>27</v>
      </c>
      <c r="EW103">
        <v>27</v>
      </c>
      <c r="EX103">
        <v>27</v>
      </c>
      <c r="EY103" t="s">
        <v>273</v>
      </c>
      <c r="EZ103" t="s">
        <v>273</v>
      </c>
      <c r="FA103">
        <v>28.199973</v>
      </c>
      <c r="FB103">
        <v>4.6238000000000001E-2</v>
      </c>
      <c r="FC103">
        <v>1.096895</v>
      </c>
      <c r="FD103">
        <v>0.92105000000000004</v>
      </c>
      <c r="FE103">
        <v>83.968828999999999</v>
      </c>
      <c r="FF103">
        <v>23.350076999999999</v>
      </c>
      <c r="FG103">
        <v>563.16978800000004</v>
      </c>
      <c r="FH103">
        <v>6.4747349999999999</v>
      </c>
      <c r="FI103">
        <v>28</v>
      </c>
      <c r="FJ103">
        <v>28</v>
      </c>
      <c r="FK103">
        <v>23</v>
      </c>
      <c r="FL103">
        <v>26</v>
      </c>
      <c r="FM103" t="s">
        <v>273</v>
      </c>
      <c r="FN103" t="s">
        <v>273</v>
      </c>
      <c r="FO103">
        <v>30.439343999999998</v>
      </c>
      <c r="FP103">
        <v>8.3352999999999997E-2</v>
      </c>
      <c r="FQ103">
        <v>2.8329710000000001</v>
      </c>
      <c r="FR103">
        <v>2.492543</v>
      </c>
      <c r="FS103">
        <v>87.983355000000003</v>
      </c>
      <c r="FT103">
        <v>26.650136</v>
      </c>
      <c r="FU103">
        <v>540.3682</v>
      </c>
      <c r="FV103">
        <v>11.672057000000001</v>
      </c>
      <c r="FW103">
        <v>13</v>
      </c>
      <c r="FX103">
        <v>13</v>
      </c>
      <c r="FY103">
        <v>13</v>
      </c>
      <c r="FZ103">
        <v>12</v>
      </c>
      <c r="GA103" t="s">
        <v>273</v>
      </c>
      <c r="GB103" t="s">
        <v>273</v>
      </c>
      <c r="GC103">
        <v>30.057289000000001</v>
      </c>
      <c r="GD103">
        <v>8.5167999999999994E-2</v>
      </c>
      <c r="GE103">
        <v>0.97372400000000003</v>
      </c>
      <c r="GF103">
        <v>0.80166400000000004</v>
      </c>
      <c r="GG103">
        <v>82.329728000000003</v>
      </c>
      <c r="GH103">
        <v>24.031402</v>
      </c>
      <c r="GI103">
        <v>969.77632000000006</v>
      </c>
      <c r="GJ103">
        <v>11.926265000000001</v>
      </c>
      <c r="GK103">
        <v>27</v>
      </c>
      <c r="GL103">
        <v>27</v>
      </c>
      <c r="GM103">
        <v>15</v>
      </c>
      <c r="GN103">
        <v>24</v>
      </c>
      <c r="GO103" t="s">
        <v>273</v>
      </c>
      <c r="GP103" t="s">
        <v>273</v>
      </c>
      <c r="GQ103">
        <v>31.591569</v>
      </c>
      <c r="GR103">
        <v>0.14358199999999999</v>
      </c>
      <c r="GS103">
        <v>2.3459940000000001</v>
      </c>
      <c r="GT103">
        <v>2.0527769999999999</v>
      </c>
      <c r="GU103">
        <v>87.501386999999994</v>
      </c>
      <c r="GV103">
        <v>27.451167999999999</v>
      </c>
      <c r="GW103">
        <v>730.30813699999999</v>
      </c>
      <c r="GX103">
        <v>20.106045999999999</v>
      </c>
      <c r="GY103">
        <v>65</v>
      </c>
      <c r="GZ103">
        <v>65</v>
      </c>
      <c r="HA103">
        <v>37</v>
      </c>
      <c r="HB103">
        <v>39</v>
      </c>
      <c r="HC103" t="s">
        <v>273</v>
      </c>
      <c r="HD103" t="s">
        <v>273</v>
      </c>
      <c r="HE103">
        <v>18</v>
      </c>
      <c r="HF103">
        <v>1E-3</v>
      </c>
      <c r="HG103">
        <v>6.4999999999999997E-3</v>
      </c>
      <c r="HH103">
        <v>5.5556000000000001E-2</v>
      </c>
      <c r="HI103">
        <v>3375</v>
      </c>
    </row>
    <row r="104" spans="1:217" x14ac:dyDescent="0.3">
      <c r="A104">
        <v>626</v>
      </c>
      <c r="B104" t="s">
        <v>269</v>
      </c>
      <c r="F104" t="s">
        <v>270</v>
      </c>
      <c r="G104" t="s">
        <v>288</v>
      </c>
      <c r="H104" t="s">
        <v>289</v>
      </c>
      <c r="I104">
        <v>4500</v>
      </c>
      <c r="J104">
        <v>1</v>
      </c>
      <c r="K104">
        <v>68.770312000000004</v>
      </c>
      <c r="L104">
        <v>0.22</v>
      </c>
      <c r="M104">
        <v>2.8011999999999999E-2</v>
      </c>
      <c r="N104">
        <v>0</v>
      </c>
      <c r="O104">
        <v>0</v>
      </c>
      <c r="P104">
        <v>0</v>
      </c>
      <c r="Q104">
        <v>19.97</v>
      </c>
      <c r="R104">
        <v>1</v>
      </c>
      <c r="S104">
        <v>1</v>
      </c>
      <c r="T104">
        <v>1</v>
      </c>
      <c r="U104">
        <v>1</v>
      </c>
      <c r="V104">
        <v>100</v>
      </c>
      <c r="W104" t="s">
        <v>273</v>
      </c>
      <c r="X104" t="s">
        <v>274</v>
      </c>
      <c r="Y104" t="s">
        <v>274</v>
      </c>
      <c r="Z104" t="s">
        <v>273</v>
      </c>
      <c r="AA104" t="s">
        <v>275</v>
      </c>
      <c r="AB104" t="s">
        <v>276</v>
      </c>
      <c r="AC104">
        <v>399</v>
      </c>
      <c r="AD104">
        <v>5</v>
      </c>
      <c r="AE104" t="s">
        <v>277</v>
      </c>
      <c r="AF104">
        <v>3.0734530000000002</v>
      </c>
      <c r="AG104">
        <v>100</v>
      </c>
      <c r="AH104">
        <v>27.7</v>
      </c>
      <c r="AI104">
        <v>1660</v>
      </c>
      <c r="AJ104">
        <v>800</v>
      </c>
      <c r="AK104">
        <v>1200</v>
      </c>
      <c r="AL104">
        <v>162.69999999999999</v>
      </c>
      <c r="AM104">
        <v>2.2000000000000002</v>
      </c>
      <c r="AN104" t="s">
        <v>273</v>
      </c>
      <c r="AO104" t="s">
        <v>278</v>
      </c>
      <c r="AP104" t="s">
        <v>292</v>
      </c>
      <c r="AQ104">
        <v>3.4</v>
      </c>
      <c r="AR104">
        <v>6</v>
      </c>
      <c r="AS104">
        <v>190.7</v>
      </c>
      <c r="AT104">
        <v>347</v>
      </c>
      <c r="AU104">
        <v>0.19767599999999999</v>
      </c>
      <c r="AV104">
        <v>36.5</v>
      </c>
      <c r="AW104">
        <v>235.8</v>
      </c>
      <c r="AX104" t="s">
        <v>280</v>
      </c>
      <c r="AY104">
        <v>0</v>
      </c>
      <c r="AZ104" t="s">
        <v>281</v>
      </c>
      <c r="BA104">
        <v>0.2</v>
      </c>
      <c r="BB104">
        <v>0.5</v>
      </c>
      <c r="BC104" t="s">
        <v>273</v>
      </c>
      <c r="BD104" t="s">
        <v>273</v>
      </c>
      <c r="BE104">
        <v>21.588189</v>
      </c>
      <c r="BF104">
        <v>21.836765</v>
      </c>
      <c r="BG104">
        <v>396.812408</v>
      </c>
      <c r="BH104" t="s">
        <v>273</v>
      </c>
      <c r="BI104">
        <v>28.194873000000001</v>
      </c>
      <c r="BJ104">
        <v>28.519521000000001</v>
      </c>
      <c r="BK104">
        <v>303.83046000000002</v>
      </c>
      <c r="BL104" t="s">
        <v>273</v>
      </c>
      <c r="BM104">
        <v>28.196058000000001</v>
      </c>
      <c r="BN104">
        <v>28.520719</v>
      </c>
      <c r="BO104">
        <v>303.81769700000001</v>
      </c>
      <c r="BP104" t="s">
        <v>273</v>
      </c>
      <c r="BQ104">
        <v>18.890401000000001</v>
      </c>
      <c r="BR104">
        <v>19.107914000000001</v>
      </c>
      <c r="BS104">
        <v>453.48222299999998</v>
      </c>
      <c r="BT104" t="s">
        <v>273</v>
      </c>
      <c r="BU104">
        <v>7.0164590000000002</v>
      </c>
      <c r="BV104">
        <v>7.0972489999999997</v>
      </c>
      <c r="BW104">
        <v>1220.9094909999999</v>
      </c>
      <c r="BX104" t="s">
        <v>273</v>
      </c>
      <c r="BY104">
        <v>20.151230999999999</v>
      </c>
      <c r="BZ104">
        <v>21.345942999999998</v>
      </c>
      <c r="CA104">
        <v>23.344453999999999</v>
      </c>
      <c r="CB104">
        <v>28.196058000000001</v>
      </c>
      <c r="CC104">
        <v>13.885719</v>
      </c>
      <c r="CD104">
        <v>21.074846000000001</v>
      </c>
      <c r="CE104" t="s">
        <v>273</v>
      </c>
      <c r="CF104">
        <v>20.383261000000001</v>
      </c>
      <c r="CG104">
        <v>21.591729999999998</v>
      </c>
      <c r="CH104">
        <v>23.613251999999999</v>
      </c>
      <c r="CI104">
        <v>28.520719</v>
      </c>
      <c r="CJ104">
        <v>14.045605999999999</v>
      </c>
      <c r="CK104">
        <v>21.317511</v>
      </c>
      <c r="CL104" t="s">
        <v>273</v>
      </c>
      <c r="CM104">
        <v>425.10857700000003</v>
      </c>
      <c r="CN104">
        <v>401.31565399999999</v>
      </c>
      <c r="CO104">
        <v>366.95916299999999</v>
      </c>
      <c r="CP104">
        <v>303.81769700000001</v>
      </c>
      <c r="CQ104">
        <v>616.92599600000005</v>
      </c>
      <c r="CR104">
        <v>406.47799700000002</v>
      </c>
      <c r="CS104" t="s">
        <v>273</v>
      </c>
      <c r="CT104">
        <v>506.06130000000002</v>
      </c>
      <c r="CU104">
        <v>514.25601900000004</v>
      </c>
      <c r="CV104">
        <v>436.77313099999998</v>
      </c>
      <c r="CW104">
        <v>1029.1117999999999</v>
      </c>
      <c r="CX104">
        <v>365.43413800000002</v>
      </c>
      <c r="CY104">
        <v>837.22957299999996</v>
      </c>
      <c r="CZ104" t="s">
        <v>273</v>
      </c>
      <c r="DA104">
        <v>3.6086469999999999</v>
      </c>
      <c r="DB104">
        <v>510.01</v>
      </c>
      <c r="DC104">
        <v>3.8844940000000001</v>
      </c>
      <c r="DD104">
        <v>864</v>
      </c>
      <c r="DE104">
        <v>3.6081059999999998</v>
      </c>
      <c r="DF104">
        <v>505</v>
      </c>
      <c r="DG104">
        <v>10.268113</v>
      </c>
      <c r="DH104">
        <v>765</v>
      </c>
      <c r="DI104">
        <v>1.795631</v>
      </c>
      <c r="DJ104">
        <v>235</v>
      </c>
      <c r="DK104">
        <v>6.2437950000000004</v>
      </c>
      <c r="DL104">
        <v>365</v>
      </c>
      <c r="DM104" t="s">
        <v>273</v>
      </c>
      <c r="DN104">
        <v>3.4743189999999999</v>
      </c>
      <c r="DO104">
        <v>7.9907729999999999</v>
      </c>
      <c r="DP104">
        <v>4.1691750000000001</v>
      </c>
      <c r="DQ104" t="s">
        <v>282</v>
      </c>
      <c r="DR104">
        <v>4.7386020000000002</v>
      </c>
      <c r="DS104">
        <v>16.370685000000002</v>
      </c>
      <c r="DT104">
        <v>33.269235000000002</v>
      </c>
      <c r="DU104">
        <v>89.175717000000006</v>
      </c>
      <c r="DV104">
        <v>132.335849</v>
      </c>
      <c r="DW104" t="s">
        <v>283</v>
      </c>
      <c r="DX104" t="s">
        <v>273</v>
      </c>
      <c r="DY104">
        <v>24.981750000000002</v>
      </c>
      <c r="DZ104">
        <v>4.4790000000000003E-2</v>
      </c>
      <c r="EA104">
        <v>1.467455</v>
      </c>
      <c r="EB104">
        <v>1.227695</v>
      </c>
      <c r="EC104">
        <v>83.661518000000001</v>
      </c>
      <c r="ED104">
        <v>20.601676000000001</v>
      </c>
      <c r="EE104">
        <v>750.167283</v>
      </c>
      <c r="EF104">
        <v>8.5422589999999996</v>
      </c>
      <c r="EG104">
        <v>27</v>
      </c>
      <c r="EH104">
        <v>27</v>
      </c>
      <c r="EI104">
        <v>23</v>
      </c>
      <c r="EJ104">
        <v>25</v>
      </c>
      <c r="EK104" t="s">
        <v>273</v>
      </c>
      <c r="EL104" t="s">
        <v>273</v>
      </c>
      <c r="EM104">
        <v>23.872302999999999</v>
      </c>
      <c r="EN104">
        <v>2.4018000000000001E-2</v>
      </c>
      <c r="EO104">
        <v>1.424992</v>
      </c>
      <c r="EP104">
        <v>1.125685</v>
      </c>
      <c r="EQ104">
        <v>78.995901000000003</v>
      </c>
      <c r="ER104">
        <v>18.416723000000001</v>
      </c>
      <c r="ES104">
        <v>633.07182499999999</v>
      </c>
      <c r="ET104">
        <v>4.5806019999999998</v>
      </c>
      <c r="EU104">
        <v>27</v>
      </c>
      <c r="EV104">
        <v>27</v>
      </c>
      <c r="EW104">
        <v>27</v>
      </c>
      <c r="EX104">
        <v>27</v>
      </c>
      <c r="EY104" t="s">
        <v>273</v>
      </c>
      <c r="EZ104" t="s">
        <v>273</v>
      </c>
      <c r="FA104">
        <v>28.931222999999999</v>
      </c>
      <c r="FB104">
        <v>4.5231E-2</v>
      </c>
      <c r="FC104">
        <v>1.4667680000000001</v>
      </c>
      <c r="FD104">
        <v>1.227608</v>
      </c>
      <c r="FE104">
        <v>83.694738000000001</v>
      </c>
      <c r="FF104">
        <v>23.867826000000001</v>
      </c>
      <c r="FG104">
        <v>750.21812599999998</v>
      </c>
      <c r="FH104">
        <v>8.626296</v>
      </c>
      <c r="FI104">
        <v>27</v>
      </c>
      <c r="FJ104">
        <v>27</v>
      </c>
      <c r="FK104">
        <v>23</v>
      </c>
      <c r="FL104">
        <v>25</v>
      </c>
      <c r="FM104" t="s">
        <v>273</v>
      </c>
      <c r="FN104" t="s">
        <v>273</v>
      </c>
      <c r="FO104">
        <v>31.613651000000001</v>
      </c>
      <c r="FP104">
        <v>8.1503999999999993E-2</v>
      </c>
      <c r="FQ104">
        <v>3.7763819999999999</v>
      </c>
      <c r="FR104">
        <v>3.3199329999999998</v>
      </c>
      <c r="FS104">
        <v>87.913062999999994</v>
      </c>
      <c r="FT104">
        <v>27.652246999999999</v>
      </c>
      <c r="FU104">
        <v>719.60594400000002</v>
      </c>
      <c r="FV104">
        <v>15.544359</v>
      </c>
      <c r="FW104">
        <v>12</v>
      </c>
      <c r="FX104">
        <v>12</v>
      </c>
      <c r="FY104">
        <v>12</v>
      </c>
      <c r="FZ104">
        <v>12</v>
      </c>
      <c r="GA104" t="s">
        <v>273</v>
      </c>
      <c r="GB104" t="s">
        <v>273</v>
      </c>
      <c r="GC104">
        <v>30.619748999999999</v>
      </c>
      <c r="GD104">
        <v>8.3306000000000005E-2</v>
      </c>
      <c r="GE104">
        <v>1.298821</v>
      </c>
      <c r="GF104">
        <v>1.068438</v>
      </c>
      <c r="GG104">
        <v>82.262100000000004</v>
      </c>
      <c r="GH104">
        <v>24.450021</v>
      </c>
      <c r="GI104">
        <v>1292.0197900000001</v>
      </c>
      <c r="GJ104">
        <v>15.887931999999999</v>
      </c>
      <c r="GK104">
        <v>31</v>
      </c>
      <c r="GL104">
        <v>31</v>
      </c>
      <c r="GM104">
        <v>18</v>
      </c>
      <c r="GN104">
        <v>27</v>
      </c>
      <c r="GO104" t="s">
        <v>273</v>
      </c>
      <c r="GP104" t="s">
        <v>273</v>
      </c>
      <c r="GQ104">
        <v>32.218319000000001</v>
      </c>
      <c r="GR104">
        <v>0.14073099999999999</v>
      </c>
      <c r="GS104">
        <v>3.1310220000000002</v>
      </c>
      <c r="GT104">
        <v>2.740516</v>
      </c>
      <c r="GU104">
        <v>87.527851999999996</v>
      </c>
      <c r="GV104">
        <v>28.002110999999999</v>
      </c>
      <c r="GW104">
        <v>974.94358599999998</v>
      </c>
      <c r="GX104">
        <v>26.840102000000002</v>
      </c>
      <c r="GY104">
        <v>68</v>
      </c>
      <c r="GZ104">
        <v>68</v>
      </c>
      <c r="HA104">
        <v>41</v>
      </c>
      <c r="HB104">
        <v>43</v>
      </c>
      <c r="HC104" t="s">
        <v>273</v>
      </c>
      <c r="HD104" t="s">
        <v>273</v>
      </c>
      <c r="HE104">
        <v>18</v>
      </c>
      <c r="HF104">
        <v>1E-3</v>
      </c>
      <c r="HG104">
        <v>6.4999999999999997E-3</v>
      </c>
      <c r="HH104">
        <v>5.5556000000000001E-2</v>
      </c>
      <c r="HI104">
        <v>4500</v>
      </c>
    </row>
    <row r="105" spans="1:217" x14ac:dyDescent="0.3">
      <c r="A105">
        <v>627</v>
      </c>
      <c r="B105" t="s">
        <v>269</v>
      </c>
      <c r="F105" t="s">
        <v>270</v>
      </c>
      <c r="G105" t="s">
        <v>288</v>
      </c>
      <c r="H105" t="s">
        <v>289</v>
      </c>
      <c r="I105">
        <v>6000</v>
      </c>
      <c r="J105">
        <v>1</v>
      </c>
      <c r="K105">
        <v>92.793750000000003</v>
      </c>
      <c r="L105">
        <v>0.22</v>
      </c>
      <c r="M105">
        <v>3.8266000000000001E-2</v>
      </c>
      <c r="N105">
        <v>0</v>
      </c>
      <c r="O105">
        <v>0</v>
      </c>
      <c r="P105">
        <v>0</v>
      </c>
      <c r="Q105">
        <v>26.59</v>
      </c>
      <c r="R105">
        <v>1</v>
      </c>
      <c r="S105">
        <v>1</v>
      </c>
      <c r="T105">
        <v>1</v>
      </c>
      <c r="U105">
        <v>1</v>
      </c>
      <c r="V105">
        <v>100</v>
      </c>
      <c r="W105" t="s">
        <v>273</v>
      </c>
      <c r="X105" t="s">
        <v>274</v>
      </c>
      <c r="Y105" t="s">
        <v>274</v>
      </c>
      <c r="Z105" t="s">
        <v>273</v>
      </c>
      <c r="AA105" t="s">
        <v>275</v>
      </c>
      <c r="AB105" t="s">
        <v>276</v>
      </c>
      <c r="AC105">
        <v>505</v>
      </c>
      <c r="AD105">
        <v>5</v>
      </c>
      <c r="AE105" t="s">
        <v>277</v>
      </c>
      <c r="AF105">
        <v>2.9068200000000002</v>
      </c>
      <c r="AG105">
        <v>100</v>
      </c>
      <c r="AH105">
        <v>26.2</v>
      </c>
      <c r="AI105">
        <v>1570</v>
      </c>
      <c r="AJ105">
        <v>800</v>
      </c>
      <c r="AK105">
        <v>1200</v>
      </c>
      <c r="AL105">
        <v>144.6</v>
      </c>
      <c r="AM105">
        <v>2.2000000000000002</v>
      </c>
      <c r="AN105" t="s">
        <v>273</v>
      </c>
      <c r="AO105" t="s">
        <v>278</v>
      </c>
      <c r="AP105" t="s">
        <v>290</v>
      </c>
      <c r="AQ105">
        <v>4.3</v>
      </c>
      <c r="AR105">
        <v>6</v>
      </c>
      <c r="AS105">
        <v>241.4</v>
      </c>
      <c r="AT105">
        <v>439.2</v>
      </c>
      <c r="AU105">
        <v>0.250002</v>
      </c>
      <c r="AV105">
        <v>36.9</v>
      </c>
      <c r="AW105">
        <v>233.6</v>
      </c>
      <c r="AX105" t="s">
        <v>280</v>
      </c>
      <c r="AY105">
        <v>0</v>
      </c>
      <c r="AZ105" t="s">
        <v>281</v>
      </c>
      <c r="BA105">
        <v>0.2</v>
      </c>
      <c r="BB105">
        <v>0.5</v>
      </c>
      <c r="BC105" t="s">
        <v>273</v>
      </c>
      <c r="BD105" t="s">
        <v>273</v>
      </c>
      <c r="BE105">
        <v>16.840572999999999</v>
      </c>
      <c r="BF105">
        <v>17.034482000000001</v>
      </c>
      <c r="BG105">
        <v>508.67992700000002</v>
      </c>
      <c r="BH105" t="s">
        <v>273</v>
      </c>
      <c r="BI105">
        <v>21.597387999999999</v>
      </c>
      <c r="BJ105">
        <v>21.846069</v>
      </c>
      <c r="BK105">
        <v>396.64339799999999</v>
      </c>
      <c r="BL105" t="s">
        <v>273</v>
      </c>
      <c r="BM105">
        <v>21.598168000000001</v>
      </c>
      <c r="BN105">
        <v>21.846858999999998</v>
      </c>
      <c r="BO105">
        <v>396.62906600000002</v>
      </c>
      <c r="BP105" t="s">
        <v>273</v>
      </c>
      <c r="BQ105">
        <v>14.535591</v>
      </c>
      <c r="BR105">
        <v>14.702959999999999</v>
      </c>
      <c r="BS105">
        <v>589.34386800000004</v>
      </c>
      <c r="BT105" t="s">
        <v>273</v>
      </c>
      <c r="BU105">
        <v>5.5607319999999998</v>
      </c>
      <c r="BV105">
        <v>5.6247610000000003</v>
      </c>
      <c r="BW105">
        <v>1540.5275790000001</v>
      </c>
      <c r="BX105" t="s">
        <v>273</v>
      </c>
      <c r="BY105">
        <v>15.672088</v>
      </c>
      <c r="BZ105">
        <v>16.701408000000001</v>
      </c>
      <c r="CA105">
        <v>18.146881</v>
      </c>
      <c r="CB105">
        <v>21.598168000000001</v>
      </c>
      <c r="CC105">
        <v>11.070793</v>
      </c>
      <c r="CD105">
        <v>15.972469</v>
      </c>
      <c r="CE105" t="s">
        <v>273</v>
      </c>
      <c r="CF105">
        <v>15.852543000000001</v>
      </c>
      <c r="CG105">
        <v>16.893715</v>
      </c>
      <c r="CH105">
        <v>18.355831999999999</v>
      </c>
      <c r="CI105">
        <v>21.846858999999998</v>
      </c>
      <c r="CJ105">
        <v>11.198267</v>
      </c>
      <c r="CK105">
        <v>16.156383000000002</v>
      </c>
      <c r="CL105" t="s">
        <v>273</v>
      </c>
      <c r="CM105">
        <v>546.60625100000004</v>
      </c>
      <c r="CN105">
        <v>512.91851099999997</v>
      </c>
      <c r="CO105">
        <v>472.06246700000003</v>
      </c>
      <c r="CP105">
        <v>396.62906600000002</v>
      </c>
      <c r="CQ105">
        <v>773.78931499999999</v>
      </c>
      <c r="CR105">
        <v>536.32668699999999</v>
      </c>
      <c r="CS105" t="s">
        <v>273</v>
      </c>
      <c r="CT105">
        <v>650.65173700000003</v>
      </c>
      <c r="CU105">
        <v>657.10622100000001</v>
      </c>
      <c r="CV105">
        <v>561.83224800000005</v>
      </c>
      <c r="CW105">
        <v>1343.4343249999999</v>
      </c>
      <c r="CX105">
        <v>458.12989399999998</v>
      </c>
      <c r="CY105">
        <v>1104.7057480000001</v>
      </c>
      <c r="CZ105" t="s">
        <v>273</v>
      </c>
      <c r="DA105">
        <v>3.6084040000000002</v>
      </c>
      <c r="DB105">
        <v>510.01</v>
      </c>
      <c r="DC105">
        <v>3.8835449999999998</v>
      </c>
      <c r="DD105">
        <v>864</v>
      </c>
      <c r="DE105">
        <v>3.6078489999999999</v>
      </c>
      <c r="DF105">
        <v>505</v>
      </c>
      <c r="DG105">
        <v>10.267697</v>
      </c>
      <c r="DH105">
        <v>765</v>
      </c>
      <c r="DI105">
        <v>1.7947630000000001</v>
      </c>
      <c r="DJ105">
        <v>235</v>
      </c>
      <c r="DK105">
        <v>6.2439349999999996</v>
      </c>
      <c r="DL105">
        <v>365</v>
      </c>
      <c r="DM105" t="s">
        <v>273</v>
      </c>
      <c r="DN105">
        <v>3.7064059999999999</v>
      </c>
      <c r="DO105">
        <v>8.6354340000000001</v>
      </c>
      <c r="DP105">
        <v>4.630897</v>
      </c>
      <c r="DQ105" t="s">
        <v>282</v>
      </c>
      <c r="DR105">
        <v>5.1176180000000002</v>
      </c>
      <c r="DS105">
        <v>16.821387000000001</v>
      </c>
      <c r="DT105">
        <v>35.205336000000003</v>
      </c>
      <c r="DU105">
        <v>86.978246999999996</v>
      </c>
      <c r="DV105">
        <v>125.482259</v>
      </c>
      <c r="DW105" t="s">
        <v>283</v>
      </c>
      <c r="DX105" t="s">
        <v>273</v>
      </c>
      <c r="DY105">
        <v>26.053699000000002</v>
      </c>
      <c r="DZ105">
        <v>4.7137999999999999E-2</v>
      </c>
      <c r="EA105">
        <v>1.9676899999999999</v>
      </c>
      <c r="EB105">
        <v>1.635402</v>
      </c>
      <c r="EC105">
        <v>83.112780000000001</v>
      </c>
      <c r="ED105">
        <v>21.345117999999999</v>
      </c>
      <c r="EE105">
        <v>999.37736199999995</v>
      </c>
      <c r="EF105">
        <v>11.379281000000001</v>
      </c>
      <c r="EG105">
        <v>26</v>
      </c>
      <c r="EH105">
        <v>26</v>
      </c>
      <c r="EI105">
        <v>23</v>
      </c>
      <c r="EJ105">
        <v>25</v>
      </c>
      <c r="EK105" t="s">
        <v>273</v>
      </c>
      <c r="EL105" t="s">
        <v>273</v>
      </c>
      <c r="EM105">
        <v>25.025041999999999</v>
      </c>
      <c r="EN105">
        <v>2.5283E-2</v>
      </c>
      <c r="EO105">
        <v>1.9087499999999999</v>
      </c>
      <c r="EP105">
        <v>1.500451</v>
      </c>
      <c r="EQ105">
        <v>78.609093000000001</v>
      </c>
      <c r="ER105">
        <v>19.204929</v>
      </c>
      <c r="ES105">
        <v>843.75549999999998</v>
      </c>
      <c r="ET105">
        <v>6.1035159999999999</v>
      </c>
      <c r="EU105">
        <v>25</v>
      </c>
      <c r="EV105">
        <v>25</v>
      </c>
      <c r="EW105">
        <v>25</v>
      </c>
      <c r="EX105">
        <v>25</v>
      </c>
      <c r="EY105" t="s">
        <v>273</v>
      </c>
      <c r="EZ105" t="s">
        <v>273</v>
      </c>
      <c r="FA105">
        <v>30.159863000000001</v>
      </c>
      <c r="FB105">
        <v>4.7601999999999998E-2</v>
      </c>
      <c r="FC105">
        <v>1.966866</v>
      </c>
      <c r="FD105">
        <v>1.6352800000000001</v>
      </c>
      <c r="FE105">
        <v>83.141431999999995</v>
      </c>
      <c r="FF105">
        <v>24.717590000000001</v>
      </c>
      <c r="FG105">
        <v>999.45406200000002</v>
      </c>
      <c r="FH105">
        <v>11.491287</v>
      </c>
      <c r="FI105">
        <v>26</v>
      </c>
      <c r="FJ105">
        <v>26</v>
      </c>
      <c r="FK105">
        <v>23</v>
      </c>
      <c r="FL105">
        <v>25</v>
      </c>
      <c r="FM105" t="s">
        <v>273</v>
      </c>
      <c r="FN105" t="s">
        <v>273</v>
      </c>
      <c r="FO105">
        <v>32.261474999999997</v>
      </c>
      <c r="FP105">
        <v>8.5768999999999998E-2</v>
      </c>
      <c r="FQ105">
        <v>5.0308270000000004</v>
      </c>
      <c r="FR105">
        <v>4.4215169999999997</v>
      </c>
      <c r="FS105">
        <v>87.888473000000005</v>
      </c>
      <c r="FT105">
        <v>28.215174999999999</v>
      </c>
      <c r="FU105">
        <v>958.55841699999996</v>
      </c>
      <c r="FV105">
        <v>20.705183000000002</v>
      </c>
      <c r="FW105">
        <v>16</v>
      </c>
      <c r="FX105">
        <v>16</v>
      </c>
      <c r="FY105">
        <v>16</v>
      </c>
      <c r="FZ105">
        <v>16</v>
      </c>
      <c r="GA105" t="s">
        <v>273</v>
      </c>
      <c r="GB105" t="s">
        <v>273</v>
      </c>
      <c r="GC105">
        <v>31.427085000000002</v>
      </c>
      <c r="GD105">
        <v>8.7696999999999997E-2</v>
      </c>
      <c r="GE105">
        <v>1.6712119999999999</v>
      </c>
      <c r="GF105">
        <v>1.4226479999999999</v>
      </c>
      <c r="GG105">
        <v>85.126739000000001</v>
      </c>
      <c r="GH105">
        <v>25.987511000000001</v>
      </c>
      <c r="GI105">
        <v>1722.4337419999999</v>
      </c>
      <c r="GJ105">
        <v>21.170473999999999</v>
      </c>
      <c r="GK105">
        <v>37</v>
      </c>
      <c r="GL105">
        <v>37</v>
      </c>
      <c r="GM105">
        <v>17</v>
      </c>
      <c r="GN105">
        <v>26</v>
      </c>
      <c r="GO105" t="s">
        <v>273</v>
      </c>
      <c r="GP105" t="s">
        <v>273</v>
      </c>
      <c r="GQ105">
        <v>32.709367999999998</v>
      </c>
      <c r="GR105">
        <v>0.14838599999999999</v>
      </c>
      <c r="GS105">
        <v>4.19428</v>
      </c>
      <c r="GT105">
        <v>3.6570529999999999</v>
      </c>
      <c r="GU105">
        <v>87.191434999999998</v>
      </c>
      <c r="GV105">
        <v>28.323281000000001</v>
      </c>
      <c r="GW105">
        <v>1301.141664</v>
      </c>
      <c r="GX105">
        <v>35.821103000000001</v>
      </c>
      <c r="GY105">
        <v>58</v>
      </c>
      <c r="GZ105">
        <v>58</v>
      </c>
      <c r="HA105">
        <v>45</v>
      </c>
      <c r="HB105">
        <v>45</v>
      </c>
      <c r="HC105" t="s">
        <v>273</v>
      </c>
      <c r="HD105" t="s">
        <v>273</v>
      </c>
      <c r="HE105">
        <v>18</v>
      </c>
      <c r="HF105">
        <v>1E-3</v>
      </c>
      <c r="HG105">
        <v>6.4999999999999997E-3</v>
      </c>
      <c r="HH105">
        <v>5.5556000000000001E-2</v>
      </c>
      <c r="HI105">
        <v>6000</v>
      </c>
    </row>
    <row r="106" spans="1:217" x14ac:dyDescent="0.3">
      <c r="A106">
        <v>628</v>
      </c>
      <c r="B106" t="s">
        <v>269</v>
      </c>
      <c r="F106" t="s">
        <v>270</v>
      </c>
      <c r="G106" t="s">
        <v>288</v>
      </c>
      <c r="H106" t="s">
        <v>289</v>
      </c>
      <c r="I106">
        <v>6000</v>
      </c>
      <c r="J106">
        <v>1</v>
      </c>
      <c r="K106">
        <v>92.793750000000003</v>
      </c>
      <c r="L106">
        <v>0.22</v>
      </c>
      <c r="M106">
        <v>3.8266000000000001E-2</v>
      </c>
      <c r="N106">
        <v>0</v>
      </c>
      <c r="O106">
        <v>0</v>
      </c>
      <c r="P106">
        <v>0</v>
      </c>
      <c r="Q106">
        <v>26.59</v>
      </c>
      <c r="R106">
        <v>1</v>
      </c>
      <c r="S106">
        <v>1</v>
      </c>
      <c r="T106">
        <v>1</v>
      </c>
      <c r="U106">
        <v>1</v>
      </c>
      <c r="V106">
        <v>100</v>
      </c>
      <c r="W106" t="s">
        <v>273</v>
      </c>
      <c r="X106" t="s">
        <v>274</v>
      </c>
      <c r="Y106" t="s">
        <v>274</v>
      </c>
      <c r="Z106" t="s">
        <v>273</v>
      </c>
      <c r="AA106" t="s">
        <v>275</v>
      </c>
      <c r="AB106" t="s">
        <v>276</v>
      </c>
      <c r="AC106">
        <v>293</v>
      </c>
      <c r="AD106">
        <v>5</v>
      </c>
      <c r="AE106" t="s">
        <v>277</v>
      </c>
      <c r="AF106">
        <v>3.1937989999999998</v>
      </c>
      <c r="AG106">
        <v>100</v>
      </c>
      <c r="AH106">
        <v>28.8</v>
      </c>
      <c r="AI106">
        <v>1725</v>
      </c>
      <c r="AJ106">
        <v>800</v>
      </c>
      <c r="AK106">
        <v>1200</v>
      </c>
      <c r="AL106">
        <v>189.9</v>
      </c>
      <c r="AM106">
        <v>2.2000000000000002</v>
      </c>
      <c r="AN106" t="s">
        <v>273</v>
      </c>
      <c r="AO106" t="s">
        <v>278</v>
      </c>
      <c r="AP106" t="s">
        <v>291</v>
      </c>
      <c r="AQ106">
        <v>2.5</v>
      </c>
      <c r="AR106">
        <v>6</v>
      </c>
      <c r="AS106">
        <v>140</v>
      </c>
      <c r="AT106">
        <v>254.8</v>
      </c>
      <c r="AU106">
        <v>0.14535000000000001</v>
      </c>
      <c r="AV106">
        <v>36.1</v>
      </c>
      <c r="AW106">
        <v>238.9</v>
      </c>
      <c r="AX106" t="s">
        <v>280</v>
      </c>
      <c r="AY106">
        <v>0</v>
      </c>
      <c r="AZ106" t="s">
        <v>281</v>
      </c>
      <c r="BA106">
        <v>0.2</v>
      </c>
      <c r="BB106">
        <v>0.5</v>
      </c>
      <c r="BC106" t="s">
        <v>273</v>
      </c>
      <c r="BD106" t="s">
        <v>273</v>
      </c>
      <c r="BE106">
        <v>17.887651000000002</v>
      </c>
      <c r="BF106">
        <v>18.093616999999998</v>
      </c>
      <c r="BG106">
        <v>478.90364899999997</v>
      </c>
      <c r="BH106" t="s">
        <v>273</v>
      </c>
      <c r="BI106">
        <v>21.454868999999999</v>
      </c>
      <c r="BJ106">
        <v>21.701910000000002</v>
      </c>
      <c r="BK106">
        <v>399.27818200000002</v>
      </c>
      <c r="BL106" t="s">
        <v>273</v>
      </c>
      <c r="BM106">
        <v>21.455497000000001</v>
      </c>
      <c r="BN106">
        <v>21.702545000000001</v>
      </c>
      <c r="BO106">
        <v>399.266502</v>
      </c>
      <c r="BP106" t="s">
        <v>273</v>
      </c>
      <c r="BQ106">
        <v>13.894273999999999</v>
      </c>
      <c r="BR106">
        <v>14.054259</v>
      </c>
      <c r="BS106">
        <v>616.54616199999998</v>
      </c>
      <c r="BT106" t="s">
        <v>273</v>
      </c>
      <c r="BU106">
        <v>7.0394680000000003</v>
      </c>
      <c r="BV106">
        <v>7.1205230000000004</v>
      </c>
      <c r="BW106">
        <v>1216.918889</v>
      </c>
      <c r="BX106" t="s">
        <v>273</v>
      </c>
      <c r="BY106">
        <v>16.099482999999999</v>
      </c>
      <c r="BZ106">
        <v>18.330741</v>
      </c>
      <c r="CA106">
        <v>18.598015</v>
      </c>
      <c r="CB106">
        <v>21.455497000000001</v>
      </c>
      <c r="CC106">
        <v>10.232497</v>
      </c>
      <c r="CD106">
        <v>15.472057</v>
      </c>
      <c r="CE106" t="s">
        <v>273</v>
      </c>
      <c r="CF106">
        <v>16.284859000000001</v>
      </c>
      <c r="CG106">
        <v>18.541809000000001</v>
      </c>
      <c r="CH106">
        <v>18.812161</v>
      </c>
      <c r="CI106">
        <v>21.702545000000001</v>
      </c>
      <c r="CJ106">
        <v>10.350319000000001</v>
      </c>
      <c r="CK106">
        <v>15.650209</v>
      </c>
      <c r="CL106" t="s">
        <v>273</v>
      </c>
      <c r="CM106">
        <v>532.09544000000005</v>
      </c>
      <c r="CN106">
        <v>467.327606</v>
      </c>
      <c r="CO106">
        <v>460.61158999999998</v>
      </c>
      <c r="CP106">
        <v>399.266502</v>
      </c>
      <c r="CQ106">
        <v>837.181872</v>
      </c>
      <c r="CR106">
        <v>553.67306399999995</v>
      </c>
      <c r="CS106" t="s">
        <v>273</v>
      </c>
      <c r="CT106">
        <v>632.32497100000001</v>
      </c>
      <c r="CU106">
        <v>597.10775799999999</v>
      </c>
      <c r="CV106">
        <v>547.28920300000004</v>
      </c>
      <c r="CW106">
        <v>1352.068943</v>
      </c>
      <c r="CX106">
        <v>490.45132999999998</v>
      </c>
      <c r="CY106">
        <v>1138.257278</v>
      </c>
      <c r="CZ106" t="s">
        <v>273</v>
      </c>
      <c r="DA106">
        <v>3.6023999999999998</v>
      </c>
      <c r="DB106">
        <v>510.01</v>
      </c>
      <c r="DC106">
        <v>3.8732220000000002</v>
      </c>
      <c r="DD106">
        <v>864</v>
      </c>
      <c r="DE106">
        <v>3.6018300000000001</v>
      </c>
      <c r="DF106">
        <v>505</v>
      </c>
      <c r="DG106">
        <v>10.265428999999999</v>
      </c>
      <c r="DH106">
        <v>765</v>
      </c>
      <c r="DI106">
        <v>1.775895</v>
      </c>
      <c r="DJ106">
        <v>235</v>
      </c>
      <c r="DK106">
        <v>6.232011</v>
      </c>
      <c r="DL106">
        <v>365</v>
      </c>
      <c r="DM106" t="s">
        <v>273</v>
      </c>
      <c r="DN106">
        <v>5.2924639999999998</v>
      </c>
      <c r="DO106">
        <v>14.339128000000001</v>
      </c>
      <c r="DP106">
        <v>7.3949699999999998</v>
      </c>
      <c r="DQ106" t="s">
        <v>282</v>
      </c>
      <c r="DR106">
        <v>9.2312999999999992</v>
      </c>
      <c r="DS106">
        <v>20.365299</v>
      </c>
      <c r="DT106">
        <v>51.330696000000003</v>
      </c>
      <c r="DU106">
        <v>71.555539999999993</v>
      </c>
      <c r="DV106">
        <v>102.847324</v>
      </c>
      <c r="DW106" t="s">
        <v>283</v>
      </c>
      <c r="DX106" t="s">
        <v>273</v>
      </c>
      <c r="DY106">
        <v>26.949334</v>
      </c>
      <c r="DZ106">
        <v>8.1217999999999999E-2</v>
      </c>
      <c r="EA106">
        <v>1.9780040000000001</v>
      </c>
      <c r="EB106">
        <v>1.6306609999999999</v>
      </c>
      <c r="EC106">
        <v>82.439760000000007</v>
      </c>
      <c r="ED106">
        <v>21.951902</v>
      </c>
      <c r="EE106">
        <v>1000.501458</v>
      </c>
      <c r="EF106">
        <v>11.373125999999999</v>
      </c>
      <c r="EG106">
        <v>36</v>
      </c>
      <c r="EH106">
        <v>36</v>
      </c>
      <c r="EI106">
        <v>32</v>
      </c>
      <c r="EJ106">
        <v>34</v>
      </c>
      <c r="EK106" t="s">
        <v>273</v>
      </c>
      <c r="EL106" t="s">
        <v>273</v>
      </c>
      <c r="EM106">
        <v>27.497911999999999</v>
      </c>
      <c r="EN106">
        <v>4.3539000000000001E-2</v>
      </c>
      <c r="EO106">
        <v>1.905861</v>
      </c>
      <c r="EP106">
        <v>1.489298</v>
      </c>
      <c r="EQ106">
        <v>78.143090000000001</v>
      </c>
      <c r="ER106">
        <v>21.111324</v>
      </c>
      <c r="ES106">
        <v>845.07025099999998</v>
      </c>
      <c r="ET106">
        <v>6.0967779999999996</v>
      </c>
      <c r="EU106">
        <v>29</v>
      </c>
      <c r="EV106">
        <v>29</v>
      </c>
      <c r="EW106">
        <v>27</v>
      </c>
      <c r="EX106">
        <v>29</v>
      </c>
      <c r="EY106" t="s">
        <v>273</v>
      </c>
      <c r="EZ106" t="s">
        <v>273</v>
      </c>
      <c r="FA106">
        <v>31.130689</v>
      </c>
      <c r="FB106">
        <v>8.2017000000000007E-2</v>
      </c>
      <c r="FC106">
        <v>1.977627</v>
      </c>
      <c r="FD106">
        <v>1.6305240000000001</v>
      </c>
      <c r="FE106">
        <v>82.448526999999999</v>
      </c>
      <c r="FF106">
        <v>25.360441999999999</v>
      </c>
      <c r="FG106">
        <v>1000.574034</v>
      </c>
      <c r="FH106">
        <v>11.484971</v>
      </c>
      <c r="FI106">
        <v>36</v>
      </c>
      <c r="FJ106">
        <v>36</v>
      </c>
      <c r="FK106">
        <v>32</v>
      </c>
      <c r="FL106">
        <v>34</v>
      </c>
      <c r="FM106" t="s">
        <v>273</v>
      </c>
      <c r="FN106" t="s">
        <v>273</v>
      </c>
      <c r="FO106">
        <v>32.579856999999997</v>
      </c>
      <c r="FP106">
        <v>0.14779100000000001</v>
      </c>
      <c r="FQ106">
        <v>5.1131279999999997</v>
      </c>
      <c r="FR106">
        <v>4.4159629999999996</v>
      </c>
      <c r="FS106">
        <v>86.365179999999995</v>
      </c>
      <c r="FT106">
        <v>28.021875999999999</v>
      </c>
      <c r="FU106">
        <v>958.321729</v>
      </c>
      <c r="FV106">
        <v>20.695498000000001</v>
      </c>
      <c r="FW106">
        <v>42</v>
      </c>
      <c r="FX106">
        <v>42</v>
      </c>
      <c r="FY106">
        <v>41</v>
      </c>
      <c r="FZ106">
        <v>38</v>
      </c>
      <c r="GA106" t="s">
        <v>273</v>
      </c>
      <c r="GB106" t="s">
        <v>273</v>
      </c>
      <c r="GC106">
        <v>30.481608999999999</v>
      </c>
      <c r="GD106">
        <v>0.15004300000000001</v>
      </c>
      <c r="GE106">
        <v>1.7352920000000001</v>
      </c>
      <c r="GF106">
        <v>1.404606</v>
      </c>
      <c r="GG106">
        <v>80.943537000000006</v>
      </c>
      <c r="GH106">
        <v>24.091730999999999</v>
      </c>
      <c r="GI106">
        <v>1727.603738</v>
      </c>
      <c r="GJ106">
        <v>21.010791000000001</v>
      </c>
      <c r="GK106">
        <v>26</v>
      </c>
      <c r="GL106">
        <v>26</v>
      </c>
      <c r="GM106">
        <v>17</v>
      </c>
      <c r="GN106">
        <v>26</v>
      </c>
      <c r="GO106" t="s">
        <v>273</v>
      </c>
      <c r="GP106" t="s">
        <v>273</v>
      </c>
      <c r="GQ106">
        <v>32.233128000000001</v>
      </c>
      <c r="GR106">
        <v>0.25480000000000003</v>
      </c>
      <c r="GS106">
        <v>4.2587440000000001</v>
      </c>
      <c r="GT106">
        <v>3.6399080000000001</v>
      </c>
      <c r="GU106">
        <v>85.469030000000004</v>
      </c>
      <c r="GV106">
        <v>27.380274</v>
      </c>
      <c r="GW106">
        <v>1298.50173</v>
      </c>
      <c r="GX106">
        <v>35.680154999999999</v>
      </c>
      <c r="GY106">
        <v>76</v>
      </c>
      <c r="GZ106">
        <v>76</v>
      </c>
      <c r="HA106">
        <v>52</v>
      </c>
      <c r="HB106">
        <v>48</v>
      </c>
      <c r="HC106" t="s">
        <v>273</v>
      </c>
      <c r="HD106" t="s">
        <v>273</v>
      </c>
      <c r="HE106">
        <v>31</v>
      </c>
      <c r="HF106">
        <v>1E-3</v>
      </c>
      <c r="HG106">
        <v>6.4999999999999997E-3</v>
      </c>
      <c r="HH106">
        <v>3.2258000000000002E-2</v>
      </c>
      <c r="HI106">
        <v>6000</v>
      </c>
    </row>
    <row r="107" spans="1:217" x14ac:dyDescent="0.3">
      <c r="A107">
        <v>644</v>
      </c>
      <c r="B107" t="s">
        <v>269</v>
      </c>
      <c r="F107" t="s">
        <v>270</v>
      </c>
      <c r="G107" t="s">
        <v>288</v>
      </c>
      <c r="H107" t="s">
        <v>289</v>
      </c>
      <c r="I107">
        <v>4500</v>
      </c>
      <c r="J107">
        <v>1</v>
      </c>
      <c r="K107">
        <v>63.496875000000003</v>
      </c>
      <c r="L107">
        <v>0.22</v>
      </c>
      <c r="M107">
        <v>4.1195000000000002E-2</v>
      </c>
      <c r="N107">
        <v>0</v>
      </c>
      <c r="O107">
        <v>0</v>
      </c>
      <c r="P107">
        <v>0</v>
      </c>
      <c r="Q107">
        <v>23.66</v>
      </c>
      <c r="R107">
        <v>1</v>
      </c>
      <c r="S107">
        <v>1</v>
      </c>
      <c r="T107">
        <v>1</v>
      </c>
      <c r="U107">
        <v>1</v>
      </c>
      <c r="V107">
        <v>100</v>
      </c>
      <c r="W107" t="s">
        <v>273</v>
      </c>
      <c r="X107" t="s">
        <v>274</v>
      </c>
      <c r="Y107" t="s">
        <v>274</v>
      </c>
      <c r="Z107" t="s">
        <v>273</v>
      </c>
      <c r="AA107" t="s">
        <v>275</v>
      </c>
      <c r="AB107" t="s">
        <v>276</v>
      </c>
      <c r="AC107">
        <v>399</v>
      </c>
      <c r="AD107">
        <v>5</v>
      </c>
      <c r="AE107" t="s">
        <v>277</v>
      </c>
      <c r="AF107">
        <v>3.0734530000000002</v>
      </c>
      <c r="AG107">
        <v>100</v>
      </c>
      <c r="AH107">
        <v>27.7</v>
      </c>
      <c r="AI107">
        <v>1660</v>
      </c>
      <c r="AJ107">
        <v>800</v>
      </c>
      <c r="AK107">
        <v>1200</v>
      </c>
      <c r="AL107">
        <v>162.69999999999999</v>
      </c>
      <c r="AM107">
        <v>2.2000000000000002</v>
      </c>
      <c r="AN107" t="s">
        <v>273</v>
      </c>
      <c r="AO107" t="s">
        <v>278</v>
      </c>
      <c r="AP107" t="s">
        <v>292</v>
      </c>
      <c r="AQ107">
        <v>3.4</v>
      </c>
      <c r="AR107">
        <v>6</v>
      </c>
      <c r="AS107">
        <v>190.7</v>
      </c>
      <c r="AT107">
        <v>347</v>
      </c>
      <c r="AU107">
        <v>0.19767599999999999</v>
      </c>
      <c r="AV107">
        <v>36.5</v>
      </c>
      <c r="AW107">
        <v>235.8</v>
      </c>
      <c r="AX107" t="s">
        <v>280</v>
      </c>
      <c r="AY107">
        <v>0</v>
      </c>
      <c r="AZ107" t="s">
        <v>281</v>
      </c>
      <c r="BA107">
        <v>0.2</v>
      </c>
      <c r="BB107">
        <v>0.5</v>
      </c>
      <c r="BC107" t="s">
        <v>273</v>
      </c>
      <c r="BD107" t="s">
        <v>273</v>
      </c>
      <c r="BE107">
        <v>20.805568999999998</v>
      </c>
      <c r="BF107">
        <v>21.045133</v>
      </c>
      <c r="BG107">
        <v>411.73885799999999</v>
      </c>
      <c r="BH107" t="s">
        <v>273</v>
      </c>
      <c r="BI107">
        <v>24.401520999999999</v>
      </c>
      <c r="BJ107">
        <v>24.682490000000001</v>
      </c>
      <c r="BK107">
        <v>351.06260099999997</v>
      </c>
      <c r="BL107" t="s">
        <v>273</v>
      </c>
      <c r="BM107">
        <v>24.402505000000001</v>
      </c>
      <c r="BN107">
        <v>24.683487</v>
      </c>
      <c r="BO107">
        <v>351.04843099999999</v>
      </c>
      <c r="BP107" t="s">
        <v>273</v>
      </c>
      <c r="BQ107">
        <v>16.340648999999999</v>
      </c>
      <c r="BR107">
        <v>16.528801999999999</v>
      </c>
      <c r="BS107">
        <v>524.24242000000004</v>
      </c>
      <c r="BT107" t="s">
        <v>273</v>
      </c>
      <c r="BU107">
        <v>6.7649470000000003</v>
      </c>
      <c r="BV107">
        <v>6.842841</v>
      </c>
      <c r="BW107">
        <v>1266.3013570000001</v>
      </c>
      <c r="BX107" t="s">
        <v>273</v>
      </c>
      <c r="BY107">
        <v>18.855222999999999</v>
      </c>
      <c r="BZ107">
        <v>21.152373000000001</v>
      </c>
      <c r="CA107">
        <v>21.833172000000001</v>
      </c>
      <c r="CB107">
        <v>24.402505000000001</v>
      </c>
      <c r="CC107">
        <v>13.267535000000001</v>
      </c>
      <c r="CD107">
        <v>17.506609000000001</v>
      </c>
      <c r="CE107" t="s">
        <v>273</v>
      </c>
      <c r="CF107">
        <v>19.072330999999998</v>
      </c>
      <c r="CG107">
        <v>21.395931000000001</v>
      </c>
      <c r="CH107">
        <v>22.084568000000001</v>
      </c>
      <c r="CI107">
        <v>24.683487</v>
      </c>
      <c r="CJ107">
        <v>13.420303000000001</v>
      </c>
      <c r="CK107">
        <v>17.708188</v>
      </c>
      <c r="CL107" t="s">
        <v>273</v>
      </c>
      <c r="CM107">
        <v>454.328282</v>
      </c>
      <c r="CN107">
        <v>404.98818799999998</v>
      </c>
      <c r="CO107">
        <v>392.35990900000002</v>
      </c>
      <c r="CP107">
        <v>351.04843099999999</v>
      </c>
      <c r="CQ107">
        <v>645.67090900000005</v>
      </c>
      <c r="CR107">
        <v>489.32727699999998</v>
      </c>
      <c r="CS107" t="s">
        <v>273</v>
      </c>
      <c r="CT107">
        <v>540.75273500000003</v>
      </c>
      <c r="CU107">
        <v>518.96727099999998</v>
      </c>
      <c r="CV107">
        <v>466.92659200000003</v>
      </c>
      <c r="CW107">
        <v>1189.017662</v>
      </c>
      <c r="CX107">
        <v>382.34039799999999</v>
      </c>
      <c r="CY107">
        <v>1007.7322789999999</v>
      </c>
      <c r="CZ107" t="s">
        <v>273</v>
      </c>
      <c r="DA107">
        <v>3.6080299999999998</v>
      </c>
      <c r="DB107">
        <v>510.01</v>
      </c>
      <c r="DC107">
        <v>3.8845320000000001</v>
      </c>
      <c r="DD107">
        <v>864</v>
      </c>
      <c r="DE107">
        <v>3.6074899999999999</v>
      </c>
      <c r="DF107">
        <v>505</v>
      </c>
      <c r="DG107">
        <v>10.267446</v>
      </c>
      <c r="DH107">
        <v>765</v>
      </c>
      <c r="DI107">
        <v>1.7950649999999999</v>
      </c>
      <c r="DJ107">
        <v>235</v>
      </c>
      <c r="DK107">
        <v>6.2429069999999998</v>
      </c>
      <c r="DL107">
        <v>365</v>
      </c>
      <c r="DM107" t="s">
        <v>273</v>
      </c>
      <c r="DN107">
        <v>3.4735770000000001</v>
      </c>
      <c r="DO107">
        <v>8.0822819999999993</v>
      </c>
      <c r="DP107">
        <v>4.21896</v>
      </c>
      <c r="DQ107" t="s">
        <v>282</v>
      </c>
      <c r="DR107">
        <v>4.8888470000000002</v>
      </c>
      <c r="DS107">
        <v>16.510186000000001</v>
      </c>
      <c r="DT107">
        <v>33.700274</v>
      </c>
      <c r="DU107">
        <v>86.932516000000007</v>
      </c>
      <c r="DV107">
        <v>112.125398</v>
      </c>
      <c r="DW107" t="s">
        <v>283</v>
      </c>
      <c r="DX107" t="s">
        <v>273</v>
      </c>
      <c r="DY107">
        <v>25.371113999999999</v>
      </c>
      <c r="DZ107">
        <v>4.8825E-2</v>
      </c>
      <c r="EA107">
        <v>1.5924910000000001</v>
      </c>
      <c r="EB107">
        <v>1.336773</v>
      </c>
      <c r="EC107">
        <v>83.942257999999995</v>
      </c>
      <c r="ED107">
        <v>21.016994</v>
      </c>
      <c r="EE107">
        <v>817.89229599999999</v>
      </c>
      <c r="EF107">
        <v>9.3118590000000001</v>
      </c>
      <c r="EG107">
        <v>29</v>
      </c>
      <c r="EH107">
        <v>29</v>
      </c>
      <c r="EI107">
        <v>25</v>
      </c>
      <c r="EJ107">
        <v>26</v>
      </c>
      <c r="EK107" t="s">
        <v>273</v>
      </c>
      <c r="EL107" t="s">
        <v>273</v>
      </c>
      <c r="EM107">
        <v>23.983442</v>
      </c>
      <c r="EN107">
        <v>2.4369999999999999E-2</v>
      </c>
      <c r="EO107">
        <v>1.444742</v>
      </c>
      <c r="EP107">
        <v>1.1417360000000001</v>
      </c>
      <c r="EQ107">
        <v>79.026983000000001</v>
      </c>
      <c r="ER107">
        <v>18.517244999999999</v>
      </c>
      <c r="ES107">
        <v>642.35256500000003</v>
      </c>
      <c r="ET107">
        <v>4.647799</v>
      </c>
      <c r="EU107">
        <v>27</v>
      </c>
      <c r="EV107">
        <v>27</v>
      </c>
      <c r="EW107">
        <v>27</v>
      </c>
      <c r="EX107">
        <v>27</v>
      </c>
      <c r="EY107" t="s">
        <v>273</v>
      </c>
      <c r="EZ107" t="s">
        <v>273</v>
      </c>
      <c r="FA107">
        <v>29.370062000000001</v>
      </c>
      <c r="FB107">
        <v>4.9306000000000003E-2</v>
      </c>
      <c r="FC107">
        <v>1.5918129999999999</v>
      </c>
      <c r="FD107">
        <v>1.3366910000000001</v>
      </c>
      <c r="FE107">
        <v>83.972825</v>
      </c>
      <c r="FF107">
        <v>24.338341</v>
      </c>
      <c r="FG107">
        <v>817.96105799999998</v>
      </c>
      <c r="FH107">
        <v>9.4036240000000006</v>
      </c>
      <c r="FI107">
        <v>29</v>
      </c>
      <c r="FJ107">
        <v>29</v>
      </c>
      <c r="FK107">
        <v>25</v>
      </c>
      <c r="FL107">
        <v>26</v>
      </c>
      <c r="FM107" t="s">
        <v>273</v>
      </c>
      <c r="FN107" t="s">
        <v>273</v>
      </c>
      <c r="FO107">
        <v>32.076289000000003</v>
      </c>
      <c r="FP107">
        <v>9.5536999999999997E-2</v>
      </c>
      <c r="FQ107">
        <v>4.4270160000000001</v>
      </c>
      <c r="FR107">
        <v>3.889907</v>
      </c>
      <c r="FS107">
        <v>87.867468000000002</v>
      </c>
      <c r="FT107">
        <v>28.054114999999999</v>
      </c>
      <c r="FU107">
        <v>843.55792499999995</v>
      </c>
      <c r="FV107">
        <v>18.220687999999999</v>
      </c>
      <c r="FW107">
        <v>17</v>
      </c>
      <c r="FX107">
        <v>17</v>
      </c>
      <c r="FY107">
        <v>17</v>
      </c>
      <c r="FZ107">
        <v>16</v>
      </c>
      <c r="GA107" t="s">
        <v>273</v>
      </c>
      <c r="GB107" t="s">
        <v>273</v>
      </c>
      <c r="GC107">
        <v>30.823378000000002</v>
      </c>
      <c r="GD107">
        <v>8.7813000000000002E-2</v>
      </c>
      <c r="GE107">
        <v>1.3679460000000001</v>
      </c>
      <c r="GF107">
        <v>1.125011</v>
      </c>
      <c r="GG107">
        <v>82.240831</v>
      </c>
      <c r="GH107">
        <v>24.633253</v>
      </c>
      <c r="GI107">
        <v>1362.35499</v>
      </c>
      <c r="GJ107">
        <v>16.747554999999998</v>
      </c>
      <c r="GK107">
        <v>29</v>
      </c>
      <c r="GL107">
        <v>29</v>
      </c>
      <c r="GM107">
        <v>17</v>
      </c>
      <c r="GN107">
        <v>26</v>
      </c>
      <c r="GO107" t="s">
        <v>273</v>
      </c>
      <c r="GP107" t="s">
        <v>273</v>
      </c>
      <c r="GQ107">
        <v>32.752327000000001</v>
      </c>
      <c r="GR107">
        <v>0.17227300000000001</v>
      </c>
      <c r="GS107">
        <v>3.8311220000000001</v>
      </c>
      <c r="GT107">
        <v>3.3523149999999999</v>
      </c>
      <c r="GU107">
        <v>87.502161000000001</v>
      </c>
      <c r="GV107">
        <v>28.478425999999999</v>
      </c>
      <c r="GW107">
        <v>1193.6221740000001</v>
      </c>
      <c r="GX107">
        <v>32.855629</v>
      </c>
      <c r="GY107">
        <v>80</v>
      </c>
      <c r="GZ107">
        <v>80</v>
      </c>
      <c r="HA107">
        <v>47</v>
      </c>
      <c r="HB107">
        <v>48</v>
      </c>
      <c r="HC107" t="s">
        <v>273</v>
      </c>
      <c r="HD107" t="s">
        <v>273</v>
      </c>
      <c r="HE107">
        <v>18</v>
      </c>
      <c r="HF107">
        <v>1E-3</v>
      </c>
      <c r="HG107">
        <v>8.0000000000000002E-3</v>
      </c>
      <c r="HH107">
        <v>5.5556000000000001E-2</v>
      </c>
      <c r="HI107">
        <v>4500</v>
      </c>
    </row>
    <row r="108" spans="1:217" x14ac:dyDescent="0.3">
      <c r="A108">
        <v>645</v>
      </c>
      <c r="B108" t="s">
        <v>269</v>
      </c>
      <c r="F108" t="s">
        <v>270</v>
      </c>
      <c r="G108" t="s">
        <v>288</v>
      </c>
      <c r="H108" t="s">
        <v>289</v>
      </c>
      <c r="I108">
        <v>6000</v>
      </c>
      <c r="J108">
        <v>1</v>
      </c>
      <c r="K108">
        <v>85.762500000000003</v>
      </c>
      <c r="L108">
        <v>0.22</v>
      </c>
      <c r="M108">
        <v>5.5843999999999998E-2</v>
      </c>
      <c r="N108">
        <v>0</v>
      </c>
      <c r="O108">
        <v>0</v>
      </c>
      <c r="P108">
        <v>0</v>
      </c>
      <c r="Q108">
        <v>31.52</v>
      </c>
      <c r="R108">
        <v>1</v>
      </c>
      <c r="S108">
        <v>1</v>
      </c>
      <c r="T108">
        <v>1</v>
      </c>
      <c r="U108">
        <v>1</v>
      </c>
      <c r="V108">
        <v>100</v>
      </c>
      <c r="W108" t="s">
        <v>273</v>
      </c>
      <c r="X108" t="s">
        <v>274</v>
      </c>
      <c r="Y108" t="s">
        <v>274</v>
      </c>
      <c r="Z108" t="s">
        <v>273</v>
      </c>
      <c r="AA108" t="s">
        <v>275</v>
      </c>
      <c r="AB108" t="s">
        <v>276</v>
      </c>
      <c r="AC108">
        <v>505</v>
      </c>
      <c r="AD108">
        <v>5</v>
      </c>
      <c r="AE108" t="s">
        <v>277</v>
      </c>
      <c r="AF108">
        <v>2.9068200000000002</v>
      </c>
      <c r="AG108">
        <v>100</v>
      </c>
      <c r="AH108">
        <v>26.2</v>
      </c>
      <c r="AI108">
        <v>1570</v>
      </c>
      <c r="AJ108">
        <v>800</v>
      </c>
      <c r="AK108">
        <v>1200</v>
      </c>
      <c r="AL108">
        <v>144.6</v>
      </c>
      <c r="AM108">
        <v>2.2000000000000002</v>
      </c>
      <c r="AN108" t="s">
        <v>273</v>
      </c>
      <c r="AO108" t="s">
        <v>278</v>
      </c>
      <c r="AP108" t="s">
        <v>290</v>
      </c>
      <c r="AQ108">
        <v>4.3</v>
      </c>
      <c r="AR108">
        <v>6</v>
      </c>
      <c r="AS108">
        <v>241.4</v>
      </c>
      <c r="AT108">
        <v>439.2</v>
      </c>
      <c r="AU108">
        <v>0.250002</v>
      </c>
      <c r="AV108">
        <v>36.9</v>
      </c>
      <c r="AW108">
        <v>233.6</v>
      </c>
      <c r="AX108" t="s">
        <v>280</v>
      </c>
      <c r="AY108">
        <v>0</v>
      </c>
      <c r="AZ108" t="s">
        <v>281</v>
      </c>
      <c r="BA108">
        <v>0.2</v>
      </c>
      <c r="BB108">
        <v>0.5</v>
      </c>
      <c r="BC108" t="s">
        <v>273</v>
      </c>
      <c r="BD108" t="s">
        <v>273</v>
      </c>
      <c r="BE108">
        <v>16.185893</v>
      </c>
      <c r="BF108">
        <v>16.372264000000001</v>
      </c>
      <c r="BG108">
        <v>529.25479499999994</v>
      </c>
      <c r="BH108" t="s">
        <v>273</v>
      </c>
      <c r="BI108">
        <v>18.526803000000001</v>
      </c>
      <c r="BJ108">
        <v>18.740129</v>
      </c>
      <c r="BK108">
        <v>462.38205599999998</v>
      </c>
      <c r="BL108" t="s">
        <v>273</v>
      </c>
      <c r="BM108">
        <v>18.527518000000001</v>
      </c>
      <c r="BN108">
        <v>18.740852</v>
      </c>
      <c r="BO108">
        <v>462.36420099999998</v>
      </c>
      <c r="BP108" t="s">
        <v>273</v>
      </c>
      <c r="BQ108">
        <v>12.46214</v>
      </c>
      <c r="BR108">
        <v>12.605634</v>
      </c>
      <c r="BS108">
        <v>687.39891</v>
      </c>
      <c r="BT108" t="s">
        <v>273</v>
      </c>
      <c r="BU108">
        <v>5.0379149999999999</v>
      </c>
      <c r="BV108">
        <v>5.095923</v>
      </c>
      <c r="BW108">
        <v>1700.39822</v>
      </c>
      <c r="BX108" t="s">
        <v>273</v>
      </c>
      <c r="BY108">
        <v>14.588735</v>
      </c>
      <c r="BZ108">
        <v>16.547473</v>
      </c>
      <c r="CA108">
        <v>16.883607999999999</v>
      </c>
      <c r="CB108">
        <v>18.527518000000001</v>
      </c>
      <c r="CC108">
        <v>10.519098</v>
      </c>
      <c r="CD108">
        <v>13.160710999999999</v>
      </c>
      <c r="CE108" t="s">
        <v>273</v>
      </c>
      <c r="CF108">
        <v>14.756716000000001</v>
      </c>
      <c r="CG108">
        <v>16.738008000000001</v>
      </c>
      <c r="CH108">
        <v>17.078012999999999</v>
      </c>
      <c r="CI108">
        <v>18.740852</v>
      </c>
      <c r="CJ108">
        <v>10.640219</v>
      </c>
      <c r="CK108">
        <v>13.312249</v>
      </c>
      <c r="CL108" t="s">
        <v>273</v>
      </c>
      <c r="CM108">
        <v>587.19697199999996</v>
      </c>
      <c r="CN108">
        <v>517.69000600000004</v>
      </c>
      <c r="CO108">
        <v>507.38333499999999</v>
      </c>
      <c r="CP108">
        <v>462.36420099999998</v>
      </c>
      <c r="CQ108">
        <v>814.37224100000003</v>
      </c>
      <c r="CR108">
        <v>650.91174899999999</v>
      </c>
      <c r="CS108" t="s">
        <v>273</v>
      </c>
      <c r="CT108">
        <v>698.84506599999997</v>
      </c>
      <c r="CU108">
        <v>663.22255299999995</v>
      </c>
      <c r="CV108">
        <v>603.76255000000003</v>
      </c>
      <c r="CW108">
        <v>1566.0238690000001</v>
      </c>
      <c r="CX108">
        <v>481.95666699999998</v>
      </c>
      <c r="CY108">
        <v>1340.539401</v>
      </c>
      <c r="CZ108" t="s">
        <v>273</v>
      </c>
      <c r="DA108">
        <v>3.6077650000000001</v>
      </c>
      <c r="DB108">
        <v>510.01</v>
      </c>
      <c r="DC108">
        <v>3.8835660000000001</v>
      </c>
      <c r="DD108">
        <v>864</v>
      </c>
      <c r="DE108">
        <v>3.6072069999999998</v>
      </c>
      <c r="DF108">
        <v>505</v>
      </c>
      <c r="DG108">
        <v>10.267277999999999</v>
      </c>
      <c r="DH108">
        <v>765</v>
      </c>
      <c r="DI108">
        <v>1.7940149999999999</v>
      </c>
      <c r="DJ108">
        <v>235</v>
      </c>
      <c r="DK108">
        <v>6.2430760000000003</v>
      </c>
      <c r="DL108">
        <v>365</v>
      </c>
      <c r="DM108" t="s">
        <v>273</v>
      </c>
      <c r="DN108">
        <v>3.7056589999999998</v>
      </c>
      <c r="DO108">
        <v>8.7384219999999999</v>
      </c>
      <c r="DP108">
        <v>4.6942899999999996</v>
      </c>
      <c r="DQ108" t="s">
        <v>282</v>
      </c>
      <c r="DR108">
        <v>5.3301420000000004</v>
      </c>
      <c r="DS108">
        <v>16.953997999999999</v>
      </c>
      <c r="DT108">
        <v>35.716852000000003</v>
      </c>
      <c r="DU108">
        <v>84.848326</v>
      </c>
      <c r="DV108">
        <v>112.87703</v>
      </c>
      <c r="DW108" t="s">
        <v>283</v>
      </c>
      <c r="DX108" t="s">
        <v>273</v>
      </c>
      <c r="DY108">
        <v>26.383922999999999</v>
      </c>
      <c r="DZ108">
        <v>5.1390999999999999E-2</v>
      </c>
      <c r="EA108">
        <v>2.1402230000000002</v>
      </c>
      <c r="EB108">
        <v>1.7806580000000001</v>
      </c>
      <c r="EC108">
        <v>83.199669</v>
      </c>
      <c r="ED108">
        <v>21.666304</v>
      </c>
      <c r="EE108">
        <v>1089.745484</v>
      </c>
      <c r="EF108">
        <v>12.406048999999999</v>
      </c>
      <c r="EG108">
        <v>29</v>
      </c>
      <c r="EH108">
        <v>29</v>
      </c>
      <c r="EI108">
        <v>26</v>
      </c>
      <c r="EJ108">
        <v>28</v>
      </c>
      <c r="EK108" t="s">
        <v>273</v>
      </c>
      <c r="EL108" t="s">
        <v>273</v>
      </c>
      <c r="EM108">
        <v>25.136081999999998</v>
      </c>
      <c r="EN108">
        <v>2.5654E-2</v>
      </c>
      <c r="EO108">
        <v>1.935065</v>
      </c>
      <c r="EP108">
        <v>1.5217799999999999</v>
      </c>
      <c r="EQ108">
        <v>78.642330999999999</v>
      </c>
      <c r="ER108">
        <v>19.306621</v>
      </c>
      <c r="ES108">
        <v>856.11347699999999</v>
      </c>
      <c r="ET108">
        <v>6.1929439999999998</v>
      </c>
      <c r="EU108">
        <v>29</v>
      </c>
      <c r="EV108">
        <v>29</v>
      </c>
      <c r="EW108">
        <v>25</v>
      </c>
      <c r="EX108">
        <v>25</v>
      </c>
      <c r="EY108" t="s">
        <v>273</v>
      </c>
      <c r="EZ108" t="s">
        <v>273</v>
      </c>
      <c r="FA108">
        <v>30.528103000000002</v>
      </c>
      <c r="FB108">
        <v>5.1896999999999999E-2</v>
      </c>
      <c r="FC108">
        <v>2.1394630000000001</v>
      </c>
      <c r="FD108">
        <v>1.780538</v>
      </c>
      <c r="FE108">
        <v>83.223594000000006</v>
      </c>
      <c r="FF108">
        <v>25.076402999999999</v>
      </c>
      <c r="FG108">
        <v>1089.829667</v>
      </c>
      <c r="FH108">
        <v>12.528159</v>
      </c>
      <c r="FI108">
        <v>29</v>
      </c>
      <c r="FJ108">
        <v>29</v>
      </c>
      <c r="FK108">
        <v>26</v>
      </c>
      <c r="FL108">
        <v>28</v>
      </c>
      <c r="FM108" t="s">
        <v>273</v>
      </c>
      <c r="FN108" t="s">
        <v>273</v>
      </c>
      <c r="FO108">
        <v>32.427909</v>
      </c>
      <c r="FP108">
        <v>0.10055699999999999</v>
      </c>
      <c r="FQ108">
        <v>5.8946230000000002</v>
      </c>
      <c r="FR108">
        <v>5.1816399999999998</v>
      </c>
      <c r="FS108">
        <v>87.904522999999998</v>
      </c>
      <c r="FT108">
        <v>28.37781</v>
      </c>
      <c r="FU108">
        <v>1123.8656800000001</v>
      </c>
      <c r="FV108">
        <v>24.274885000000001</v>
      </c>
      <c r="FW108">
        <v>18</v>
      </c>
      <c r="FX108">
        <v>18</v>
      </c>
      <c r="FY108">
        <v>18</v>
      </c>
      <c r="FZ108">
        <v>18</v>
      </c>
      <c r="GA108" t="s">
        <v>273</v>
      </c>
      <c r="GB108" t="s">
        <v>273</v>
      </c>
      <c r="GC108">
        <v>31.510263999999999</v>
      </c>
      <c r="GD108">
        <v>9.2409000000000005E-2</v>
      </c>
      <c r="GE108">
        <v>1.7627820000000001</v>
      </c>
      <c r="GF108">
        <v>1.497282</v>
      </c>
      <c r="GG108">
        <v>84.938561000000007</v>
      </c>
      <c r="GH108">
        <v>26.03002</v>
      </c>
      <c r="GI108">
        <v>1815.738777</v>
      </c>
      <c r="GJ108">
        <v>22.307995999999999</v>
      </c>
      <c r="GK108">
        <v>39</v>
      </c>
      <c r="GL108">
        <v>39</v>
      </c>
      <c r="GM108">
        <v>19</v>
      </c>
      <c r="GN108">
        <v>27</v>
      </c>
      <c r="GO108" t="s">
        <v>273</v>
      </c>
      <c r="GP108" t="s">
        <v>273</v>
      </c>
      <c r="GQ108">
        <v>33.162134999999999</v>
      </c>
      <c r="GR108">
        <v>0.18160499999999999</v>
      </c>
      <c r="GS108">
        <v>5.1601309999999998</v>
      </c>
      <c r="GT108">
        <v>4.4723750000000004</v>
      </c>
      <c r="GU108">
        <v>86.671719999999993</v>
      </c>
      <c r="GV108">
        <v>28.565854999999999</v>
      </c>
      <c r="GW108">
        <v>1592.6516220000001</v>
      </c>
      <c r="GX108">
        <v>43.840491999999998</v>
      </c>
      <c r="GY108">
        <v>65</v>
      </c>
      <c r="GZ108">
        <v>65</v>
      </c>
      <c r="HA108">
        <v>52</v>
      </c>
      <c r="HB108">
        <v>47</v>
      </c>
      <c r="HC108" t="s">
        <v>273</v>
      </c>
      <c r="HD108" t="s">
        <v>273</v>
      </c>
      <c r="HE108">
        <v>18</v>
      </c>
      <c r="HF108">
        <v>1E-3</v>
      </c>
      <c r="HG108">
        <v>8.0000000000000002E-3</v>
      </c>
      <c r="HH108">
        <v>5.5556000000000001E-2</v>
      </c>
      <c r="HI108">
        <v>6000</v>
      </c>
    </row>
    <row r="109" spans="1:217" x14ac:dyDescent="0.3">
      <c r="A109">
        <v>646</v>
      </c>
      <c r="B109" t="s">
        <v>269</v>
      </c>
      <c r="F109" t="s">
        <v>270</v>
      </c>
      <c r="G109" t="s">
        <v>293</v>
      </c>
      <c r="H109" t="s">
        <v>294</v>
      </c>
      <c r="I109">
        <v>6000</v>
      </c>
      <c r="J109">
        <v>1</v>
      </c>
      <c r="K109">
        <v>85.762500000000003</v>
      </c>
      <c r="L109">
        <v>0.22</v>
      </c>
      <c r="M109">
        <v>5.5843999999999998E-2</v>
      </c>
      <c r="N109">
        <v>0</v>
      </c>
      <c r="O109">
        <v>0</v>
      </c>
      <c r="P109">
        <v>0</v>
      </c>
      <c r="Q109">
        <v>31.52</v>
      </c>
      <c r="R109">
        <v>1</v>
      </c>
      <c r="S109">
        <v>1</v>
      </c>
      <c r="T109">
        <v>1</v>
      </c>
      <c r="U109">
        <v>1</v>
      </c>
      <c r="V109">
        <v>100</v>
      </c>
      <c r="W109" t="s">
        <v>273</v>
      </c>
      <c r="X109" t="s">
        <v>274</v>
      </c>
      <c r="Y109" t="s">
        <v>274</v>
      </c>
      <c r="Z109" t="s">
        <v>273</v>
      </c>
      <c r="AA109" t="s">
        <v>275</v>
      </c>
      <c r="AB109" t="s">
        <v>276</v>
      </c>
      <c r="AC109">
        <v>293</v>
      </c>
      <c r="AD109">
        <v>5</v>
      </c>
      <c r="AE109" t="s">
        <v>277</v>
      </c>
      <c r="AF109">
        <v>3.1937989999999998</v>
      </c>
      <c r="AG109">
        <v>100</v>
      </c>
      <c r="AH109">
        <v>28.8</v>
      </c>
      <c r="AI109">
        <v>1725</v>
      </c>
      <c r="AJ109">
        <v>800</v>
      </c>
      <c r="AK109">
        <v>1200</v>
      </c>
      <c r="AL109">
        <v>189.9</v>
      </c>
      <c r="AM109">
        <v>2.2000000000000002</v>
      </c>
      <c r="AN109" t="s">
        <v>273</v>
      </c>
      <c r="AO109" t="s">
        <v>278</v>
      </c>
      <c r="AP109" t="s">
        <v>291</v>
      </c>
      <c r="AQ109">
        <v>2.5</v>
      </c>
      <c r="AR109">
        <v>6</v>
      </c>
      <c r="AS109">
        <v>140</v>
      </c>
      <c r="AT109">
        <v>254.8</v>
      </c>
      <c r="AU109">
        <v>0.14535000000000001</v>
      </c>
      <c r="AV109">
        <v>36.1</v>
      </c>
      <c r="AW109">
        <v>238.9</v>
      </c>
      <c r="AX109" t="s">
        <v>280</v>
      </c>
      <c r="AY109">
        <v>0</v>
      </c>
      <c r="AZ109" t="s">
        <v>281</v>
      </c>
      <c r="BA109">
        <v>0.2</v>
      </c>
      <c r="BB109">
        <v>0.5</v>
      </c>
      <c r="BC109" t="s">
        <v>273</v>
      </c>
      <c r="BD109" t="s">
        <v>273</v>
      </c>
      <c r="BE109">
        <v>17.142237999999999</v>
      </c>
      <c r="BF109">
        <v>17.339621999999999</v>
      </c>
      <c r="BG109">
        <v>499.728275</v>
      </c>
      <c r="BH109" t="s">
        <v>273</v>
      </c>
      <c r="BI109">
        <v>18.461760000000002</v>
      </c>
      <c r="BJ109">
        <v>18.674337000000001</v>
      </c>
      <c r="BK109">
        <v>464.01108799999997</v>
      </c>
      <c r="BL109" t="s">
        <v>273</v>
      </c>
      <c r="BM109">
        <v>18.453973000000001</v>
      </c>
      <c r="BN109">
        <v>18.666460000000001</v>
      </c>
      <c r="BO109">
        <v>464.20688200000001</v>
      </c>
      <c r="BP109" t="s">
        <v>273</v>
      </c>
      <c r="BQ109">
        <v>11.741980999999999</v>
      </c>
      <c r="BR109">
        <v>11.877183</v>
      </c>
      <c r="BS109">
        <v>729.55842500000006</v>
      </c>
      <c r="BT109" t="s">
        <v>273</v>
      </c>
      <c r="BU109">
        <v>6.4281920000000001</v>
      </c>
      <c r="BV109">
        <v>6.5022089999999997</v>
      </c>
      <c r="BW109">
        <v>1332.6393720000001</v>
      </c>
      <c r="BX109" t="s">
        <v>273</v>
      </c>
      <c r="BY109">
        <v>14.950169000000001</v>
      </c>
      <c r="BZ109">
        <v>18.137398999999998</v>
      </c>
      <c r="CA109">
        <v>17.264554</v>
      </c>
      <c r="CB109">
        <v>18.453973000000001</v>
      </c>
      <c r="CC109">
        <v>9.7683090000000004</v>
      </c>
      <c r="CD109">
        <v>12.457412</v>
      </c>
      <c r="CE109" t="s">
        <v>273</v>
      </c>
      <c r="CF109">
        <v>15.122312000000001</v>
      </c>
      <c r="CG109">
        <v>18.346240999999999</v>
      </c>
      <c r="CH109">
        <v>17.463345</v>
      </c>
      <c r="CI109">
        <v>18.666460000000001</v>
      </c>
      <c r="CJ109">
        <v>9.8807860000000005</v>
      </c>
      <c r="CK109">
        <v>12.600852</v>
      </c>
      <c r="CL109" t="s">
        <v>273</v>
      </c>
      <c r="CM109">
        <v>573.00094899999999</v>
      </c>
      <c r="CN109">
        <v>472.30924399999998</v>
      </c>
      <c r="CO109">
        <v>496.18782099999999</v>
      </c>
      <c r="CP109">
        <v>464.20688200000001</v>
      </c>
      <c r="CQ109">
        <v>876.96456699999999</v>
      </c>
      <c r="CR109">
        <v>687.65980200000001</v>
      </c>
      <c r="CS109" t="s">
        <v>273</v>
      </c>
      <c r="CT109">
        <v>680.75092500000005</v>
      </c>
      <c r="CU109">
        <v>603.46718799999996</v>
      </c>
      <c r="CV109">
        <v>589.40029200000004</v>
      </c>
      <c r="CW109">
        <v>1571.902376</v>
      </c>
      <c r="CX109">
        <v>512.21466199999998</v>
      </c>
      <c r="CY109">
        <v>1413.0561709999999</v>
      </c>
      <c r="CZ109" t="s">
        <v>273</v>
      </c>
      <c r="DA109">
        <v>3.6014219999999999</v>
      </c>
      <c r="DB109">
        <v>510.01</v>
      </c>
      <c r="DC109">
        <v>3.873186</v>
      </c>
      <c r="DD109">
        <v>864</v>
      </c>
      <c r="DE109">
        <v>3.6008529999999999</v>
      </c>
      <c r="DF109">
        <v>505</v>
      </c>
      <c r="DG109">
        <v>10.26491</v>
      </c>
      <c r="DH109">
        <v>765</v>
      </c>
      <c r="DI109">
        <v>1.770562</v>
      </c>
      <c r="DJ109">
        <v>235</v>
      </c>
      <c r="DK109">
        <v>6.2291230000000004</v>
      </c>
      <c r="DL109">
        <v>365</v>
      </c>
      <c r="DM109" t="s">
        <v>273</v>
      </c>
      <c r="DN109">
        <v>5.2908929999999996</v>
      </c>
      <c r="DO109">
        <v>14.705612</v>
      </c>
      <c r="DP109">
        <v>7.568956</v>
      </c>
      <c r="DQ109" t="s">
        <v>282</v>
      </c>
      <c r="DR109">
        <v>10.314859999999999</v>
      </c>
      <c r="DS109">
        <v>20.514986</v>
      </c>
      <c r="DT109">
        <v>53.104413999999998</v>
      </c>
      <c r="DU109">
        <v>70.089374000000007</v>
      </c>
      <c r="DV109">
        <v>95.085337999999993</v>
      </c>
      <c r="DW109" t="s">
        <v>283</v>
      </c>
      <c r="DX109" t="s">
        <v>273</v>
      </c>
      <c r="DY109">
        <v>27.337496000000002</v>
      </c>
      <c r="DZ109">
        <v>8.8533000000000001E-2</v>
      </c>
      <c r="EA109">
        <v>2.1601590000000002</v>
      </c>
      <c r="EB109">
        <v>1.775746</v>
      </c>
      <c r="EC109">
        <v>82.204429000000005</v>
      </c>
      <c r="ED109">
        <v>22.226759000000001</v>
      </c>
      <c r="EE109">
        <v>1090.9068689999999</v>
      </c>
      <c r="EF109">
        <v>12.397437</v>
      </c>
      <c r="EG109">
        <v>37</v>
      </c>
      <c r="EH109">
        <v>37</v>
      </c>
      <c r="EI109">
        <v>33</v>
      </c>
      <c r="EJ109">
        <v>35</v>
      </c>
      <c r="EK109" t="s">
        <v>273</v>
      </c>
      <c r="EL109" t="s">
        <v>273</v>
      </c>
      <c r="EM109">
        <v>27.583086999999999</v>
      </c>
      <c r="EN109">
        <v>4.4178000000000002E-2</v>
      </c>
      <c r="EO109">
        <v>1.9321250000000001</v>
      </c>
      <c r="EP109">
        <v>1.510686</v>
      </c>
      <c r="EQ109">
        <v>78.187804999999997</v>
      </c>
      <c r="ER109">
        <v>21.195612000000001</v>
      </c>
      <c r="ES109">
        <v>857.48777700000005</v>
      </c>
      <c r="ET109">
        <v>6.1863070000000002</v>
      </c>
      <c r="EU109">
        <v>29</v>
      </c>
      <c r="EV109">
        <v>29</v>
      </c>
      <c r="EW109">
        <v>27</v>
      </c>
      <c r="EX109">
        <v>29</v>
      </c>
      <c r="EY109" t="s">
        <v>273</v>
      </c>
      <c r="EZ109" t="s">
        <v>273</v>
      </c>
      <c r="FA109">
        <v>31.568517</v>
      </c>
      <c r="FB109">
        <v>8.9404999999999998E-2</v>
      </c>
      <c r="FC109">
        <v>2.1597490000000001</v>
      </c>
      <c r="FD109">
        <v>1.775612</v>
      </c>
      <c r="FE109">
        <v>82.213819999999998</v>
      </c>
      <c r="FF109">
        <v>25.669620999999999</v>
      </c>
      <c r="FG109">
        <v>1090.99657</v>
      </c>
      <c r="FH109">
        <v>12.51948</v>
      </c>
      <c r="FI109">
        <v>37</v>
      </c>
      <c r="FJ109">
        <v>37</v>
      </c>
      <c r="FK109">
        <v>33</v>
      </c>
      <c r="FL109">
        <v>35</v>
      </c>
      <c r="FM109" t="s">
        <v>273</v>
      </c>
      <c r="FN109" t="s">
        <v>273</v>
      </c>
      <c r="FO109">
        <v>33.192585000000001</v>
      </c>
      <c r="FP109">
        <v>0.17330000000000001</v>
      </c>
      <c r="FQ109">
        <v>6.0562709999999997</v>
      </c>
      <c r="FR109">
        <v>5.175808</v>
      </c>
      <c r="FS109">
        <v>85.461948000000007</v>
      </c>
      <c r="FT109">
        <v>28.263155000000001</v>
      </c>
      <c r="FU109">
        <v>1123.785762</v>
      </c>
      <c r="FV109">
        <v>24.26756</v>
      </c>
      <c r="FW109">
        <v>46</v>
      </c>
      <c r="FX109">
        <v>46</v>
      </c>
      <c r="FY109">
        <v>45</v>
      </c>
      <c r="FZ109">
        <v>42</v>
      </c>
      <c r="GA109" t="s">
        <v>273</v>
      </c>
      <c r="GB109" t="s">
        <v>273</v>
      </c>
      <c r="GC109">
        <v>30.454975000000001</v>
      </c>
      <c r="GD109">
        <v>0.15665100000000001</v>
      </c>
      <c r="GE109">
        <v>1.81071</v>
      </c>
      <c r="GF109">
        <v>1.46566</v>
      </c>
      <c r="GG109">
        <v>80.943903000000006</v>
      </c>
      <c r="GH109">
        <v>24.084023999999999</v>
      </c>
      <c r="GI109">
        <v>1809.121222</v>
      </c>
      <c r="GJ109">
        <v>21.936119000000001</v>
      </c>
      <c r="GK109">
        <v>27</v>
      </c>
      <c r="GL109">
        <v>27</v>
      </c>
      <c r="GM109">
        <v>17</v>
      </c>
      <c r="GN109">
        <v>25</v>
      </c>
      <c r="GO109" t="s">
        <v>273</v>
      </c>
      <c r="GP109" t="s">
        <v>273</v>
      </c>
      <c r="GQ109">
        <v>32.113221000000003</v>
      </c>
      <c r="GR109">
        <v>0.31160100000000002</v>
      </c>
      <c r="GS109">
        <v>5.267226</v>
      </c>
      <c r="GT109">
        <v>4.448728</v>
      </c>
      <c r="GU109">
        <v>84.460548000000003</v>
      </c>
      <c r="GV109">
        <v>26.972217000000001</v>
      </c>
      <c r="GW109">
        <v>1588.6994970000001</v>
      </c>
      <c r="GX109">
        <v>43.633968000000003</v>
      </c>
      <c r="GY109">
        <v>56</v>
      </c>
      <c r="GZ109">
        <v>56</v>
      </c>
      <c r="HA109">
        <v>45</v>
      </c>
      <c r="HB109">
        <v>42</v>
      </c>
      <c r="HC109" t="s">
        <v>273</v>
      </c>
      <c r="HD109" t="s">
        <v>273</v>
      </c>
      <c r="HE109">
        <v>31</v>
      </c>
      <c r="HF109">
        <v>1E-3</v>
      </c>
      <c r="HG109">
        <v>8.0000000000000002E-3</v>
      </c>
      <c r="HH109">
        <v>3.2258000000000002E-2</v>
      </c>
      <c r="HI109">
        <v>6000</v>
      </c>
    </row>
    <row r="110" spans="1:217" x14ac:dyDescent="0.3">
      <c r="A110">
        <v>661</v>
      </c>
      <c r="B110" t="s">
        <v>269</v>
      </c>
      <c r="F110" t="s">
        <v>270</v>
      </c>
      <c r="G110" t="s">
        <v>293</v>
      </c>
      <c r="H110" t="s">
        <v>294</v>
      </c>
      <c r="I110">
        <v>5500</v>
      </c>
      <c r="J110">
        <v>1</v>
      </c>
      <c r="K110">
        <v>22.910937000000001</v>
      </c>
      <c r="L110">
        <v>0.22</v>
      </c>
      <c r="M110">
        <v>9.0659999999999994E-3</v>
      </c>
      <c r="N110">
        <v>0</v>
      </c>
      <c r="O110">
        <v>0</v>
      </c>
      <c r="P110">
        <v>0</v>
      </c>
      <c r="Q110">
        <v>7.54</v>
      </c>
      <c r="R110">
        <v>1</v>
      </c>
      <c r="S110">
        <v>1</v>
      </c>
      <c r="T110">
        <v>1</v>
      </c>
      <c r="U110">
        <v>1</v>
      </c>
      <c r="V110">
        <v>100</v>
      </c>
      <c r="W110" t="s">
        <v>273</v>
      </c>
      <c r="X110" t="s">
        <v>274</v>
      </c>
      <c r="Y110" t="s">
        <v>274</v>
      </c>
      <c r="Z110" t="s">
        <v>273</v>
      </c>
      <c r="AA110" t="s">
        <v>275</v>
      </c>
      <c r="AB110" t="s">
        <v>276</v>
      </c>
      <c r="AC110">
        <v>469</v>
      </c>
      <c r="AD110">
        <v>5</v>
      </c>
      <c r="AE110" t="s">
        <v>277</v>
      </c>
      <c r="AF110">
        <v>2.962364</v>
      </c>
      <c r="AG110">
        <v>100</v>
      </c>
      <c r="AH110">
        <v>26.7</v>
      </c>
      <c r="AI110">
        <v>1600</v>
      </c>
      <c r="AJ110">
        <v>800</v>
      </c>
      <c r="AK110">
        <v>1200</v>
      </c>
      <c r="AL110">
        <v>150</v>
      </c>
      <c r="AM110">
        <v>2.2000000000000002</v>
      </c>
      <c r="AN110" t="s">
        <v>273</v>
      </c>
      <c r="AO110" t="s">
        <v>278</v>
      </c>
      <c r="AP110" t="s">
        <v>295</v>
      </c>
      <c r="AQ110">
        <v>4</v>
      </c>
      <c r="AR110">
        <v>8</v>
      </c>
      <c r="AS110">
        <v>224.3</v>
      </c>
      <c r="AT110">
        <v>408</v>
      </c>
      <c r="AU110">
        <v>0.23255999999999999</v>
      </c>
      <c r="AV110">
        <v>36.299999999999997</v>
      </c>
      <c r="AW110">
        <v>237</v>
      </c>
      <c r="AX110" t="s">
        <v>280</v>
      </c>
      <c r="AY110">
        <v>0</v>
      </c>
      <c r="AZ110" t="s">
        <v>281</v>
      </c>
      <c r="BA110">
        <v>0.2</v>
      </c>
      <c r="BB110">
        <v>0.5</v>
      </c>
      <c r="BC110" t="s">
        <v>273</v>
      </c>
      <c r="BD110" t="s">
        <v>273</v>
      </c>
      <c r="BE110">
        <v>24.251511000000001</v>
      </c>
      <c r="BF110">
        <v>24.530753000000001</v>
      </c>
      <c r="BG110">
        <v>353.234129</v>
      </c>
      <c r="BH110" t="s">
        <v>273</v>
      </c>
      <c r="BI110">
        <v>44.807600000000001</v>
      </c>
      <c r="BJ110">
        <v>45.323534000000002</v>
      </c>
      <c r="BK110">
        <v>191.183222</v>
      </c>
      <c r="BL110" t="s">
        <v>273</v>
      </c>
      <c r="BM110">
        <v>44.810543000000003</v>
      </c>
      <c r="BN110">
        <v>45.326511000000004</v>
      </c>
      <c r="BO110">
        <v>191.17066299999999</v>
      </c>
      <c r="BP110" t="s">
        <v>273</v>
      </c>
      <c r="BQ110">
        <v>25.957795000000001</v>
      </c>
      <c r="BR110">
        <v>26.256684</v>
      </c>
      <c r="BS110">
        <v>330.01498299999997</v>
      </c>
      <c r="BT110" t="s">
        <v>273</v>
      </c>
      <c r="BU110">
        <v>7.1445249999999998</v>
      </c>
      <c r="BV110">
        <v>7.2267910000000004</v>
      </c>
      <c r="BW110">
        <v>1199.024529</v>
      </c>
      <c r="BX110" t="s">
        <v>273</v>
      </c>
      <c r="BY110">
        <v>24.189171999999999</v>
      </c>
      <c r="BZ110">
        <v>22.631080999999998</v>
      </c>
      <c r="CA110">
        <v>28.109777000000001</v>
      </c>
      <c r="CB110">
        <v>44.810543000000003</v>
      </c>
      <c r="CC110">
        <v>13.673564000000001</v>
      </c>
      <c r="CD110">
        <v>35.023062000000003</v>
      </c>
      <c r="CE110" t="s">
        <v>273</v>
      </c>
      <c r="CF110">
        <v>24.467696</v>
      </c>
      <c r="CG110">
        <v>22.891665</v>
      </c>
      <c r="CH110">
        <v>28.433444999999999</v>
      </c>
      <c r="CI110">
        <v>45.326511000000004</v>
      </c>
      <c r="CJ110">
        <v>13.831007</v>
      </c>
      <c r="CK110">
        <v>35.426332000000002</v>
      </c>
      <c r="CL110" t="s">
        <v>273</v>
      </c>
      <c r="CM110">
        <v>354.14446700000002</v>
      </c>
      <c r="CN110">
        <v>378.52637900000002</v>
      </c>
      <c r="CO110">
        <v>304.75024000000002</v>
      </c>
      <c r="CP110">
        <v>191.17066299999999</v>
      </c>
      <c r="CQ110">
        <v>626.49805700000002</v>
      </c>
      <c r="CR110">
        <v>244.59487200000001</v>
      </c>
      <c r="CS110" t="s">
        <v>273</v>
      </c>
      <c r="CT110">
        <v>422.18706600000002</v>
      </c>
      <c r="CU110">
        <v>486.02284900000001</v>
      </c>
      <c r="CV110">
        <v>363.24694</v>
      </c>
      <c r="CW110">
        <v>647.721271</v>
      </c>
      <c r="CX110">
        <v>372.03008399999999</v>
      </c>
      <c r="CY110">
        <v>504.133374</v>
      </c>
      <c r="CZ110" t="s">
        <v>273</v>
      </c>
      <c r="DA110">
        <v>3.6138119999999998</v>
      </c>
      <c r="DB110">
        <v>510.01</v>
      </c>
      <c r="DC110">
        <v>3.8922590000000001</v>
      </c>
      <c r="DD110">
        <v>864</v>
      </c>
      <c r="DE110">
        <v>3.6132590000000002</v>
      </c>
      <c r="DF110">
        <v>505</v>
      </c>
      <c r="DG110">
        <v>10.270889</v>
      </c>
      <c r="DH110">
        <v>765</v>
      </c>
      <c r="DI110">
        <v>1.8001119999999999</v>
      </c>
      <c r="DJ110">
        <v>235</v>
      </c>
      <c r="DK110">
        <v>6.2479740000000001</v>
      </c>
      <c r="DL110">
        <v>365</v>
      </c>
      <c r="DM110" t="s">
        <v>273</v>
      </c>
      <c r="DN110">
        <v>3.537722</v>
      </c>
      <c r="DO110">
        <v>7.9733879999999999</v>
      </c>
      <c r="DP110">
        <v>4.192482</v>
      </c>
      <c r="DQ110" t="s">
        <v>282</v>
      </c>
      <c r="DR110">
        <v>4.5043230000000003</v>
      </c>
      <c r="DS110">
        <v>16.192672999999999</v>
      </c>
      <c r="DT110">
        <v>32.862867000000001</v>
      </c>
      <c r="DU110">
        <v>93.375501</v>
      </c>
      <c r="DV110">
        <v>186.655911</v>
      </c>
      <c r="DW110" t="s">
        <v>283</v>
      </c>
      <c r="DX110" t="s">
        <v>273</v>
      </c>
      <c r="DY110">
        <v>22.653411999999999</v>
      </c>
      <c r="DZ110">
        <v>2.7937E-2</v>
      </c>
      <c r="EA110">
        <v>1.110139</v>
      </c>
      <c r="EB110">
        <v>0.91113699999999997</v>
      </c>
      <c r="EC110">
        <v>82.074151999999998</v>
      </c>
      <c r="ED110">
        <v>18.11121</v>
      </c>
      <c r="EE110">
        <v>549.394723</v>
      </c>
      <c r="EF110">
        <v>6.2649889999999999</v>
      </c>
      <c r="EG110">
        <v>22</v>
      </c>
      <c r="EH110">
        <v>22</v>
      </c>
      <c r="EI110">
        <v>18</v>
      </c>
      <c r="EJ110">
        <v>21</v>
      </c>
      <c r="EK110" t="s">
        <v>273</v>
      </c>
      <c r="EL110" t="s">
        <v>273</v>
      </c>
      <c r="EM110">
        <v>21.592499</v>
      </c>
      <c r="EN110">
        <v>1.7070999999999999E-2</v>
      </c>
      <c r="EO110">
        <v>1.218143</v>
      </c>
      <c r="EP110">
        <v>0.95387100000000002</v>
      </c>
      <c r="EQ110">
        <v>78.305306999999999</v>
      </c>
      <c r="ER110">
        <v>16.286348</v>
      </c>
      <c r="ES110">
        <v>528.05051100000003</v>
      </c>
      <c r="ET110">
        <v>3.8283559999999999</v>
      </c>
      <c r="EU110">
        <v>25</v>
      </c>
      <c r="EV110">
        <v>25</v>
      </c>
      <c r="EW110">
        <v>25</v>
      </c>
      <c r="EX110">
        <v>25</v>
      </c>
      <c r="EY110" t="s">
        <v>273</v>
      </c>
      <c r="EZ110" t="s">
        <v>273</v>
      </c>
      <c r="FA110">
        <v>26.316140999999998</v>
      </c>
      <c r="FB110">
        <v>2.8212999999999998E-2</v>
      </c>
      <c r="FC110">
        <v>1.109591</v>
      </c>
      <c r="FD110">
        <v>0.91109600000000002</v>
      </c>
      <c r="FE110">
        <v>82.110979</v>
      </c>
      <c r="FF110">
        <v>21.048893</v>
      </c>
      <c r="FG110">
        <v>549.45504100000005</v>
      </c>
      <c r="FH110">
        <v>6.326867</v>
      </c>
      <c r="FI110">
        <v>22</v>
      </c>
      <c r="FJ110">
        <v>22</v>
      </c>
      <c r="FK110">
        <v>18</v>
      </c>
      <c r="FL110">
        <v>21</v>
      </c>
      <c r="FM110" t="s">
        <v>273</v>
      </c>
      <c r="FN110" t="s">
        <v>273</v>
      </c>
      <c r="FO110">
        <v>25.254771999999999</v>
      </c>
      <c r="FP110">
        <v>3.4381000000000002E-2</v>
      </c>
      <c r="FQ110">
        <v>1.8987609999999999</v>
      </c>
      <c r="FR110">
        <v>1.6607019999999999</v>
      </c>
      <c r="FS110">
        <v>87.462401999999997</v>
      </c>
      <c r="FT110">
        <v>21.792027000000001</v>
      </c>
      <c r="FU110">
        <v>356.83721700000001</v>
      </c>
      <c r="FV110">
        <v>7.7102000000000004</v>
      </c>
      <c r="FW110">
        <v>8</v>
      </c>
      <c r="FX110">
        <v>8</v>
      </c>
      <c r="FY110">
        <v>8</v>
      </c>
      <c r="FZ110">
        <v>8</v>
      </c>
      <c r="GA110" t="s">
        <v>273</v>
      </c>
      <c r="GB110" t="s">
        <v>273</v>
      </c>
      <c r="GC110">
        <v>30.261118</v>
      </c>
      <c r="GD110">
        <v>7.0035E-2</v>
      </c>
      <c r="GE110">
        <v>1.306778</v>
      </c>
      <c r="GF110">
        <v>1.0623469999999999</v>
      </c>
      <c r="GG110">
        <v>81.295158999999998</v>
      </c>
      <c r="GH110">
        <v>23.741018</v>
      </c>
      <c r="GI110">
        <v>1274.017568</v>
      </c>
      <c r="GJ110">
        <v>15.70565</v>
      </c>
      <c r="GK110">
        <v>26</v>
      </c>
      <c r="GL110">
        <v>26</v>
      </c>
      <c r="GM110">
        <v>15</v>
      </c>
      <c r="GN110">
        <v>23</v>
      </c>
      <c r="GO110" t="s">
        <v>273</v>
      </c>
      <c r="GP110" t="s">
        <v>273</v>
      </c>
      <c r="GQ110">
        <v>28.843872999999999</v>
      </c>
      <c r="GR110">
        <v>6.3198000000000004E-2</v>
      </c>
      <c r="GS110">
        <v>1.6878649999999999</v>
      </c>
      <c r="GT110">
        <v>1.471279</v>
      </c>
      <c r="GU110">
        <v>87.168057000000005</v>
      </c>
      <c r="GV110">
        <v>24.555595</v>
      </c>
      <c r="GW110">
        <v>514.45705599999997</v>
      </c>
      <c r="GX110">
        <v>14.172432000000001</v>
      </c>
      <c r="GY110">
        <v>20</v>
      </c>
      <c r="GZ110">
        <v>20</v>
      </c>
      <c r="HA110">
        <v>12</v>
      </c>
      <c r="HB110">
        <v>14</v>
      </c>
      <c r="HC110" t="s">
        <v>273</v>
      </c>
      <c r="HD110" t="s">
        <v>273</v>
      </c>
      <c r="HE110">
        <v>18</v>
      </c>
      <c r="HF110">
        <v>2.9999999999999997E-4</v>
      </c>
      <c r="HG110">
        <v>2E-3</v>
      </c>
      <c r="HH110">
        <v>5.5556000000000001E-2</v>
      </c>
      <c r="HI110">
        <v>5500</v>
      </c>
    </row>
    <row r="111" spans="1:217" x14ac:dyDescent="0.3">
      <c r="A111">
        <v>662</v>
      </c>
      <c r="B111" t="s">
        <v>269</v>
      </c>
      <c r="F111" t="s">
        <v>270</v>
      </c>
      <c r="G111" t="s">
        <v>293</v>
      </c>
      <c r="H111" t="s">
        <v>294</v>
      </c>
      <c r="I111">
        <v>7500</v>
      </c>
      <c r="J111">
        <v>1</v>
      </c>
      <c r="K111">
        <v>32.442186999999997</v>
      </c>
      <c r="L111">
        <v>0.22</v>
      </c>
      <c r="M111">
        <v>1.3363E-2</v>
      </c>
      <c r="N111">
        <v>0</v>
      </c>
      <c r="O111">
        <v>0</v>
      </c>
      <c r="P111">
        <v>0</v>
      </c>
      <c r="Q111">
        <v>10.25</v>
      </c>
      <c r="R111">
        <v>1</v>
      </c>
      <c r="S111">
        <v>1</v>
      </c>
      <c r="T111">
        <v>1</v>
      </c>
      <c r="U111">
        <v>1</v>
      </c>
      <c r="V111">
        <v>100</v>
      </c>
      <c r="W111" t="s">
        <v>273</v>
      </c>
      <c r="X111" t="s">
        <v>274</v>
      </c>
      <c r="Y111" t="s">
        <v>274</v>
      </c>
      <c r="Z111" t="s">
        <v>273</v>
      </c>
      <c r="AA111" t="s">
        <v>275</v>
      </c>
      <c r="AB111" t="s">
        <v>276</v>
      </c>
      <c r="AC111">
        <v>646</v>
      </c>
      <c r="AD111">
        <v>5</v>
      </c>
      <c r="AE111" t="s">
        <v>277</v>
      </c>
      <c r="AF111">
        <v>2.7309290000000002</v>
      </c>
      <c r="AG111">
        <v>100</v>
      </c>
      <c r="AH111">
        <v>24.6</v>
      </c>
      <c r="AI111">
        <v>1475</v>
      </c>
      <c r="AJ111">
        <v>800</v>
      </c>
      <c r="AK111">
        <v>1200</v>
      </c>
      <c r="AL111">
        <v>127.9</v>
      </c>
      <c r="AM111">
        <v>2.2000000000000002</v>
      </c>
      <c r="AN111" t="s">
        <v>273</v>
      </c>
      <c r="AO111" t="s">
        <v>278</v>
      </c>
      <c r="AP111" t="s">
        <v>296</v>
      </c>
      <c r="AQ111">
        <v>5.5</v>
      </c>
      <c r="AR111">
        <v>8</v>
      </c>
      <c r="AS111">
        <v>308.7</v>
      </c>
      <c r="AT111">
        <v>561.70000000000005</v>
      </c>
      <c r="AU111">
        <v>0.31977</v>
      </c>
      <c r="AV111">
        <v>36.799999999999997</v>
      </c>
      <c r="AW111">
        <v>233.9</v>
      </c>
      <c r="AX111" t="s">
        <v>280</v>
      </c>
      <c r="AY111">
        <v>0</v>
      </c>
      <c r="AZ111" t="s">
        <v>281</v>
      </c>
      <c r="BA111">
        <v>0.2</v>
      </c>
      <c r="BB111">
        <v>0.5</v>
      </c>
      <c r="BC111" t="s">
        <v>273</v>
      </c>
      <c r="BD111" t="s">
        <v>273</v>
      </c>
      <c r="BE111">
        <v>18.410907999999999</v>
      </c>
      <c r="BF111">
        <v>18.622899</v>
      </c>
      <c r="BG111">
        <v>465.29270500000001</v>
      </c>
      <c r="BH111" t="s">
        <v>273</v>
      </c>
      <c r="BI111">
        <v>34.276688999999998</v>
      </c>
      <c r="BJ111">
        <v>34.671365000000002</v>
      </c>
      <c r="BK111">
        <v>249.92091199999999</v>
      </c>
      <c r="BL111" t="s">
        <v>273</v>
      </c>
      <c r="BM111">
        <v>34.278528999999999</v>
      </c>
      <c r="BN111">
        <v>34.673226999999997</v>
      </c>
      <c r="BO111">
        <v>249.90749600000001</v>
      </c>
      <c r="BP111" t="s">
        <v>273</v>
      </c>
      <c r="BQ111">
        <v>19.588123</v>
      </c>
      <c r="BR111">
        <v>19.813669000000001</v>
      </c>
      <c r="BS111">
        <v>437.329365</v>
      </c>
      <c r="BT111" t="s">
        <v>273</v>
      </c>
      <c r="BU111">
        <v>5.2413429999999996</v>
      </c>
      <c r="BV111">
        <v>5.3016940000000004</v>
      </c>
      <c r="BW111">
        <v>1634.4019559999999</v>
      </c>
      <c r="BX111" t="s">
        <v>273</v>
      </c>
      <c r="BY111">
        <v>18.371041999999999</v>
      </c>
      <c r="BZ111">
        <v>17.177336</v>
      </c>
      <c r="CA111">
        <v>21.342789</v>
      </c>
      <c r="CB111">
        <v>34.278528999999999</v>
      </c>
      <c r="CC111">
        <v>10.240011000000001</v>
      </c>
      <c r="CD111">
        <v>26.577273000000002</v>
      </c>
      <c r="CE111" t="s">
        <v>273</v>
      </c>
      <c r="CF111">
        <v>18.582574000000001</v>
      </c>
      <c r="CG111">
        <v>17.375124</v>
      </c>
      <c r="CH111">
        <v>21.588539000000001</v>
      </c>
      <c r="CI111">
        <v>34.673226999999997</v>
      </c>
      <c r="CJ111">
        <v>10.357919000000001</v>
      </c>
      <c r="CK111">
        <v>26.883295</v>
      </c>
      <c r="CL111" t="s">
        <v>273</v>
      </c>
      <c r="CM111">
        <v>466.30241999999998</v>
      </c>
      <c r="CN111">
        <v>498.70719400000002</v>
      </c>
      <c r="CO111">
        <v>401.374977</v>
      </c>
      <c r="CP111">
        <v>249.90749600000001</v>
      </c>
      <c r="CQ111">
        <v>836.56758600000001</v>
      </c>
      <c r="CR111">
        <v>322.32281</v>
      </c>
      <c r="CS111" t="s">
        <v>273</v>
      </c>
      <c r="CT111">
        <v>555.91413699999998</v>
      </c>
      <c r="CU111">
        <v>640.45207800000003</v>
      </c>
      <c r="CV111">
        <v>478.435135</v>
      </c>
      <c r="CW111">
        <v>846.74143600000002</v>
      </c>
      <c r="CX111">
        <v>496.67872699999998</v>
      </c>
      <c r="CY111">
        <v>664.31656899999996</v>
      </c>
      <c r="CZ111" t="s">
        <v>273</v>
      </c>
      <c r="DA111">
        <v>3.6139420000000002</v>
      </c>
      <c r="DB111">
        <v>510.01</v>
      </c>
      <c r="DC111">
        <v>3.8929800000000001</v>
      </c>
      <c r="DD111">
        <v>864</v>
      </c>
      <c r="DE111">
        <v>3.6133820000000001</v>
      </c>
      <c r="DF111">
        <v>505</v>
      </c>
      <c r="DG111">
        <v>10.270999</v>
      </c>
      <c r="DH111">
        <v>765</v>
      </c>
      <c r="DI111">
        <v>1.7997639999999999</v>
      </c>
      <c r="DJ111">
        <v>235</v>
      </c>
      <c r="DK111">
        <v>6.2477720000000003</v>
      </c>
      <c r="DL111">
        <v>365</v>
      </c>
      <c r="DM111" t="s">
        <v>273</v>
      </c>
      <c r="DN111">
        <v>3.6526190000000001</v>
      </c>
      <c r="DO111">
        <v>8.2036189999999998</v>
      </c>
      <c r="DP111">
        <v>4.4766550000000001</v>
      </c>
      <c r="DQ111" t="s">
        <v>282</v>
      </c>
      <c r="DR111">
        <v>4.5426149999999996</v>
      </c>
      <c r="DS111">
        <v>16.322989</v>
      </c>
      <c r="DT111">
        <v>33.545878000000002</v>
      </c>
      <c r="DU111">
        <v>93.113193999999993</v>
      </c>
      <c r="DV111">
        <v>184.538419</v>
      </c>
      <c r="DW111" t="s">
        <v>283</v>
      </c>
      <c r="DX111" t="s">
        <v>273</v>
      </c>
      <c r="DY111">
        <v>23.646453000000001</v>
      </c>
      <c r="DZ111">
        <v>2.7608000000000001E-2</v>
      </c>
      <c r="EA111">
        <v>1.525852</v>
      </c>
      <c r="EB111">
        <v>1.2398119999999999</v>
      </c>
      <c r="EC111">
        <v>81.253777999999997</v>
      </c>
      <c r="ED111">
        <v>18.713190999999998</v>
      </c>
      <c r="EE111">
        <v>747.43381799999997</v>
      </c>
      <c r="EF111">
        <v>8.5236210000000003</v>
      </c>
      <c r="EG111">
        <v>21</v>
      </c>
      <c r="EH111">
        <v>21</v>
      </c>
      <c r="EI111">
        <v>18</v>
      </c>
      <c r="EJ111">
        <v>20</v>
      </c>
      <c r="EK111" t="s">
        <v>273</v>
      </c>
      <c r="EL111" t="s">
        <v>273</v>
      </c>
      <c r="EM111">
        <v>22.468753</v>
      </c>
      <c r="EN111">
        <v>1.6900999999999999E-2</v>
      </c>
      <c r="EO111">
        <v>1.6703380000000001</v>
      </c>
      <c r="EP111">
        <v>1.3020179999999999</v>
      </c>
      <c r="EQ111">
        <v>77.949357000000006</v>
      </c>
      <c r="ER111">
        <v>16.845186999999999</v>
      </c>
      <c r="ES111">
        <v>719.57780400000001</v>
      </c>
      <c r="ET111">
        <v>5.217892</v>
      </c>
      <c r="EU111">
        <v>23</v>
      </c>
      <c r="EV111">
        <v>23</v>
      </c>
      <c r="EW111">
        <v>23</v>
      </c>
      <c r="EX111">
        <v>23</v>
      </c>
      <c r="EY111" t="s">
        <v>273</v>
      </c>
      <c r="EZ111" t="s">
        <v>273</v>
      </c>
      <c r="FA111">
        <v>27.463868999999999</v>
      </c>
      <c r="FB111">
        <v>2.7881E-2</v>
      </c>
      <c r="FC111">
        <v>1.525188</v>
      </c>
      <c r="FD111">
        <v>1.239768</v>
      </c>
      <c r="FE111">
        <v>81.286214999999999</v>
      </c>
      <c r="FF111">
        <v>21.742456000000001</v>
      </c>
      <c r="FG111">
        <v>747.51093500000002</v>
      </c>
      <c r="FH111">
        <v>8.6077370000000002</v>
      </c>
      <c r="FI111">
        <v>21</v>
      </c>
      <c r="FJ111">
        <v>21</v>
      </c>
      <c r="FK111">
        <v>18</v>
      </c>
      <c r="FL111">
        <v>20</v>
      </c>
      <c r="FM111" t="s">
        <v>273</v>
      </c>
      <c r="FN111" t="s">
        <v>273</v>
      </c>
      <c r="FO111">
        <v>26.330863999999998</v>
      </c>
      <c r="FP111">
        <v>3.4001999999999998E-2</v>
      </c>
      <c r="FQ111">
        <v>2.587942</v>
      </c>
      <c r="FR111">
        <v>2.2612350000000001</v>
      </c>
      <c r="FS111">
        <v>87.375778999999994</v>
      </c>
      <c r="FT111">
        <v>22.696297999999999</v>
      </c>
      <c r="FU111">
        <v>485.83140300000002</v>
      </c>
      <c r="FV111">
        <v>10.497496</v>
      </c>
      <c r="FW111">
        <v>7</v>
      </c>
      <c r="FX111">
        <v>7</v>
      </c>
      <c r="FY111">
        <v>7</v>
      </c>
      <c r="FZ111">
        <v>7</v>
      </c>
      <c r="GA111" t="s">
        <v>273</v>
      </c>
      <c r="GB111" t="s">
        <v>273</v>
      </c>
      <c r="GC111">
        <v>31.116567</v>
      </c>
      <c r="GD111">
        <v>6.9331000000000004E-2</v>
      </c>
      <c r="GE111">
        <v>1.7939320000000001</v>
      </c>
      <c r="GF111">
        <v>1.4473609999999999</v>
      </c>
      <c r="GG111">
        <v>80.680950999999993</v>
      </c>
      <c r="GH111">
        <v>24.235741000000001</v>
      </c>
      <c r="GI111">
        <v>1736.6557439999999</v>
      </c>
      <c r="GJ111">
        <v>21.404762999999999</v>
      </c>
      <c r="GK111">
        <v>28</v>
      </c>
      <c r="GL111">
        <v>28</v>
      </c>
      <c r="GM111">
        <v>18</v>
      </c>
      <c r="GN111">
        <v>26</v>
      </c>
      <c r="GO111" t="s">
        <v>273</v>
      </c>
      <c r="GP111" t="s">
        <v>273</v>
      </c>
      <c r="GQ111">
        <v>29.998170999999999</v>
      </c>
      <c r="GR111">
        <v>6.2661999999999995E-2</v>
      </c>
      <c r="GS111">
        <v>2.3131750000000002</v>
      </c>
      <c r="GT111">
        <v>2.0071110000000001</v>
      </c>
      <c r="GU111">
        <v>86.768664000000001</v>
      </c>
      <c r="GV111">
        <v>25.437010000000001</v>
      </c>
      <c r="GW111">
        <v>702.27694899999995</v>
      </c>
      <c r="GX111">
        <v>19.345929999999999</v>
      </c>
      <c r="GY111">
        <v>26</v>
      </c>
      <c r="GZ111">
        <v>26</v>
      </c>
      <c r="HA111">
        <v>13</v>
      </c>
      <c r="HB111">
        <v>13</v>
      </c>
      <c r="HC111" t="s">
        <v>273</v>
      </c>
      <c r="HD111" t="s">
        <v>273</v>
      </c>
      <c r="HE111">
        <v>18</v>
      </c>
      <c r="HF111">
        <v>2.9999999999999997E-4</v>
      </c>
      <c r="HG111">
        <v>2E-3</v>
      </c>
      <c r="HH111">
        <v>5.5556000000000001E-2</v>
      </c>
      <c r="HI111">
        <v>7500</v>
      </c>
    </row>
    <row r="112" spans="1:217" x14ac:dyDescent="0.3">
      <c r="A112">
        <v>663</v>
      </c>
      <c r="B112" t="s">
        <v>269</v>
      </c>
      <c r="F112" t="s">
        <v>270</v>
      </c>
      <c r="G112" t="s">
        <v>293</v>
      </c>
      <c r="H112" t="s">
        <v>294</v>
      </c>
      <c r="I112">
        <v>9500</v>
      </c>
      <c r="J112">
        <v>1</v>
      </c>
      <c r="K112">
        <v>41.973436999999997</v>
      </c>
      <c r="L112">
        <v>0.22</v>
      </c>
      <c r="M112">
        <v>1.7659999999999999E-2</v>
      </c>
      <c r="N112">
        <v>0</v>
      </c>
      <c r="O112">
        <v>0</v>
      </c>
      <c r="P112">
        <v>0</v>
      </c>
      <c r="Q112">
        <v>12.95</v>
      </c>
      <c r="R112">
        <v>1</v>
      </c>
      <c r="S112">
        <v>1</v>
      </c>
      <c r="T112">
        <v>1</v>
      </c>
      <c r="U112">
        <v>1</v>
      </c>
      <c r="V112">
        <v>100</v>
      </c>
      <c r="W112" t="s">
        <v>273</v>
      </c>
      <c r="X112" t="s">
        <v>274</v>
      </c>
      <c r="Y112" t="s">
        <v>274</v>
      </c>
      <c r="Z112" t="s">
        <v>273</v>
      </c>
      <c r="AA112" t="s">
        <v>275</v>
      </c>
      <c r="AB112" t="s">
        <v>276</v>
      </c>
      <c r="AC112">
        <v>823</v>
      </c>
      <c r="AD112">
        <v>5</v>
      </c>
      <c r="AE112" t="s">
        <v>277</v>
      </c>
      <c r="AF112">
        <v>2.4069210000000001</v>
      </c>
      <c r="AG112">
        <v>100</v>
      </c>
      <c r="AH112">
        <v>21.7</v>
      </c>
      <c r="AI112">
        <v>1300</v>
      </c>
      <c r="AJ112">
        <v>800</v>
      </c>
      <c r="AK112">
        <v>1200</v>
      </c>
      <c r="AL112">
        <v>113.3</v>
      </c>
      <c r="AM112">
        <v>2.2000000000000002</v>
      </c>
      <c r="AN112" t="s">
        <v>273</v>
      </c>
      <c r="AO112" t="s">
        <v>278</v>
      </c>
      <c r="AP112" t="s">
        <v>297</v>
      </c>
      <c r="AQ112">
        <v>7</v>
      </c>
      <c r="AR112">
        <v>8</v>
      </c>
      <c r="AS112">
        <v>393.2</v>
      </c>
      <c r="AT112">
        <v>715.3</v>
      </c>
      <c r="AU112">
        <v>0.40698000000000001</v>
      </c>
      <c r="AV112">
        <v>37.200000000000003</v>
      </c>
      <c r="AW112">
        <v>231.7</v>
      </c>
      <c r="AX112" t="s">
        <v>280</v>
      </c>
      <c r="AY112">
        <v>0</v>
      </c>
      <c r="AZ112" t="s">
        <v>281</v>
      </c>
      <c r="BA112">
        <v>0.2</v>
      </c>
      <c r="BB112">
        <v>0.5</v>
      </c>
      <c r="BC112" t="s">
        <v>273</v>
      </c>
      <c r="BD112" t="s">
        <v>273</v>
      </c>
      <c r="BE112">
        <v>14.557855</v>
      </c>
      <c r="BF112">
        <v>14.725479999999999</v>
      </c>
      <c r="BG112">
        <v>588.44255299999998</v>
      </c>
      <c r="BH112" t="s">
        <v>273</v>
      </c>
      <c r="BI112">
        <v>27.311509000000001</v>
      </c>
      <c r="BJ112">
        <v>27.625986000000001</v>
      </c>
      <c r="BK112">
        <v>313.65755999999999</v>
      </c>
      <c r="BL112" t="s">
        <v>273</v>
      </c>
      <c r="BM112">
        <v>27.313103999999999</v>
      </c>
      <c r="BN112">
        <v>27.627599</v>
      </c>
      <c r="BO112">
        <v>313.63924100000003</v>
      </c>
      <c r="BP112" t="s">
        <v>273</v>
      </c>
      <c r="BQ112">
        <v>15.717497</v>
      </c>
      <c r="BR112">
        <v>15.898474999999999</v>
      </c>
      <c r="BS112">
        <v>545.02707799999996</v>
      </c>
      <c r="BT112" t="s">
        <v>273</v>
      </c>
      <c r="BU112">
        <v>4.1249169999999999</v>
      </c>
      <c r="BV112">
        <v>4.1724129999999997</v>
      </c>
      <c r="BW112">
        <v>2076.7596370000001</v>
      </c>
      <c r="BX112" t="s">
        <v>273</v>
      </c>
      <c r="BY112">
        <v>14.507519</v>
      </c>
      <c r="BZ112">
        <v>13.59976</v>
      </c>
      <c r="CA112">
        <v>16.844577000000001</v>
      </c>
      <c r="CB112">
        <v>27.313103999999999</v>
      </c>
      <c r="CC112">
        <v>8.1204909999999995</v>
      </c>
      <c r="CD112">
        <v>21.516895999999999</v>
      </c>
      <c r="CE112" t="s">
        <v>273</v>
      </c>
      <c r="CF112">
        <v>14.674564999999999</v>
      </c>
      <c r="CG112">
        <v>13.756353000000001</v>
      </c>
      <c r="CH112">
        <v>17.038533000000001</v>
      </c>
      <c r="CI112">
        <v>27.627599</v>
      </c>
      <c r="CJ112">
        <v>8.2139939999999996</v>
      </c>
      <c r="CK112">
        <v>21.764651000000001</v>
      </c>
      <c r="CL112" t="s">
        <v>273</v>
      </c>
      <c r="CM112">
        <v>590.48423300000002</v>
      </c>
      <c r="CN112">
        <v>629.89798199999996</v>
      </c>
      <c r="CO112">
        <v>508.558989</v>
      </c>
      <c r="CP112">
        <v>313.63924100000003</v>
      </c>
      <c r="CQ112">
        <v>1054.919081</v>
      </c>
      <c r="CR112">
        <v>398.12718100000001</v>
      </c>
      <c r="CS112" t="s">
        <v>273</v>
      </c>
      <c r="CT112">
        <v>704.00191800000005</v>
      </c>
      <c r="CU112">
        <v>808.86990800000001</v>
      </c>
      <c r="CV112">
        <v>606.23543099999995</v>
      </c>
      <c r="CW112">
        <v>1062.665213</v>
      </c>
      <c r="CX112">
        <v>626.45483000000002</v>
      </c>
      <c r="CY112">
        <v>820.63333299999999</v>
      </c>
      <c r="CZ112" t="s">
        <v>273</v>
      </c>
      <c r="DA112">
        <v>3.6141540000000001</v>
      </c>
      <c r="DB112">
        <v>510.01</v>
      </c>
      <c r="DC112">
        <v>3.8926880000000001</v>
      </c>
      <c r="DD112">
        <v>864</v>
      </c>
      <c r="DE112">
        <v>3.6136089999999998</v>
      </c>
      <c r="DF112">
        <v>505</v>
      </c>
      <c r="DG112">
        <v>10.270868999999999</v>
      </c>
      <c r="DH112">
        <v>765</v>
      </c>
      <c r="DI112">
        <v>1.800163</v>
      </c>
      <c r="DJ112">
        <v>235</v>
      </c>
      <c r="DK112">
        <v>6.2483950000000004</v>
      </c>
      <c r="DL112">
        <v>365</v>
      </c>
      <c r="DM112" t="s">
        <v>273</v>
      </c>
      <c r="DN112">
        <v>3.8329</v>
      </c>
      <c r="DO112">
        <v>8.5923090000000002</v>
      </c>
      <c r="DP112">
        <v>4.9350709999999998</v>
      </c>
      <c r="DQ112" t="s">
        <v>282</v>
      </c>
      <c r="DR112">
        <v>4.9917540000000002</v>
      </c>
      <c r="DS112">
        <v>16.593192999999999</v>
      </c>
      <c r="DT112">
        <v>35.112327000000001</v>
      </c>
      <c r="DU112">
        <v>93.238429999999994</v>
      </c>
      <c r="DV112">
        <v>187.54960299999999</v>
      </c>
      <c r="DW112" t="s">
        <v>283</v>
      </c>
      <c r="DX112" t="s">
        <v>273</v>
      </c>
      <c r="DY112">
        <v>23.976056</v>
      </c>
      <c r="DZ112">
        <v>2.7462E-2</v>
      </c>
      <c r="EA112">
        <v>1.959252</v>
      </c>
      <c r="EB112">
        <v>1.5714379999999999</v>
      </c>
      <c r="EC112">
        <v>80.206005000000005</v>
      </c>
      <c r="ED112">
        <v>18.720597000000001</v>
      </c>
      <c r="EE112">
        <v>946.85858199999996</v>
      </c>
      <c r="EF112">
        <v>10.798463999999999</v>
      </c>
      <c r="EG112">
        <v>13</v>
      </c>
      <c r="EH112">
        <v>13</v>
      </c>
      <c r="EI112">
        <v>13</v>
      </c>
      <c r="EJ112">
        <v>13</v>
      </c>
      <c r="EK112" t="s">
        <v>273</v>
      </c>
      <c r="EL112" t="s">
        <v>273</v>
      </c>
      <c r="EM112">
        <v>22.780763</v>
      </c>
      <c r="EN112">
        <v>1.6806999999999999E-2</v>
      </c>
      <c r="EO112">
        <v>2.1388760000000002</v>
      </c>
      <c r="EP112">
        <v>1.6539079999999999</v>
      </c>
      <c r="EQ112">
        <v>77.326009999999997</v>
      </c>
      <c r="ER112">
        <v>16.893114000000001</v>
      </c>
      <c r="ES112">
        <v>911.45709799999997</v>
      </c>
      <c r="ET112">
        <v>6.6087749999999996</v>
      </c>
      <c r="EU112">
        <v>19</v>
      </c>
      <c r="EV112">
        <v>19</v>
      </c>
      <c r="EW112">
        <v>19</v>
      </c>
      <c r="EX112">
        <v>19</v>
      </c>
      <c r="EY112" t="s">
        <v>273</v>
      </c>
      <c r="EZ112" t="s">
        <v>273</v>
      </c>
      <c r="FA112">
        <v>27.832495000000002</v>
      </c>
      <c r="FB112">
        <v>2.7733000000000001E-2</v>
      </c>
      <c r="FC112">
        <v>1.958539</v>
      </c>
      <c r="FD112">
        <v>1.5713699999999999</v>
      </c>
      <c r="FE112">
        <v>80.231758999999997</v>
      </c>
      <c r="FF112">
        <v>21.738513000000001</v>
      </c>
      <c r="FG112">
        <v>946.95605699999999</v>
      </c>
      <c r="FH112">
        <v>10.90507</v>
      </c>
      <c r="FI112">
        <v>13</v>
      </c>
      <c r="FJ112">
        <v>13</v>
      </c>
      <c r="FK112">
        <v>13</v>
      </c>
      <c r="FL112">
        <v>13</v>
      </c>
      <c r="FM112" t="s">
        <v>273</v>
      </c>
      <c r="FN112" t="s">
        <v>273</v>
      </c>
      <c r="FO112">
        <v>26.686757</v>
      </c>
      <c r="FP112">
        <v>3.3770000000000001E-2</v>
      </c>
      <c r="FQ112">
        <v>3.2917809999999998</v>
      </c>
      <c r="FR112">
        <v>2.8596219999999999</v>
      </c>
      <c r="FS112">
        <v>86.871584999999996</v>
      </c>
      <c r="FT112">
        <v>22.876049999999999</v>
      </c>
      <c r="FU112">
        <v>614.55772899999999</v>
      </c>
      <c r="FV112">
        <v>13.278755</v>
      </c>
      <c r="FW112">
        <v>8</v>
      </c>
      <c r="FX112">
        <v>8</v>
      </c>
      <c r="FY112">
        <v>8</v>
      </c>
      <c r="FZ112">
        <v>8</v>
      </c>
      <c r="GA112" t="s">
        <v>273</v>
      </c>
      <c r="GB112" t="s">
        <v>273</v>
      </c>
      <c r="GC112">
        <v>32.074921000000003</v>
      </c>
      <c r="GD112">
        <v>6.8990999999999997E-2</v>
      </c>
      <c r="GE112">
        <v>2.3323520000000002</v>
      </c>
      <c r="GF112">
        <v>1.833561</v>
      </c>
      <c r="GG112">
        <v>78.614271000000002</v>
      </c>
      <c r="GH112">
        <v>24.352916</v>
      </c>
      <c r="GI112">
        <v>2200.5230179999999</v>
      </c>
      <c r="GJ112">
        <v>27.128056999999998</v>
      </c>
      <c r="GK112">
        <v>23</v>
      </c>
      <c r="GL112">
        <v>23</v>
      </c>
      <c r="GM112">
        <v>16</v>
      </c>
      <c r="GN112">
        <v>23</v>
      </c>
      <c r="GO112" t="s">
        <v>273</v>
      </c>
      <c r="GP112" t="s">
        <v>273</v>
      </c>
      <c r="GQ112">
        <v>31.116095000000001</v>
      </c>
      <c r="GR112">
        <v>6.2345999999999999E-2</v>
      </c>
      <c r="GS112">
        <v>2.9639639999999998</v>
      </c>
      <c r="GT112">
        <v>2.540133</v>
      </c>
      <c r="GU112">
        <v>85.700532999999993</v>
      </c>
      <c r="GV112">
        <v>26.093909</v>
      </c>
      <c r="GW112">
        <v>889.840825</v>
      </c>
      <c r="GX112">
        <v>24.515277000000001</v>
      </c>
      <c r="GY112">
        <v>42</v>
      </c>
      <c r="GZ112">
        <v>42</v>
      </c>
      <c r="HA112">
        <v>22</v>
      </c>
      <c r="HB112">
        <v>22</v>
      </c>
      <c r="HC112" t="s">
        <v>273</v>
      </c>
      <c r="HD112" t="s">
        <v>273</v>
      </c>
      <c r="HE112">
        <v>18</v>
      </c>
      <c r="HF112">
        <v>2.9999999999999997E-4</v>
      </c>
      <c r="HG112">
        <v>2E-3</v>
      </c>
      <c r="HH112">
        <v>5.5556000000000001E-2</v>
      </c>
      <c r="HI112">
        <v>9500</v>
      </c>
    </row>
    <row r="113" spans="1:217" x14ac:dyDescent="0.3">
      <c r="A113">
        <v>664</v>
      </c>
      <c r="B113" t="s">
        <v>269</v>
      </c>
      <c r="F113" t="s">
        <v>270</v>
      </c>
      <c r="G113" t="s">
        <v>293</v>
      </c>
      <c r="H113" t="s">
        <v>294</v>
      </c>
      <c r="I113">
        <v>9500</v>
      </c>
      <c r="J113">
        <v>1</v>
      </c>
      <c r="K113">
        <v>41.973436999999997</v>
      </c>
      <c r="L113">
        <v>0.22</v>
      </c>
      <c r="M113">
        <v>1.7659999999999999E-2</v>
      </c>
      <c r="N113">
        <v>0</v>
      </c>
      <c r="O113">
        <v>0</v>
      </c>
      <c r="P113">
        <v>0</v>
      </c>
      <c r="Q113">
        <v>12.95</v>
      </c>
      <c r="R113">
        <v>1</v>
      </c>
      <c r="S113">
        <v>1</v>
      </c>
      <c r="T113">
        <v>1</v>
      </c>
      <c r="U113">
        <v>1</v>
      </c>
      <c r="V113">
        <v>100</v>
      </c>
      <c r="W113" t="s">
        <v>273</v>
      </c>
      <c r="X113" t="s">
        <v>274</v>
      </c>
      <c r="Y113" t="s">
        <v>274</v>
      </c>
      <c r="Z113" t="s">
        <v>273</v>
      </c>
      <c r="AA113" t="s">
        <v>275</v>
      </c>
      <c r="AB113" t="s">
        <v>276</v>
      </c>
      <c r="AC113">
        <v>469</v>
      </c>
      <c r="AD113">
        <v>5</v>
      </c>
      <c r="AE113" t="s">
        <v>277</v>
      </c>
      <c r="AF113">
        <v>2.962364</v>
      </c>
      <c r="AG113">
        <v>100</v>
      </c>
      <c r="AH113">
        <v>26.7</v>
      </c>
      <c r="AI113">
        <v>1600</v>
      </c>
      <c r="AJ113">
        <v>800</v>
      </c>
      <c r="AK113">
        <v>1200</v>
      </c>
      <c r="AL113">
        <v>150</v>
      </c>
      <c r="AM113">
        <v>2.2000000000000002</v>
      </c>
      <c r="AN113" t="s">
        <v>273</v>
      </c>
      <c r="AO113" t="s">
        <v>278</v>
      </c>
      <c r="AP113" t="s">
        <v>295</v>
      </c>
      <c r="AQ113">
        <v>4</v>
      </c>
      <c r="AR113">
        <v>8</v>
      </c>
      <c r="AS113">
        <v>224.3</v>
      </c>
      <c r="AT113">
        <v>408</v>
      </c>
      <c r="AU113">
        <v>0.23255999999999999</v>
      </c>
      <c r="AV113">
        <v>36.299999999999997</v>
      </c>
      <c r="AW113">
        <v>237</v>
      </c>
      <c r="AX113" t="s">
        <v>280</v>
      </c>
      <c r="AY113">
        <v>0</v>
      </c>
      <c r="AZ113" t="s">
        <v>281</v>
      </c>
      <c r="BA113">
        <v>0.2</v>
      </c>
      <c r="BB113">
        <v>0.5</v>
      </c>
      <c r="BC113" t="s">
        <v>273</v>
      </c>
      <c r="BD113" t="s">
        <v>273</v>
      </c>
      <c r="BE113">
        <v>16.505025</v>
      </c>
      <c r="BF113">
        <v>16.695070999999999</v>
      </c>
      <c r="BG113">
        <v>519.02141700000004</v>
      </c>
      <c r="BH113" t="s">
        <v>273</v>
      </c>
      <c r="BI113">
        <v>30.236287000000001</v>
      </c>
      <c r="BJ113">
        <v>30.584441000000002</v>
      </c>
      <c r="BK113">
        <v>283.31723499999998</v>
      </c>
      <c r="BL113" t="s">
        <v>273</v>
      </c>
      <c r="BM113">
        <v>30.237926000000002</v>
      </c>
      <c r="BN113">
        <v>30.586099000000001</v>
      </c>
      <c r="BO113">
        <v>283.301875</v>
      </c>
      <c r="BP113" t="s">
        <v>273</v>
      </c>
      <c r="BQ113">
        <v>15.708812</v>
      </c>
      <c r="BR113">
        <v>15.88969</v>
      </c>
      <c r="BS113">
        <v>545.32841399999995</v>
      </c>
      <c r="BT113" t="s">
        <v>273</v>
      </c>
      <c r="BU113">
        <v>5.6334249999999999</v>
      </c>
      <c r="BV113">
        <v>5.6982900000000001</v>
      </c>
      <c r="BW113">
        <v>1520.648942</v>
      </c>
      <c r="BX113" t="s">
        <v>273</v>
      </c>
      <c r="BY113">
        <v>15.87825</v>
      </c>
      <c r="BZ113">
        <v>15.896906</v>
      </c>
      <c r="CA113">
        <v>18.379487000000001</v>
      </c>
      <c r="CB113">
        <v>30.237926000000002</v>
      </c>
      <c r="CC113">
        <v>7.9401580000000003</v>
      </c>
      <c r="CD113">
        <v>21.828659999999999</v>
      </c>
      <c r="CE113" t="s">
        <v>273</v>
      </c>
      <c r="CF113">
        <v>16.061078999999999</v>
      </c>
      <c r="CG113">
        <v>16.079948999999999</v>
      </c>
      <c r="CH113">
        <v>18.591116</v>
      </c>
      <c r="CI113">
        <v>30.586099000000001</v>
      </c>
      <c r="CJ113">
        <v>8.0315849999999998</v>
      </c>
      <c r="CK113">
        <v>22.080005</v>
      </c>
      <c r="CL113" t="s">
        <v>273</v>
      </c>
      <c r="CM113">
        <v>539.50915499999996</v>
      </c>
      <c r="CN113">
        <v>538.87602600000002</v>
      </c>
      <c r="CO113">
        <v>466.08816999999999</v>
      </c>
      <c r="CP113">
        <v>283.301875</v>
      </c>
      <c r="CQ113">
        <v>1078.877925</v>
      </c>
      <c r="CR113">
        <v>392.44100700000001</v>
      </c>
      <c r="CS113" t="s">
        <v>273</v>
      </c>
      <c r="CT113">
        <v>642.52258500000005</v>
      </c>
      <c r="CU113">
        <v>690.38991999999996</v>
      </c>
      <c r="CV113">
        <v>554.99490400000002</v>
      </c>
      <c r="CW113">
        <v>959.757249</v>
      </c>
      <c r="CX113">
        <v>636.45207600000003</v>
      </c>
      <c r="CY113">
        <v>807.92452800000001</v>
      </c>
      <c r="CZ113" t="s">
        <v>273</v>
      </c>
      <c r="DA113">
        <v>3.610195</v>
      </c>
      <c r="DB113">
        <v>510.01</v>
      </c>
      <c r="DC113">
        <v>3.8837090000000001</v>
      </c>
      <c r="DD113">
        <v>864</v>
      </c>
      <c r="DE113">
        <v>3.6096249999999999</v>
      </c>
      <c r="DF113">
        <v>505</v>
      </c>
      <c r="DG113">
        <v>10.269590000000001</v>
      </c>
      <c r="DH113">
        <v>765</v>
      </c>
      <c r="DI113">
        <v>1.788276</v>
      </c>
      <c r="DJ113">
        <v>235</v>
      </c>
      <c r="DK113">
        <v>6.240761</v>
      </c>
      <c r="DL113">
        <v>365</v>
      </c>
      <c r="DM113" t="s">
        <v>273</v>
      </c>
      <c r="DN113">
        <v>5.2382140000000001</v>
      </c>
      <c r="DO113">
        <v>13.244711000000001</v>
      </c>
      <c r="DP113">
        <v>6.8182450000000001</v>
      </c>
      <c r="DQ113" t="s">
        <v>282</v>
      </c>
      <c r="DR113">
        <v>7.2836730000000003</v>
      </c>
      <c r="DS113">
        <v>19.75346</v>
      </c>
      <c r="DT113">
        <v>47.100090000000002</v>
      </c>
      <c r="DU113">
        <v>76.939442</v>
      </c>
      <c r="DV113">
        <v>147.845393</v>
      </c>
      <c r="DW113" t="s">
        <v>283</v>
      </c>
      <c r="DX113" t="s">
        <v>273</v>
      </c>
      <c r="DY113">
        <v>25.867329000000002</v>
      </c>
      <c r="DZ113">
        <v>4.8078000000000003E-2</v>
      </c>
      <c r="EA113">
        <v>1.929206</v>
      </c>
      <c r="EB113">
        <v>1.561161</v>
      </c>
      <c r="EC113">
        <v>80.922459000000003</v>
      </c>
      <c r="ED113">
        <v>20.480271999999999</v>
      </c>
      <c r="EE113">
        <v>946.43649600000003</v>
      </c>
      <c r="EF113">
        <v>10.781828000000001</v>
      </c>
      <c r="EG113">
        <v>24</v>
      </c>
      <c r="EH113">
        <v>24</v>
      </c>
      <c r="EI113">
        <v>23</v>
      </c>
      <c r="EJ113">
        <v>23</v>
      </c>
      <c r="EK113" t="s">
        <v>273</v>
      </c>
      <c r="EL113" t="s">
        <v>273</v>
      </c>
      <c r="EM113">
        <v>26.335917999999999</v>
      </c>
      <c r="EN113">
        <v>2.9429E-2</v>
      </c>
      <c r="EO113">
        <v>2.1104820000000002</v>
      </c>
      <c r="EP113">
        <v>1.630077</v>
      </c>
      <c r="EQ113">
        <v>77.237189000000001</v>
      </c>
      <c r="ER113">
        <v>19.764685</v>
      </c>
      <c r="ES113">
        <v>912.29503899999997</v>
      </c>
      <c r="ET113">
        <v>6.5995929999999996</v>
      </c>
      <c r="EU113">
        <v>27</v>
      </c>
      <c r="EV113">
        <v>27</v>
      </c>
      <c r="EW113">
        <v>26</v>
      </c>
      <c r="EX113">
        <v>27</v>
      </c>
      <c r="EY113" t="s">
        <v>273</v>
      </c>
      <c r="EZ113" t="s">
        <v>273</v>
      </c>
      <c r="FA113">
        <v>29.945606000000002</v>
      </c>
      <c r="FB113">
        <v>4.8551999999999998E-2</v>
      </c>
      <c r="FC113">
        <v>1.929127</v>
      </c>
      <c r="FD113">
        <v>1.56107</v>
      </c>
      <c r="FE113">
        <v>80.921040000000005</v>
      </c>
      <c r="FF113">
        <v>23.708545999999998</v>
      </c>
      <c r="FG113">
        <v>946.52482399999997</v>
      </c>
      <c r="FH113">
        <v>10.888087000000001</v>
      </c>
      <c r="FI113">
        <v>24</v>
      </c>
      <c r="FJ113">
        <v>24</v>
      </c>
      <c r="FK113">
        <v>23</v>
      </c>
      <c r="FL113">
        <v>23</v>
      </c>
      <c r="FM113" t="s">
        <v>273</v>
      </c>
      <c r="FN113" t="s">
        <v>273</v>
      </c>
      <c r="FO113">
        <v>29.391257</v>
      </c>
      <c r="FP113">
        <v>5.9104999999999998E-2</v>
      </c>
      <c r="FQ113">
        <v>3.2742979999999999</v>
      </c>
      <c r="FR113">
        <v>2.8483559999999999</v>
      </c>
      <c r="FS113">
        <v>86.991341000000006</v>
      </c>
      <c r="FT113">
        <v>25.282910000000001</v>
      </c>
      <c r="FU113">
        <v>613.51874099999998</v>
      </c>
      <c r="FV113">
        <v>13.254652999999999</v>
      </c>
      <c r="FW113">
        <v>15</v>
      </c>
      <c r="FX113">
        <v>15</v>
      </c>
      <c r="FY113">
        <v>15</v>
      </c>
      <c r="FZ113">
        <v>14</v>
      </c>
      <c r="GA113" t="s">
        <v>273</v>
      </c>
      <c r="GB113" t="s">
        <v>273</v>
      </c>
      <c r="GC113">
        <v>30.598897999999998</v>
      </c>
      <c r="GD113">
        <v>0.12099</v>
      </c>
      <c r="GE113">
        <v>2.2605300000000002</v>
      </c>
      <c r="GF113">
        <v>1.8232189999999999</v>
      </c>
      <c r="GG113">
        <v>80.654526000000004</v>
      </c>
      <c r="GH113">
        <v>23.974395000000001</v>
      </c>
      <c r="GI113">
        <v>2215.523917</v>
      </c>
      <c r="GJ113">
        <v>27.132636999999999</v>
      </c>
      <c r="GK113">
        <v>25</v>
      </c>
      <c r="GL113">
        <v>25</v>
      </c>
      <c r="GM113">
        <v>15</v>
      </c>
      <c r="GN113">
        <v>25</v>
      </c>
      <c r="GO113" t="s">
        <v>273</v>
      </c>
      <c r="GP113" t="s">
        <v>273</v>
      </c>
      <c r="GQ113">
        <v>31.007774999999999</v>
      </c>
      <c r="GR113">
        <v>0.10824</v>
      </c>
      <c r="GS113">
        <v>2.9079039999999998</v>
      </c>
      <c r="GT113">
        <v>2.504461</v>
      </c>
      <c r="GU113">
        <v>86.125994000000006</v>
      </c>
      <c r="GV113">
        <v>26.242705000000001</v>
      </c>
      <c r="GW113">
        <v>882.13361299999997</v>
      </c>
      <c r="GX113">
        <v>24.273250999999998</v>
      </c>
      <c r="GY113">
        <v>33</v>
      </c>
      <c r="GZ113">
        <v>33</v>
      </c>
      <c r="HA113">
        <v>22</v>
      </c>
      <c r="HB113">
        <v>22</v>
      </c>
      <c r="HC113" t="s">
        <v>273</v>
      </c>
      <c r="HD113" t="s">
        <v>273</v>
      </c>
      <c r="HE113">
        <v>31</v>
      </c>
      <c r="HF113">
        <v>2.9999999999999997E-4</v>
      </c>
      <c r="HG113">
        <v>2E-3</v>
      </c>
      <c r="HH113">
        <v>3.2258000000000002E-2</v>
      </c>
      <c r="HI113">
        <v>9500</v>
      </c>
    </row>
    <row r="114" spans="1:217" x14ac:dyDescent="0.3">
      <c r="A114">
        <v>679</v>
      </c>
      <c r="B114" t="s">
        <v>269</v>
      </c>
      <c r="F114" t="s">
        <v>270</v>
      </c>
      <c r="G114" t="s">
        <v>293</v>
      </c>
      <c r="H114" t="s">
        <v>294</v>
      </c>
      <c r="I114">
        <v>5500</v>
      </c>
      <c r="J114">
        <v>1</v>
      </c>
      <c r="K114">
        <v>18.614062000000001</v>
      </c>
      <c r="L114">
        <v>0.22</v>
      </c>
      <c r="M114">
        <v>1.9809E-2</v>
      </c>
      <c r="N114">
        <v>0</v>
      </c>
      <c r="O114">
        <v>0</v>
      </c>
      <c r="P114">
        <v>0</v>
      </c>
      <c r="Q114">
        <v>10.55</v>
      </c>
      <c r="R114">
        <v>1</v>
      </c>
      <c r="S114">
        <v>1</v>
      </c>
      <c r="T114">
        <v>1</v>
      </c>
      <c r="U114">
        <v>1</v>
      </c>
      <c r="V114">
        <v>100</v>
      </c>
      <c r="W114" t="s">
        <v>273</v>
      </c>
      <c r="X114" t="s">
        <v>274</v>
      </c>
      <c r="Y114" t="s">
        <v>274</v>
      </c>
      <c r="Z114" t="s">
        <v>273</v>
      </c>
      <c r="AA114" t="s">
        <v>275</v>
      </c>
      <c r="AB114" t="s">
        <v>276</v>
      </c>
      <c r="AC114">
        <v>469</v>
      </c>
      <c r="AD114">
        <v>5</v>
      </c>
      <c r="AE114" t="s">
        <v>277</v>
      </c>
      <c r="AF114">
        <v>2.962364</v>
      </c>
      <c r="AG114">
        <v>100</v>
      </c>
      <c r="AH114">
        <v>26.7</v>
      </c>
      <c r="AI114">
        <v>1600</v>
      </c>
      <c r="AJ114">
        <v>800</v>
      </c>
      <c r="AK114">
        <v>1200</v>
      </c>
      <c r="AL114">
        <v>150</v>
      </c>
      <c r="AM114">
        <v>2.2000000000000002</v>
      </c>
      <c r="AN114" t="s">
        <v>273</v>
      </c>
      <c r="AO114" t="s">
        <v>278</v>
      </c>
      <c r="AP114" t="s">
        <v>295</v>
      </c>
      <c r="AQ114">
        <v>4</v>
      </c>
      <c r="AR114">
        <v>8</v>
      </c>
      <c r="AS114">
        <v>224.3</v>
      </c>
      <c r="AT114">
        <v>408</v>
      </c>
      <c r="AU114">
        <v>0.23255999999999999</v>
      </c>
      <c r="AV114">
        <v>36.299999999999997</v>
      </c>
      <c r="AW114">
        <v>237</v>
      </c>
      <c r="AX114" t="s">
        <v>280</v>
      </c>
      <c r="AY114">
        <v>0</v>
      </c>
      <c r="AZ114" t="s">
        <v>281</v>
      </c>
      <c r="BA114">
        <v>0.2</v>
      </c>
      <c r="BB114">
        <v>0.5</v>
      </c>
      <c r="BC114" t="s">
        <v>273</v>
      </c>
      <c r="BD114" t="s">
        <v>273</v>
      </c>
      <c r="BE114">
        <v>23.564250999999999</v>
      </c>
      <c r="BF114">
        <v>23.83558</v>
      </c>
      <c r="BG114">
        <v>363.53632199999998</v>
      </c>
      <c r="BH114" t="s">
        <v>273</v>
      </c>
      <c r="BI114">
        <v>38.382258999999998</v>
      </c>
      <c r="BJ114">
        <v>38.824209000000003</v>
      </c>
      <c r="BK114">
        <v>223.188041</v>
      </c>
      <c r="BL114" t="s">
        <v>273</v>
      </c>
      <c r="BM114">
        <v>38.385029000000003</v>
      </c>
      <c r="BN114">
        <v>38.827010999999999</v>
      </c>
      <c r="BO114">
        <v>223.17193900000001</v>
      </c>
      <c r="BP114" t="s">
        <v>273</v>
      </c>
      <c r="BQ114">
        <v>22.620895000000001</v>
      </c>
      <c r="BR114">
        <v>22.881361999999999</v>
      </c>
      <c r="BS114">
        <v>378.69683400000002</v>
      </c>
      <c r="BT114" t="s">
        <v>273</v>
      </c>
      <c r="BU114">
        <v>6.4225649999999996</v>
      </c>
      <c r="BV114">
        <v>6.4965169999999999</v>
      </c>
      <c r="BW114">
        <v>1333.806916</v>
      </c>
      <c r="BX114" t="s">
        <v>273</v>
      </c>
      <c r="BY114">
        <v>22.902802000000001</v>
      </c>
      <c r="BZ114">
        <v>22.466448</v>
      </c>
      <c r="CA114">
        <v>26.6006</v>
      </c>
      <c r="CB114">
        <v>38.385029000000003</v>
      </c>
      <c r="CC114">
        <v>13.294764000000001</v>
      </c>
      <c r="CD114">
        <v>28.350273000000001</v>
      </c>
      <c r="CE114" t="s">
        <v>273</v>
      </c>
      <c r="CF114">
        <v>23.166513999999999</v>
      </c>
      <c r="CG114">
        <v>22.725135999999999</v>
      </c>
      <c r="CH114">
        <v>26.906891000000002</v>
      </c>
      <c r="CI114">
        <v>38.827010999999999</v>
      </c>
      <c r="CJ114">
        <v>13.447846</v>
      </c>
      <c r="CK114">
        <v>28.67671</v>
      </c>
      <c r="CL114" t="s">
        <v>273</v>
      </c>
      <c r="CM114">
        <v>374.03551800000002</v>
      </c>
      <c r="CN114">
        <v>381.30021099999999</v>
      </c>
      <c r="CO114">
        <v>322.04014699999999</v>
      </c>
      <c r="CP114">
        <v>223.17193900000001</v>
      </c>
      <c r="CQ114">
        <v>644.34851000000003</v>
      </c>
      <c r="CR114">
        <v>302.16503599999999</v>
      </c>
      <c r="CS114" t="s">
        <v>273</v>
      </c>
      <c r="CT114">
        <v>445.83450199999999</v>
      </c>
      <c r="CU114">
        <v>489.58592700000003</v>
      </c>
      <c r="CV114">
        <v>383.79913499999998</v>
      </c>
      <c r="CW114">
        <v>756.09066099999995</v>
      </c>
      <c r="CX114">
        <v>382.53533299999998</v>
      </c>
      <c r="CY114">
        <v>622.68095300000004</v>
      </c>
      <c r="CZ114" t="s">
        <v>273</v>
      </c>
      <c r="DA114">
        <v>3.613283</v>
      </c>
      <c r="DB114">
        <v>510.01</v>
      </c>
      <c r="DC114">
        <v>3.892271</v>
      </c>
      <c r="DD114">
        <v>864</v>
      </c>
      <c r="DE114">
        <v>3.612727</v>
      </c>
      <c r="DF114">
        <v>505</v>
      </c>
      <c r="DG114">
        <v>10.270118</v>
      </c>
      <c r="DH114">
        <v>765</v>
      </c>
      <c r="DI114">
        <v>1.799666</v>
      </c>
      <c r="DJ114">
        <v>235</v>
      </c>
      <c r="DK114">
        <v>6.2468709999999996</v>
      </c>
      <c r="DL114">
        <v>365</v>
      </c>
      <c r="DM114" t="s">
        <v>273</v>
      </c>
      <c r="DN114">
        <v>3.5372210000000002</v>
      </c>
      <c r="DO114">
        <v>8.0316690000000008</v>
      </c>
      <c r="DP114">
        <v>4.2263149999999996</v>
      </c>
      <c r="DQ114" t="s">
        <v>282</v>
      </c>
      <c r="DR114">
        <v>4.6091309999999996</v>
      </c>
      <c r="DS114">
        <v>16.284801999999999</v>
      </c>
      <c r="DT114">
        <v>33.151916</v>
      </c>
      <c r="DU114">
        <v>91.749973999999995</v>
      </c>
      <c r="DV114">
        <v>160.42826400000001</v>
      </c>
      <c r="DW114" t="s">
        <v>283</v>
      </c>
      <c r="DX114" t="s">
        <v>273</v>
      </c>
      <c r="DY114">
        <v>23.046094</v>
      </c>
      <c r="DZ114">
        <v>3.0237E-2</v>
      </c>
      <c r="EA114">
        <v>1.1926410000000001</v>
      </c>
      <c r="EB114">
        <v>0.98343000000000003</v>
      </c>
      <c r="EC114">
        <v>82.458149000000006</v>
      </c>
      <c r="ED114">
        <v>18.562815000000001</v>
      </c>
      <c r="EE114">
        <v>594.72090400000002</v>
      </c>
      <c r="EF114">
        <v>6.780869</v>
      </c>
      <c r="EG114">
        <v>24</v>
      </c>
      <c r="EH114">
        <v>24</v>
      </c>
      <c r="EI114">
        <v>20</v>
      </c>
      <c r="EJ114">
        <v>23</v>
      </c>
      <c r="EK114" t="s">
        <v>273</v>
      </c>
      <c r="EL114" t="s">
        <v>273</v>
      </c>
      <c r="EM114">
        <v>21.649705999999998</v>
      </c>
      <c r="EN114">
        <v>1.7257000000000002E-2</v>
      </c>
      <c r="EO114">
        <v>1.230324</v>
      </c>
      <c r="EP114">
        <v>0.96395200000000003</v>
      </c>
      <c r="EQ114">
        <v>78.349413999999996</v>
      </c>
      <c r="ER114">
        <v>16.343305999999998</v>
      </c>
      <c r="ES114">
        <v>533.78050299999995</v>
      </c>
      <c r="ET114">
        <v>3.86991</v>
      </c>
      <c r="EU114">
        <v>25</v>
      </c>
      <c r="EV114">
        <v>25</v>
      </c>
      <c r="EW114">
        <v>25</v>
      </c>
      <c r="EX114">
        <v>25</v>
      </c>
      <c r="EY114" t="s">
        <v>273</v>
      </c>
      <c r="EZ114" t="s">
        <v>273</v>
      </c>
      <c r="FA114">
        <v>26.758562999999999</v>
      </c>
      <c r="FB114">
        <v>3.0536000000000001E-2</v>
      </c>
      <c r="FC114">
        <v>1.19208</v>
      </c>
      <c r="FD114">
        <v>0.98338700000000001</v>
      </c>
      <c r="FE114">
        <v>82.493337999999994</v>
      </c>
      <c r="FF114">
        <v>21.562311999999999</v>
      </c>
      <c r="FG114">
        <v>594.79021899999998</v>
      </c>
      <c r="FH114">
        <v>6.8478849999999998</v>
      </c>
      <c r="FI114">
        <v>24</v>
      </c>
      <c r="FJ114">
        <v>24</v>
      </c>
      <c r="FK114">
        <v>20</v>
      </c>
      <c r="FL114">
        <v>23</v>
      </c>
      <c r="FM114" t="s">
        <v>273</v>
      </c>
      <c r="FN114" t="s">
        <v>273</v>
      </c>
      <c r="FO114">
        <v>27.022587999999999</v>
      </c>
      <c r="FP114">
        <v>4.3143000000000001E-2</v>
      </c>
      <c r="FQ114">
        <v>2.3715890000000002</v>
      </c>
      <c r="FR114">
        <v>2.0766390000000001</v>
      </c>
      <c r="FS114">
        <v>87.563174000000004</v>
      </c>
      <c r="FT114">
        <v>23.426127000000001</v>
      </c>
      <c r="FU114">
        <v>447.80748999999997</v>
      </c>
      <c r="FV114">
        <v>9.6750729999999994</v>
      </c>
      <c r="FW114">
        <v>10</v>
      </c>
      <c r="FX114">
        <v>10</v>
      </c>
      <c r="FY114">
        <v>9</v>
      </c>
      <c r="FZ114">
        <v>9</v>
      </c>
      <c r="GA114" t="s">
        <v>273</v>
      </c>
      <c r="GB114" t="s">
        <v>273</v>
      </c>
      <c r="GC114">
        <v>30.445838999999999</v>
      </c>
      <c r="GD114">
        <v>7.2666999999999995E-2</v>
      </c>
      <c r="GE114">
        <v>1.35188</v>
      </c>
      <c r="GF114">
        <v>1.1013189999999999</v>
      </c>
      <c r="GG114">
        <v>81.465719000000007</v>
      </c>
      <c r="GH114">
        <v>23.956655999999999</v>
      </c>
      <c r="GI114">
        <v>1322.219092</v>
      </c>
      <c r="GJ114">
        <v>16.295824</v>
      </c>
      <c r="GK114">
        <v>26</v>
      </c>
      <c r="GL114">
        <v>26</v>
      </c>
      <c r="GM114">
        <v>15</v>
      </c>
      <c r="GN114">
        <v>24</v>
      </c>
      <c r="GO114" t="s">
        <v>273</v>
      </c>
      <c r="GP114" t="s">
        <v>273</v>
      </c>
      <c r="GQ114">
        <v>30.019773000000001</v>
      </c>
      <c r="GR114">
        <v>8.1784999999999997E-2</v>
      </c>
      <c r="GS114">
        <v>2.1697600000000001</v>
      </c>
      <c r="GT114">
        <v>1.8893709999999999</v>
      </c>
      <c r="GU114">
        <v>87.07741</v>
      </c>
      <c r="GV114">
        <v>25.727754999999998</v>
      </c>
      <c r="GW114">
        <v>665.88226699999996</v>
      </c>
      <c r="GX114">
        <v>18.340703000000001</v>
      </c>
      <c r="GY114">
        <v>27</v>
      </c>
      <c r="GZ114">
        <v>27</v>
      </c>
      <c r="HA114">
        <v>13</v>
      </c>
      <c r="HB114">
        <v>14</v>
      </c>
      <c r="HC114" t="s">
        <v>273</v>
      </c>
      <c r="HD114" t="s">
        <v>273</v>
      </c>
      <c r="HE114">
        <v>18</v>
      </c>
      <c r="HF114">
        <v>2.9999999999999997E-4</v>
      </c>
      <c r="HG114">
        <v>3.0000000000000001E-3</v>
      </c>
      <c r="HH114">
        <v>5.5556000000000001E-2</v>
      </c>
      <c r="HI114">
        <v>5500</v>
      </c>
    </row>
    <row r="115" spans="1:217" x14ac:dyDescent="0.3">
      <c r="A115">
        <v>680</v>
      </c>
      <c r="B115" t="s">
        <v>269</v>
      </c>
      <c r="F115" t="s">
        <v>270</v>
      </c>
      <c r="G115" t="s">
        <v>293</v>
      </c>
      <c r="H115" t="s">
        <v>294</v>
      </c>
      <c r="I115">
        <v>7500</v>
      </c>
      <c r="J115">
        <v>1</v>
      </c>
      <c r="K115">
        <v>26.582812000000001</v>
      </c>
      <c r="L115">
        <v>0.22</v>
      </c>
      <c r="M115">
        <v>2.8011999999999999E-2</v>
      </c>
      <c r="N115">
        <v>0</v>
      </c>
      <c r="O115">
        <v>0</v>
      </c>
      <c r="P115">
        <v>0</v>
      </c>
      <c r="Q115">
        <v>14.35</v>
      </c>
      <c r="R115">
        <v>1</v>
      </c>
      <c r="S115">
        <v>1</v>
      </c>
      <c r="T115">
        <v>1</v>
      </c>
      <c r="U115">
        <v>1</v>
      </c>
      <c r="V115">
        <v>100</v>
      </c>
      <c r="W115" t="s">
        <v>273</v>
      </c>
      <c r="X115" t="s">
        <v>274</v>
      </c>
      <c r="Y115" t="s">
        <v>274</v>
      </c>
      <c r="Z115" t="s">
        <v>273</v>
      </c>
      <c r="AA115" t="s">
        <v>275</v>
      </c>
      <c r="AB115" t="s">
        <v>276</v>
      </c>
      <c r="AC115">
        <v>646</v>
      </c>
      <c r="AD115">
        <v>5</v>
      </c>
      <c r="AE115" t="s">
        <v>277</v>
      </c>
      <c r="AF115">
        <v>2.7309290000000002</v>
      </c>
      <c r="AG115">
        <v>100</v>
      </c>
      <c r="AH115">
        <v>24.6</v>
      </c>
      <c r="AI115">
        <v>1475</v>
      </c>
      <c r="AJ115">
        <v>800</v>
      </c>
      <c r="AK115">
        <v>1200</v>
      </c>
      <c r="AL115">
        <v>127.9</v>
      </c>
      <c r="AM115">
        <v>2.2000000000000002</v>
      </c>
      <c r="AN115" t="s">
        <v>273</v>
      </c>
      <c r="AO115" t="s">
        <v>278</v>
      </c>
      <c r="AP115" t="s">
        <v>296</v>
      </c>
      <c r="AQ115">
        <v>5.5</v>
      </c>
      <c r="AR115">
        <v>8</v>
      </c>
      <c r="AS115">
        <v>308.7</v>
      </c>
      <c r="AT115">
        <v>561.70000000000005</v>
      </c>
      <c r="AU115">
        <v>0.31977</v>
      </c>
      <c r="AV115">
        <v>36.799999999999997</v>
      </c>
      <c r="AW115">
        <v>233.9</v>
      </c>
      <c r="AX115" t="s">
        <v>280</v>
      </c>
      <c r="AY115">
        <v>0</v>
      </c>
      <c r="AZ115" t="s">
        <v>281</v>
      </c>
      <c r="BA115">
        <v>0.2</v>
      </c>
      <c r="BB115">
        <v>0.5</v>
      </c>
      <c r="BC115" t="s">
        <v>273</v>
      </c>
      <c r="BD115" t="s">
        <v>273</v>
      </c>
      <c r="BE115">
        <v>17.857561</v>
      </c>
      <c r="BF115">
        <v>18.063179999999999</v>
      </c>
      <c r="BG115">
        <v>479.71060599999998</v>
      </c>
      <c r="BH115" t="s">
        <v>273</v>
      </c>
      <c r="BI115">
        <v>29.339136</v>
      </c>
      <c r="BJ115">
        <v>29.676960000000001</v>
      </c>
      <c r="BK115">
        <v>291.98069199999998</v>
      </c>
      <c r="BL115" t="s">
        <v>273</v>
      </c>
      <c r="BM115">
        <v>29.340533000000001</v>
      </c>
      <c r="BN115">
        <v>29.678372</v>
      </c>
      <c r="BO115">
        <v>291.966793</v>
      </c>
      <c r="BP115" t="s">
        <v>273</v>
      </c>
      <c r="BQ115">
        <v>17.032907000000002</v>
      </c>
      <c r="BR115">
        <v>17.229030999999999</v>
      </c>
      <c r="BS115">
        <v>502.93595299999998</v>
      </c>
      <c r="BT115" t="s">
        <v>273</v>
      </c>
      <c r="BU115">
        <v>4.823474</v>
      </c>
      <c r="BV115">
        <v>4.8790139999999997</v>
      </c>
      <c r="BW115">
        <v>1775.993909</v>
      </c>
      <c r="BX115" t="s">
        <v>273</v>
      </c>
      <c r="BY115">
        <v>17.327822000000001</v>
      </c>
      <c r="BZ115">
        <v>17.051748</v>
      </c>
      <c r="CA115">
        <v>20.118872</v>
      </c>
      <c r="CB115">
        <v>29.340533000000001</v>
      </c>
      <c r="CC115">
        <v>9.9177689999999998</v>
      </c>
      <c r="CD115">
        <v>21.468776999999999</v>
      </c>
      <c r="CE115" t="s">
        <v>273</v>
      </c>
      <c r="CF115">
        <v>17.527342000000001</v>
      </c>
      <c r="CG115">
        <v>17.248089</v>
      </c>
      <c r="CH115">
        <v>20.350529999999999</v>
      </c>
      <c r="CI115">
        <v>29.678372</v>
      </c>
      <c r="CJ115">
        <v>10.031966000000001</v>
      </c>
      <c r="CK115">
        <v>21.715978</v>
      </c>
      <c r="CL115" t="s">
        <v>273</v>
      </c>
      <c r="CM115">
        <v>494.37611299999998</v>
      </c>
      <c r="CN115">
        <v>502.380246</v>
      </c>
      <c r="CO115">
        <v>425.79231800000002</v>
      </c>
      <c r="CP115">
        <v>291.966793</v>
      </c>
      <c r="CQ115">
        <v>863.74883599999998</v>
      </c>
      <c r="CR115">
        <v>399.01952599999998</v>
      </c>
      <c r="CS115" t="s">
        <v>273</v>
      </c>
      <c r="CT115">
        <v>589.29279599999995</v>
      </c>
      <c r="CU115">
        <v>645.16967999999997</v>
      </c>
      <c r="CV115">
        <v>507.46284700000001</v>
      </c>
      <c r="CW115">
        <v>989.19150999999999</v>
      </c>
      <c r="CX115">
        <v>512.67271100000005</v>
      </c>
      <c r="CY115">
        <v>822.32729300000005</v>
      </c>
      <c r="CZ115" t="s">
        <v>273</v>
      </c>
      <c r="DA115">
        <v>3.6133899999999999</v>
      </c>
      <c r="DB115">
        <v>510.01</v>
      </c>
      <c r="DC115">
        <v>3.8929830000000001</v>
      </c>
      <c r="DD115">
        <v>864</v>
      </c>
      <c r="DE115">
        <v>3.6128300000000002</v>
      </c>
      <c r="DF115">
        <v>505</v>
      </c>
      <c r="DG115">
        <v>10.270417</v>
      </c>
      <c r="DH115">
        <v>765</v>
      </c>
      <c r="DI115">
        <v>1.7992600000000001</v>
      </c>
      <c r="DJ115">
        <v>235</v>
      </c>
      <c r="DK115">
        <v>6.2472899999999996</v>
      </c>
      <c r="DL115">
        <v>365</v>
      </c>
      <c r="DM115" t="s">
        <v>273</v>
      </c>
      <c r="DN115">
        <v>3.6521819999999998</v>
      </c>
      <c r="DO115">
        <v>8.2683669999999996</v>
      </c>
      <c r="DP115">
        <v>4.5161259999999999</v>
      </c>
      <c r="DQ115" t="s">
        <v>282</v>
      </c>
      <c r="DR115">
        <v>4.6531880000000001</v>
      </c>
      <c r="DS115">
        <v>16.414431</v>
      </c>
      <c r="DT115">
        <v>33.852114</v>
      </c>
      <c r="DU115">
        <v>91.509709000000001</v>
      </c>
      <c r="DV115">
        <v>159.08775</v>
      </c>
      <c r="DW115" t="s">
        <v>283</v>
      </c>
      <c r="DX115" t="s">
        <v>273</v>
      </c>
      <c r="DY115">
        <v>23.965689999999999</v>
      </c>
      <c r="DZ115">
        <v>2.9892999999999999E-2</v>
      </c>
      <c r="EA115">
        <v>1.639305</v>
      </c>
      <c r="EB115">
        <v>1.3387629999999999</v>
      </c>
      <c r="EC115">
        <v>81.666494999999998</v>
      </c>
      <c r="ED115">
        <v>19.113973999999999</v>
      </c>
      <c r="EE115">
        <v>809.40446999999995</v>
      </c>
      <c r="EF115">
        <v>9.2289139999999996</v>
      </c>
      <c r="EG115">
        <v>22</v>
      </c>
      <c r="EH115">
        <v>22</v>
      </c>
      <c r="EI115">
        <v>19</v>
      </c>
      <c r="EJ115">
        <v>20</v>
      </c>
      <c r="EK115" t="s">
        <v>273</v>
      </c>
      <c r="EL115" t="s">
        <v>273</v>
      </c>
      <c r="EM115">
        <v>22.521844000000002</v>
      </c>
      <c r="EN115">
        <v>1.7082E-2</v>
      </c>
      <c r="EO115">
        <v>1.686617</v>
      </c>
      <c r="EP115">
        <v>1.3153539999999999</v>
      </c>
      <c r="EQ115">
        <v>77.987690999999998</v>
      </c>
      <c r="ER115">
        <v>16.900735999999998</v>
      </c>
      <c r="ES115">
        <v>727.26797199999999</v>
      </c>
      <c r="ET115">
        <v>5.2736599999999996</v>
      </c>
      <c r="EU115">
        <v>23</v>
      </c>
      <c r="EV115">
        <v>23</v>
      </c>
      <c r="EW115">
        <v>23</v>
      </c>
      <c r="EX115">
        <v>23</v>
      </c>
      <c r="EY115" t="s">
        <v>273</v>
      </c>
      <c r="EZ115" t="s">
        <v>273</v>
      </c>
      <c r="FA115">
        <v>27.818401999999999</v>
      </c>
      <c r="FB115">
        <v>3.0188E-2</v>
      </c>
      <c r="FC115">
        <v>1.6386080000000001</v>
      </c>
      <c r="FD115">
        <v>1.33873</v>
      </c>
      <c r="FE115">
        <v>81.699184000000002</v>
      </c>
      <c r="FF115">
        <v>22.195146999999999</v>
      </c>
      <c r="FG115">
        <v>809.49494800000002</v>
      </c>
      <c r="FH115">
        <v>9.3200710000000004</v>
      </c>
      <c r="FI115">
        <v>22</v>
      </c>
      <c r="FJ115">
        <v>22</v>
      </c>
      <c r="FK115">
        <v>19</v>
      </c>
      <c r="FL115">
        <v>20</v>
      </c>
      <c r="FM115" t="s">
        <v>273</v>
      </c>
      <c r="FN115" t="s">
        <v>273</v>
      </c>
      <c r="FO115">
        <v>28.128474000000001</v>
      </c>
      <c r="FP115">
        <v>4.2678000000000001E-2</v>
      </c>
      <c r="FQ115">
        <v>3.2297229999999999</v>
      </c>
      <c r="FR115">
        <v>2.8280150000000002</v>
      </c>
      <c r="FS115">
        <v>87.562167000000002</v>
      </c>
      <c r="FT115">
        <v>24.385258</v>
      </c>
      <c r="FU115">
        <v>609.83465100000001</v>
      </c>
      <c r="FV115">
        <v>13.176121999999999</v>
      </c>
      <c r="FW115">
        <v>7</v>
      </c>
      <c r="FX115">
        <v>7</v>
      </c>
      <c r="FY115">
        <v>7</v>
      </c>
      <c r="FZ115">
        <v>7</v>
      </c>
      <c r="GA115" t="s">
        <v>273</v>
      </c>
      <c r="GB115" t="s">
        <v>273</v>
      </c>
      <c r="GC115">
        <v>31.257463999999999</v>
      </c>
      <c r="GD115">
        <v>7.1927000000000005E-2</v>
      </c>
      <c r="GE115">
        <v>1.8600840000000001</v>
      </c>
      <c r="GF115">
        <v>1.5000070000000001</v>
      </c>
      <c r="GG115">
        <v>80.641853999999995</v>
      </c>
      <c r="GH115">
        <v>24.358702000000001</v>
      </c>
      <c r="GI115">
        <v>1802.178649</v>
      </c>
      <c r="GJ115">
        <v>22.206122000000001</v>
      </c>
      <c r="GK115">
        <v>27</v>
      </c>
      <c r="GL115">
        <v>27</v>
      </c>
      <c r="GM115">
        <v>18</v>
      </c>
      <c r="GN115">
        <v>25</v>
      </c>
      <c r="GO115" t="s">
        <v>273</v>
      </c>
      <c r="GP115" t="s">
        <v>273</v>
      </c>
      <c r="GQ115">
        <v>31.066670999999999</v>
      </c>
      <c r="GR115">
        <v>8.1110000000000002E-2</v>
      </c>
      <c r="GS115">
        <v>2.9653649999999998</v>
      </c>
      <c r="GT115">
        <v>2.5787740000000001</v>
      </c>
      <c r="GU115">
        <v>86.963134999999994</v>
      </c>
      <c r="GV115">
        <v>26.598952000000001</v>
      </c>
      <c r="GW115">
        <v>909.09663599999999</v>
      </c>
      <c r="GX115">
        <v>25.041352</v>
      </c>
      <c r="GY115">
        <v>40</v>
      </c>
      <c r="GZ115">
        <v>40</v>
      </c>
      <c r="HA115">
        <v>18</v>
      </c>
      <c r="HB115">
        <v>19</v>
      </c>
      <c r="HC115" t="s">
        <v>273</v>
      </c>
      <c r="HD115" t="s">
        <v>273</v>
      </c>
      <c r="HE115">
        <v>18</v>
      </c>
      <c r="HF115">
        <v>2.9999999999999997E-4</v>
      </c>
      <c r="HG115">
        <v>3.0000000000000001E-3</v>
      </c>
      <c r="HH115">
        <v>5.5556000000000001E-2</v>
      </c>
      <c r="HI115">
        <v>7500</v>
      </c>
    </row>
    <row r="116" spans="1:217" x14ac:dyDescent="0.3">
      <c r="A116">
        <v>681</v>
      </c>
      <c r="B116" t="s">
        <v>269</v>
      </c>
      <c r="F116" t="s">
        <v>270</v>
      </c>
      <c r="G116" t="s">
        <v>293</v>
      </c>
      <c r="H116" t="s">
        <v>294</v>
      </c>
      <c r="I116">
        <v>9500</v>
      </c>
      <c r="J116">
        <v>1</v>
      </c>
      <c r="K116">
        <v>34.551561999999997</v>
      </c>
      <c r="L116">
        <v>0.22</v>
      </c>
      <c r="M116">
        <v>3.6214999999999997E-2</v>
      </c>
      <c r="N116">
        <v>0</v>
      </c>
      <c r="O116">
        <v>0</v>
      </c>
      <c r="P116">
        <v>0</v>
      </c>
      <c r="Q116">
        <v>18.149999999999999</v>
      </c>
      <c r="R116">
        <v>1</v>
      </c>
      <c r="S116">
        <v>1</v>
      </c>
      <c r="T116">
        <v>1</v>
      </c>
      <c r="U116">
        <v>1</v>
      </c>
      <c r="V116">
        <v>100</v>
      </c>
      <c r="W116" t="s">
        <v>273</v>
      </c>
      <c r="X116" t="s">
        <v>274</v>
      </c>
      <c r="Y116" t="s">
        <v>274</v>
      </c>
      <c r="Z116" t="s">
        <v>273</v>
      </c>
      <c r="AA116" t="s">
        <v>275</v>
      </c>
      <c r="AB116" t="s">
        <v>276</v>
      </c>
      <c r="AC116">
        <v>823</v>
      </c>
      <c r="AD116">
        <v>5</v>
      </c>
      <c r="AE116" t="s">
        <v>277</v>
      </c>
      <c r="AF116">
        <v>2.4069210000000001</v>
      </c>
      <c r="AG116">
        <v>100</v>
      </c>
      <c r="AH116">
        <v>21.7</v>
      </c>
      <c r="AI116">
        <v>1300</v>
      </c>
      <c r="AJ116">
        <v>800</v>
      </c>
      <c r="AK116">
        <v>1200</v>
      </c>
      <c r="AL116">
        <v>113.3</v>
      </c>
      <c r="AM116">
        <v>2.2000000000000002</v>
      </c>
      <c r="AN116" t="s">
        <v>273</v>
      </c>
      <c r="AO116" t="s">
        <v>278</v>
      </c>
      <c r="AP116" t="s">
        <v>297</v>
      </c>
      <c r="AQ116">
        <v>7</v>
      </c>
      <c r="AR116">
        <v>8</v>
      </c>
      <c r="AS116">
        <v>393.2</v>
      </c>
      <c r="AT116">
        <v>715.3</v>
      </c>
      <c r="AU116">
        <v>0.40698000000000001</v>
      </c>
      <c r="AV116">
        <v>37.200000000000003</v>
      </c>
      <c r="AW116">
        <v>231.7</v>
      </c>
      <c r="AX116" t="s">
        <v>280</v>
      </c>
      <c r="AY116">
        <v>0</v>
      </c>
      <c r="AZ116" t="s">
        <v>281</v>
      </c>
      <c r="BA116">
        <v>0.2</v>
      </c>
      <c r="BB116">
        <v>0.5</v>
      </c>
      <c r="BC116" t="s">
        <v>273</v>
      </c>
      <c r="BD116" t="s">
        <v>273</v>
      </c>
      <c r="BE116">
        <v>14.149979999999999</v>
      </c>
      <c r="BF116">
        <v>14.312908999999999</v>
      </c>
      <c r="BG116">
        <v>605.40449899999999</v>
      </c>
      <c r="BH116" t="s">
        <v>273</v>
      </c>
      <c r="BI116">
        <v>23.377383999999999</v>
      </c>
      <c r="BJ116">
        <v>23.646560999999998</v>
      </c>
      <c r="BK116">
        <v>366.44225299999999</v>
      </c>
      <c r="BL116" t="s">
        <v>273</v>
      </c>
      <c r="BM116">
        <v>23.378430999999999</v>
      </c>
      <c r="BN116">
        <v>23.64762</v>
      </c>
      <c r="BO116">
        <v>366.42584299999999</v>
      </c>
      <c r="BP116" t="s">
        <v>273</v>
      </c>
      <c r="BQ116">
        <v>13.524635999999999</v>
      </c>
      <c r="BR116">
        <v>13.680365</v>
      </c>
      <c r="BS116">
        <v>633.39680499999997</v>
      </c>
      <c r="BT116" t="s">
        <v>273</v>
      </c>
      <c r="BU116">
        <v>3.8707280000000002</v>
      </c>
      <c r="BV116">
        <v>3.9152969999999998</v>
      </c>
      <c r="BW116">
        <v>2213.1394209999999</v>
      </c>
      <c r="BX116" t="s">
        <v>273</v>
      </c>
      <c r="BY116">
        <v>13.737863000000001</v>
      </c>
      <c r="BZ116">
        <v>13.508172</v>
      </c>
      <c r="CA116">
        <v>15.942461</v>
      </c>
      <c r="CB116">
        <v>23.378430999999999</v>
      </c>
      <c r="CC116">
        <v>7.8561759999999996</v>
      </c>
      <c r="CD116">
        <v>17.073081999999999</v>
      </c>
      <c r="CE116" t="s">
        <v>273</v>
      </c>
      <c r="CF116">
        <v>13.896046999999999</v>
      </c>
      <c r="CG116">
        <v>13.663710999999999</v>
      </c>
      <c r="CH116">
        <v>16.126028999999999</v>
      </c>
      <c r="CI116">
        <v>23.64762</v>
      </c>
      <c r="CJ116">
        <v>7.9466359999999998</v>
      </c>
      <c r="CK116">
        <v>17.269669</v>
      </c>
      <c r="CL116" t="s">
        <v>273</v>
      </c>
      <c r="CM116">
        <v>623.56577700000003</v>
      </c>
      <c r="CN116">
        <v>634.168815</v>
      </c>
      <c r="CO116">
        <v>537.33620199999996</v>
      </c>
      <c r="CP116">
        <v>366.42584299999999</v>
      </c>
      <c r="CQ116">
        <v>1090.411026</v>
      </c>
      <c r="CR116">
        <v>501.752475</v>
      </c>
      <c r="CS116" t="s">
        <v>273</v>
      </c>
      <c r="CT116">
        <v>743.34879699999999</v>
      </c>
      <c r="CU116">
        <v>814.35996999999998</v>
      </c>
      <c r="CV116">
        <v>640.45854999999995</v>
      </c>
      <c r="CW116">
        <v>1241.4456070000001</v>
      </c>
      <c r="CX116">
        <v>647.295973</v>
      </c>
      <c r="CY116">
        <v>1034.021931</v>
      </c>
      <c r="CZ116" t="s">
        <v>273</v>
      </c>
      <c r="DA116">
        <v>3.6136949999999999</v>
      </c>
      <c r="DB116">
        <v>510.01</v>
      </c>
      <c r="DC116">
        <v>3.8927160000000001</v>
      </c>
      <c r="DD116">
        <v>864</v>
      </c>
      <c r="DE116">
        <v>3.6131509999999998</v>
      </c>
      <c r="DF116">
        <v>505</v>
      </c>
      <c r="DG116">
        <v>10.270291</v>
      </c>
      <c r="DH116">
        <v>765</v>
      </c>
      <c r="DI116">
        <v>1.7995080000000001</v>
      </c>
      <c r="DJ116">
        <v>235</v>
      </c>
      <c r="DK116">
        <v>6.2471420000000002</v>
      </c>
      <c r="DL116">
        <v>365</v>
      </c>
      <c r="DM116" t="s">
        <v>273</v>
      </c>
      <c r="DN116">
        <v>3.8325960000000001</v>
      </c>
      <c r="DO116">
        <v>8.6644330000000007</v>
      </c>
      <c r="DP116">
        <v>4.9844600000000003</v>
      </c>
      <c r="DQ116" t="s">
        <v>282</v>
      </c>
      <c r="DR116">
        <v>5.1282719999999999</v>
      </c>
      <c r="DS116">
        <v>16.684280000000001</v>
      </c>
      <c r="DT116">
        <v>35.461444999999998</v>
      </c>
      <c r="DU116">
        <v>91.908546000000001</v>
      </c>
      <c r="DV116">
        <v>153.69554199999999</v>
      </c>
      <c r="DW116" t="s">
        <v>283</v>
      </c>
      <c r="DX116" t="s">
        <v>273</v>
      </c>
      <c r="DY116">
        <v>24.364483</v>
      </c>
      <c r="DZ116">
        <v>2.9721000000000001E-2</v>
      </c>
      <c r="EA116">
        <v>2.1022699999999999</v>
      </c>
      <c r="EB116">
        <v>1.695851</v>
      </c>
      <c r="EC116">
        <v>80.667621999999994</v>
      </c>
      <c r="ED116">
        <v>19.187732</v>
      </c>
      <c r="EE116">
        <v>1024.8561179999999</v>
      </c>
      <c r="EF116">
        <v>11.686503999999999</v>
      </c>
      <c r="EG116">
        <v>13</v>
      </c>
      <c r="EH116">
        <v>13</v>
      </c>
      <c r="EI116">
        <v>13</v>
      </c>
      <c r="EJ116">
        <v>13</v>
      </c>
      <c r="EK116" t="s">
        <v>273</v>
      </c>
      <c r="EL116" t="s">
        <v>273</v>
      </c>
      <c r="EM116">
        <v>22.843847</v>
      </c>
      <c r="EN116">
        <v>1.6988E-2</v>
      </c>
      <c r="EO116">
        <v>2.159357</v>
      </c>
      <c r="EP116">
        <v>1.6710879999999999</v>
      </c>
      <c r="EQ116">
        <v>77.388228999999995</v>
      </c>
      <c r="ER116">
        <v>16.960197000000001</v>
      </c>
      <c r="ES116">
        <v>921.28124200000002</v>
      </c>
      <c r="ET116">
        <v>6.6800550000000003</v>
      </c>
      <c r="EU116">
        <v>19</v>
      </c>
      <c r="EV116">
        <v>19</v>
      </c>
      <c r="EW116">
        <v>19</v>
      </c>
      <c r="EX116">
        <v>19</v>
      </c>
      <c r="EY116" t="s">
        <v>273</v>
      </c>
      <c r="EZ116" t="s">
        <v>273</v>
      </c>
      <c r="FA116">
        <v>28.269703</v>
      </c>
      <c r="FB116">
        <v>3.0013999999999999E-2</v>
      </c>
      <c r="FC116">
        <v>2.101604</v>
      </c>
      <c r="FD116">
        <v>1.6957899999999999</v>
      </c>
      <c r="FE116">
        <v>80.690280999999999</v>
      </c>
      <c r="FF116">
        <v>22.269168000000001</v>
      </c>
      <c r="FG116">
        <v>1024.963585</v>
      </c>
      <c r="FH116">
        <v>11.801902</v>
      </c>
      <c r="FI116">
        <v>13</v>
      </c>
      <c r="FJ116">
        <v>13</v>
      </c>
      <c r="FK116">
        <v>13</v>
      </c>
      <c r="FL116">
        <v>13</v>
      </c>
      <c r="FM116" t="s">
        <v>273</v>
      </c>
      <c r="FN116" t="s">
        <v>273</v>
      </c>
      <c r="FO116">
        <v>28.583532999999999</v>
      </c>
      <c r="FP116">
        <v>4.2394000000000001E-2</v>
      </c>
      <c r="FQ116">
        <v>4.1189099999999996</v>
      </c>
      <c r="FR116">
        <v>3.576686</v>
      </c>
      <c r="FS116">
        <v>86.835747999999995</v>
      </c>
      <c r="FT116">
        <v>24.582032000000002</v>
      </c>
      <c r="FU116">
        <v>771.53408100000001</v>
      </c>
      <c r="FV116">
        <v>16.669605000000001</v>
      </c>
      <c r="FW116">
        <v>8</v>
      </c>
      <c r="FX116">
        <v>8</v>
      </c>
      <c r="FY116">
        <v>8</v>
      </c>
      <c r="FZ116">
        <v>8</v>
      </c>
      <c r="GA116" t="s">
        <v>273</v>
      </c>
      <c r="GB116" t="s">
        <v>273</v>
      </c>
      <c r="GC116">
        <v>32.016593999999998</v>
      </c>
      <c r="GD116">
        <v>7.1567000000000006E-2</v>
      </c>
      <c r="GE116">
        <v>2.4055629999999999</v>
      </c>
      <c r="GF116">
        <v>1.9003289999999999</v>
      </c>
      <c r="GG116">
        <v>78.997263000000004</v>
      </c>
      <c r="GH116">
        <v>24.448875999999998</v>
      </c>
      <c r="GI116">
        <v>2283.5232930000002</v>
      </c>
      <c r="GJ116">
        <v>28.141048999999999</v>
      </c>
      <c r="GK116">
        <v>24</v>
      </c>
      <c r="GL116">
        <v>24</v>
      </c>
      <c r="GM116">
        <v>17</v>
      </c>
      <c r="GN116">
        <v>23</v>
      </c>
      <c r="GO116" t="s">
        <v>273</v>
      </c>
      <c r="GP116" t="s">
        <v>273</v>
      </c>
      <c r="GQ116">
        <v>31.567722</v>
      </c>
      <c r="GR116">
        <v>8.0697000000000005E-2</v>
      </c>
      <c r="GS116">
        <v>3.7888869999999999</v>
      </c>
      <c r="GT116">
        <v>3.2649119999999998</v>
      </c>
      <c r="GU116">
        <v>86.170739999999995</v>
      </c>
      <c r="GV116">
        <v>26.804290999999999</v>
      </c>
      <c r="GW116">
        <v>1151.9811070000001</v>
      </c>
      <c r="GX116">
        <v>31.730926</v>
      </c>
      <c r="GY116">
        <v>54</v>
      </c>
      <c r="GZ116">
        <v>54</v>
      </c>
      <c r="HA116">
        <v>35</v>
      </c>
      <c r="HB116">
        <v>35</v>
      </c>
      <c r="HC116" t="s">
        <v>273</v>
      </c>
      <c r="HD116" t="s">
        <v>273</v>
      </c>
      <c r="HE116">
        <v>18</v>
      </c>
      <c r="HF116">
        <v>2.9999999999999997E-4</v>
      </c>
      <c r="HG116">
        <v>3.0000000000000001E-3</v>
      </c>
      <c r="HH116">
        <v>5.5556000000000001E-2</v>
      </c>
      <c r="HI116">
        <v>9500</v>
      </c>
    </row>
    <row r="117" spans="1:217" x14ac:dyDescent="0.3">
      <c r="A117">
        <v>682</v>
      </c>
      <c r="B117" t="s">
        <v>269</v>
      </c>
      <c r="F117" t="s">
        <v>270</v>
      </c>
      <c r="G117" t="s">
        <v>293</v>
      </c>
      <c r="H117" t="s">
        <v>294</v>
      </c>
      <c r="I117">
        <v>9500</v>
      </c>
      <c r="J117">
        <v>1</v>
      </c>
      <c r="K117">
        <v>34.551561999999997</v>
      </c>
      <c r="L117">
        <v>0.22</v>
      </c>
      <c r="M117">
        <v>3.6214999999999997E-2</v>
      </c>
      <c r="N117">
        <v>0</v>
      </c>
      <c r="O117">
        <v>0</v>
      </c>
      <c r="P117">
        <v>0</v>
      </c>
      <c r="Q117">
        <v>18.149999999999999</v>
      </c>
      <c r="R117">
        <v>1</v>
      </c>
      <c r="S117">
        <v>1</v>
      </c>
      <c r="T117">
        <v>1</v>
      </c>
      <c r="U117">
        <v>1</v>
      </c>
      <c r="V117">
        <v>100</v>
      </c>
      <c r="W117" t="s">
        <v>273</v>
      </c>
      <c r="X117" t="s">
        <v>274</v>
      </c>
      <c r="Y117" t="s">
        <v>274</v>
      </c>
      <c r="Z117" t="s">
        <v>273</v>
      </c>
      <c r="AA117" t="s">
        <v>275</v>
      </c>
      <c r="AB117" t="s">
        <v>276</v>
      </c>
      <c r="AC117">
        <v>469</v>
      </c>
      <c r="AD117">
        <v>5</v>
      </c>
      <c r="AE117" t="s">
        <v>277</v>
      </c>
      <c r="AF117">
        <v>2.962364</v>
      </c>
      <c r="AG117">
        <v>100</v>
      </c>
      <c r="AH117">
        <v>26.7</v>
      </c>
      <c r="AI117">
        <v>1600</v>
      </c>
      <c r="AJ117">
        <v>800</v>
      </c>
      <c r="AK117">
        <v>1200</v>
      </c>
      <c r="AL117">
        <v>150</v>
      </c>
      <c r="AM117">
        <v>2.2000000000000002</v>
      </c>
      <c r="AN117" t="s">
        <v>273</v>
      </c>
      <c r="AO117" t="s">
        <v>278</v>
      </c>
      <c r="AP117" t="s">
        <v>295</v>
      </c>
      <c r="AQ117">
        <v>4</v>
      </c>
      <c r="AR117">
        <v>8</v>
      </c>
      <c r="AS117">
        <v>224.3</v>
      </c>
      <c r="AT117">
        <v>408</v>
      </c>
      <c r="AU117">
        <v>0.23255999999999999</v>
      </c>
      <c r="AV117">
        <v>36.299999999999997</v>
      </c>
      <c r="AW117">
        <v>237</v>
      </c>
      <c r="AX117" t="s">
        <v>280</v>
      </c>
      <c r="AY117">
        <v>0</v>
      </c>
      <c r="AZ117" t="s">
        <v>281</v>
      </c>
      <c r="BA117">
        <v>0.2</v>
      </c>
      <c r="BB117">
        <v>0.5</v>
      </c>
      <c r="BC117" t="s">
        <v>273</v>
      </c>
      <c r="BD117" t="s">
        <v>273</v>
      </c>
      <c r="BE117">
        <v>15.963794</v>
      </c>
      <c r="BF117">
        <v>16.147608000000002</v>
      </c>
      <c r="BG117">
        <v>536.61811899999998</v>
      </c>
      <c r="BH117" t="s">
        <v>273</v>
      </c>
      <c r="BI117">
        <v>25.198253000000001</v>
      </c>
      <c r="BJ117">
        <v>25.488396999999999</v>
      </c>
      <c r="BK117">
        <v>339.96250300000003</v>
      </c>
      <c r="BL117" t="s">
        <v>273</v>
      </c>
      <c r="BM117">
        <v>25.199463999999999</v>
      </c>
      <c r="BN117">
        <v>25.489621</v>
      </c>
      <c r="BO117">
        <v>339.94617699999998</v>
      </c>
      <c r="BP117" t="s">
        <v>273</v>
      </c>
      <c r="BQ117">
        <v>13.509933</v>
      </c>
      <c r="BR117">
        <v>13.665492</v>
      </c>
      <c r="BS117">
        <v>634.08614299999999</v>
      </c>
      <c r="BT117" t="s">
        <v>273</v>
      </c>
      <c r="BU117">
        <v>5.2819599999999998</v>
      </c>
      <c r="BV117">
        <v>5.3427790000000002</v>
      </c>
      <c r="BW117">
        <v>1621.8338120000001</v>
      </c>
      <c r="BX117" t="s">
        <v>273</v>
      </c>
      <c r="BY117">
        <v>14.927363</v>
      </c>
      <c r="BZ117">
        <v>15.76867</v>
      </c>
      <c r="CA117">
        <v>17.272003999999999</v>
      </c>
      <c r="CB117">
        <v>25.199463999999999</v>
      </c>
      <c r="CC117">
        <v>7.6825229999999998</v>
      </c>
      <c r="CD117">
        <v>17.261531999999999</v>
      </c>
      <c r="CE117" t="s">
        <v>273</v>
      </c>
      <c r="CF117">
        <v>15.099243</v>
      </c>
      <c r="CG117">
        <v>15.950237</v>
      </c>
      <c r="CH117">
        <v>17.470880999999999</v>
      </c>
      <c r="CI117">
        <v>25.489621</v>
      </c>
      <c r="CJ117">
        <v>7.7709830000000002</v>
      </c>
      <c r="CK117">
        <v>17.460287999999998</v>
      </c>
      <c r="CL117" t="s">
        <v>273</v>
      </c>
      <c r="CM117">
        <v>573.87638900000002</v>
      </c>
      <c r="CN117">
        <v>543.25832700000001</v>
      </c>
      <c r="CO117">
        <v>495.97380199999998</v>
      </c>
      <c r="CP117">
        <v>339.94617699999998</v>
      </c>
      <c r="CQ117">
        <v>1115.058276</v>
      </c>
      <c r="CR117">
        <v>496.27469400000001</v>
      </c>
      <c r="CS117" t="s">
        <v>273</v>
      </c>
      <c r="CT117">
        <v>683.37509299999999</v>
      </c>
      <c r="CU117">
        <v>695.99662899999998</v>
      </c>
      <c r="CV117">
        <v>590.51524500000005</v>
      </c>
      <c r="CW117">
        <v>1151.5414189999999</v>
      </c>
      <c r="CX117">
        <v>657.56824300000005</v>
      </c>
      <c r="CY117">
        <v>1021.409781</v>
      </c>
      <c r="CZ117" t="s">
        <v>273</v>
      </c>
      <c r="DA117">
        <v>3.6097899999999998</v>
      </c>
      <c r="DB117">
        <v>510.01</v>
      </c>
      <c r="DC117">
        <v>3.8836659999999998</v>
      </c>
      <c r="DD117">
        <v>864</v>
      </c>
      <c r="DE117">
        <v>3.6092209999999998</v>
      </c>
      <c r="DF117">
        <v>505</v>
      </c>
      <c r="DG117">
        <v>10.268584000000001</v>
      </c>
      <c r="DH117">
        <v>765</v>
      </c>
      <c r="DI117">
        <v>1.787658</v>
      </c>
      <c r="DJ117">
        <v>235</v>
      </c>
      <c r="DK117">
        <v>6.239058</v>
      </c>
      <c r="DL117">
        <v>365</v>
      </c>
      <c r="DM117" t="s">
        <v>273</v>
      </c>
      <c r="DN117">
        <v>5.2372329999999998</v>
      </c>
      <c r="DO117">
        <v>13.433494</v>
      </c>
      <c r="DP117">
        <v>6.9199219999999997</v>
      </c>
      <c r="DQ117" t="s">
        <v>282</v>
      </c>
      <c r="DR117">
        <v>7.6084709999999998</v>
      </c>
      <c r="DS117">
        <v>19.855885000000001</v>
      </c>
      <c r="DT117">
        <v>47.817771999999998</v>
      </c>
      <c r="DU117">
        <v>75.824685000000002</v>
      </c>
      <c r="DV117">
        <v>124.392059</v>
      </c>
      <c r="DW117" t="s">
        <v>283</v>
      </c>
      <c r="DX117" t="s">
        <v>273</v>
      </c>
      <c r="DY117">
        <v>26.145268999999999</v>
      </c>
      <c r="DZ117">
        <v>5.2097999999999998E-2</v>
      </c>
      <c r="EA117">
        <v>2.073915</v>
      </c>
      <c r="EB117">
        <v>1.6879010000000001</v>
      </c>
      <c r="EC117">
        <v>81.387203</v>
      </c>
      <c r="ED117">
        <v>20.8657</v>
      </c>
      <c r="EE117">
        <v>1025.6710350000001</v>
      </c>
      <c r="EF117">
        <v>11.683157</v>
      </c>
      <c r="EG117">
        <v>23</v>
      </c>
      <c r="EH117">
        <v>23</v>
      </c>
      <c r="EI117">
        <v>22</v>
      </c>
      <c r="EJ117">
        <v>23</v>
      </c>
      <c r="EK117" t="s">
        <v>273</v>
      </c>
      <c r="EL117" t="s">
        <v>273</v>
      </c>
      <c r="EM117">
        <v>26.371718000000001</v>
      </c>
      <c r="EN117">
        <v>2.9737E-2</v>
      </c>
      <c r="EO117">
        <v>2.1305130000000001</v>
      </c>
      <c r="EP117">
        <v>1.646749</v>
      </c>
      <c r="EQ117">
        <v>77.293512000000007</v>
      </c>
      <c r="ER117">
        <v>19.810853999999999</v>
      </c>
      <c r="ES117">
        <v>921.86260500000003</v>
      </c>
      <c r="ET117">
        <v>6.6687310000000002</v>
      </c>
      <c r="EU117">
        <v>27</v>
      </c>
      <c r="EV117">
        <v>27</v>
      </c>
      <c r="EW117">
        <v>26</v>
      </c>
      <c r="EX117">
        <v>27</v>
      </c>
      <c r="EY117" t="s">
        <v>273</v>
      </c>
      <c r="EZ117" t="s">
        <v>273</v>
      </c>
      <c r="FA117">
        <v>30.255817</v>
      </c>
      <c r="FB117">
        <v>5.2611999999999999E-2</v>
      </c>
      <c r="FC117">
        <v>2.0738560000000001</v>
      </c>
      <c r="FD117">
        <v>1.6878169999999999</v>
      </c>
      <c r="FE117">
        <v>81.385429999999999</v>
      </c>
      <c r="FF117">
        <v>24.145589000000001</v>
      </c>
      <c r="FG117">
        <v>1025.7824330000001</v>
      </c>
      <c r="FH117">
        <v>11.798486</v>
      </c>
      <c r="FI117">
        <v>23</v>
      </c>
      <c r="FJ117">
        <v>23</v>
      </c>
      <c r="FK117">
        <v>22</v>
      </c>
      <c r="FL117">
        <v>23</v>
      </c>
      <c r="FM117" t="s">
        <v>273</v>
      </c>
      <c r="FN117" t="s">
        <v>273</v>
      </c>
      <c r="FO117">
        <v>30.617937999999999</v>
      </c>
      <c r="FP117">
        <v>7.4253E-2</v>
      </c>
      <c r="FQ117">
        <v>4.0925520000000004</v>
      </c>
      <c r="FR117">
        <v>3.568133</v>
      </c>
      <c r="FS117">
        <v>87.186010999999993</v>
      </c>
      <c r="FT117">
        <v>26.472514</v>
      </c>
      <c r="FU117">
        <v>770.82653300000004</v>
      </c>
      <c r="FV117">
        <v>16.651548999999999</v>
      </c>
      <c r="FW117">
        <v>20</v>
      </c>
      <c r="FX117">
        <v>20</v>
      </c>
      <c r="FY117">
        <v>19</v>
      </c>
      <c r="FZ117">
        <v>18</v>
      </c>
      <c r="GA117" t="s">
        <v>273</v>
      </c>
      <c r="GB117" t="s">
        <v>273</v>
      </c>
      <c r="GC117">
        <v>30.600655</v>
      </c>
      <c r="GD117">
        <v>0.125475</v>
      </c>
      <c r="GE117">
        <v>2.3356629999999998</v>
      </c>
      <c r="GF117">
        <v>1.889238</v>
      </c>
      <c r="GG117">
        <v>80.886587000000006</v>
      </c>
      <c r="GH117">
        <v>24.064546</v>
      </c>
      <c r="GI117">
        <v>2298.4331470000002</v>
      </c>
      <c r="GJ117">
        <v>28.138263999999999</v>
      </c>
      <c r="GK117">
        <v>24</v>
      </c>
      <c r="GL117">
        <v>24</v>
      </c>
      <c r="GM117">
        <v>15</v>
      </c>
      <c r="GN117">
        <v>24</v>
      </c>
      <c r="GO117" t="s">
        <v>273</v>
      </c>
      <c r="GP117" t="s">
        <v>273</v>
      </c>
      <c r="GQ117">
        <v>31.596798</v>
      </c>
      <c r="GR117">
        <v>0.140712</v>
      </c>
      <c r="GS117">
        <v>3.746121</v>
      </c>
      <c r="GT117">
        <v>3.2384900000000001</v>
      </c>
      <c r="GU117">
        <v>86.449157999999997</v>
      </c>
      <c r="GV117">
        <v>26.985047000000002</v>
      </c>
      <c r="GW117">
        <v>1147.0880139999999</v>
      </c>
      <c r="GX117">
        <v>31.555261999999999</v>
      </c>
      <c r="GY117">
        <v>46</v>
      </c>
      <c r="GZ117">
        <v>46</v>
      </c>
      <c r="HA117">
        <v>37</v>
      </c>
      <c r="HB117">
        <v>38</v>
      </c>
      <c r="HC117" t="s">
        <v>273</v>
      </c>
      <c r="HD117" t="s">
        <v>273</v>
      </c>
      <c r="HE117">
        <v>31</v>
      </c>
      <c r="HF117">
        <v>2.9999999999999997E-4</v>
      </c>
      <c r="HG117">
        <v>3.0000000000000001E-3</v>
      </c>
      <c r="HH117">
        <v>3.2258000000000002E-2</v>
      </c>
      <c r="HI117">
        <v>9500</v>
      </c>
    </row>
    <row r="118" spans="1:217" x14ac:dyDescent="0.3">
      <c r="A118">
        <v>697</v>
      </c>
      <c r="B118" t="s">
        <v>269</v>
      </c>
      <c r="F118" t="s">
        <v>270</v>
      </c>
      <c r="G118" t="s">
        <v>293</v>
      </c>
      <c r="H118" t="s">
        <v>294</v>
      </c>
      <c r="I118">
        <v>5500</v>
      </c>
      <c r="J118">
        <v>1</v>
      </c>
      <c r="K118">
        <v>14.317187000000001</v>
      </c>
      <c r="L118">
        <v>0.22</v>
      </c>
      <c r="M118">
        <v>3.0550999999999998E-2</v>
      </c>
      <c r="N118">
        <v>0</v>
      </c>
      <c r="O118">
        <v>0</v>
      </c>
      <c r="P118">
        <v>0</v>
      </c>
      <c r="Q118">
        <v>13.56</v>
      </c>
      <c r="R118">
        <v>1</v>
      </c>
      <c r="S118">
        <v>1</v>
      </c>
      <c r="T118">
        <v>1</v>
      </c>
      <c r="U118">
        <v>1</v>
      </c>
      <c r="V118">
        <v>100</v>
      </c>
      <c r="W118" t="s">
        <v>273</v>
      </c>
      <c r="X118" t="s">
        <v>274</v>
      </c>
      <c r="Y118" t="s">
        <v>274</v>
      </c>
      <c r="Z118" t="s">
        <v>273</v>
      </c>
      <c r="AA118" t="s">
        <v>275</v>
      </c>
      <c r="AB118" t="s">
        <v>276</v>
      </c>
      <c r="AC118">
        <v>469</v>
      </c>
      <c r="AD118">
        <v>5</v>
      </c>
      <c r="AE118" t="s">
        <v>277</v>
      </c>
      <c r="AF118">
        <v>2.962364</v>
      </c>
      <c r="AG118">
        <v>100</v>
      </c>
      <c r="AH118">
        <v>26.7</v>
      </c>
      <c r="AI118">
        <v>1600</v>
      </c>
      <c r="AJ118">
        <v>800</v>
      </c>
      <c r="AK118">
        <v>1200</v>
      </c>
      <c r="AL118">
        <v>150</v>
      </c>
      <c r="AM118">
        <v>2.2000000000000002</v>
      </c>
      <c r="AN118" t="s">
        <v>273</v>
      </c>
      <c r="AO118" t="s">
        <v>278</v>
      </c>
      <c r="AP118" t="s">
        <v>295</v>
      </c>
      <c r="AQ118">
        <v>4</v>
      </c>
      <c r="AR118">
        <v>8</v>
      </c>
      <c r="AS118">
        <v>224.3</v>
      </c>
      <c r="AT118">
        <v>408</v>
      </c>
      <c r="AU118">
        <v>0.23255999999999999</v>
      </c>
      <c r="AV118">
        <v>36.299999999999997</v>
      </c>
      <c r="AW118">
        <v>237</v>
      </c>
      <c r="AX118" t="s">
        <v>280</v>
      </c>
      <c r="AY118">
        <v>0</v>
      </c>
      <c r="AZ118" t="s">
        <v>281</v>
      </c>
      <c r="BA118">
        <v>0.2</v>
      </c>
      <c r="BB118">
        <v>0.5</v>
      </c>
      <c r="BC118" t="s">
        <v>273</v>
      </c>
      <c r="BD118" t="s">
        <v>273</v>
      </c>
      <c r="BE118">
        <v>22.868261</v>
      </c>
      <c r="BF118">
        <v>23.131575999999999</v>
      </c>
      <c r="BG118">
        <v>374.60047400000002</v>
      </c>
      <c r="BH118" t="s">
        <v>273</v>
      </c>
      <c r="BI118">
        <v>33.579369</v>
      </c>
      <c r="BJ118">
        <v>33.966017000000001</v>
      </c>
      <c r="BK118">
        <v>255.11084399999999</v>
      </c>
      <c r="BL118" t="s">
        <v>273</v>
      </c>
      <c r="BM118">
        <v>33.581181000000001</v>
      </c>
      <c r="BN118">
        <v>33.967849000000001</v>
      </c>
      <c r="BO118">
        <v>255.09708000000001</v>
      </c>
      <c r="BP118" t="s">
        <v>273</v>
      </c>
      <c r="BQ118">
        <v>19.956737</v>
      </c>
      <c r="BR118">
        <v>20.186527999999999</v>
      </c>
      <c r="BS118">
        <v>429.25158900000002</v>
      </c>
      <c r="BT118" t="s">
        <v>273</v>
      </c>
      <c r="BU118">
        <v>6.1785319999999997</v>
      </c>
      <c r="BV118">
        <v>6.2496749999999999</v>
      </c>
      <c r="BW118">
        <v>1386.4880470000001</v>
      </c>
      <c r="BX118" t="s">
        <v>273</v>
      </c>
      <c r="BY118">
        <v>21.653461</v>
      </c>
      <c r="BZ118">
        <v>22.303175</v>
      </c>
      <c r="CA118">
        <v>25.136019000000001</v>
      </c>
      <c r="CB118">
        <v>33.581181000000001</v>
      </c>
      <c r="CC118">
        <v>12.905303</v>
      </c>
      <c r="CD118">
        <v>23.683888</v>
      </c>
      <c r="CE118" t="s">
        <v>273</v>
      </c>
      <c r="CF118">
        <v>21.902788000000001</v>
      </c>
      <c r="CG118">
        <v>22.559984</v>
      </c>
      <c r="CH118">
        <v>25.425446000000001</v>
      </c>
      <c r="CI118">
        <v>33.967849000000001</v>
      </c>
      <c r="CJ118">
        <v>13.053900000000001</v>
      </c>
      <c r="CK118">
        <v>23.956593999999999</v>
      </c>
      <c r="CL118" t="s">
        <v>273</v>
      </c>
      <c r="CM118">
        <v>395.61626799999999</v>
      </c>
      <c r="CN118">
        <v>384.09155299999998</v>
      </c>
      <c r="CO118">
        <v>340.80422099999998</v>
      </c>
      <c r="CP118">
        <v>255.09708000000001</v>
      </c>
      <c r="CQ118">
        <v>663.79387899999995</v>
      </c>
      <c r="CR118">
        <v>361.69996099999997</v>
      </c>
      <c r="CS118" t="s">
        <v>273</v>
      </c>
      <c r="CT118">
        <v>471.50419399999998</v>
      </c>
      <c r="CU118">
        <v>493.17196200000001</v>
      </c>
      <c r="CV118">
        <v>406.11555900000002</v>
      </c>
      <c r="CW118">
        <v>864.22132399999998</v>
      </c>
      <c r="CX118">
        <v>393.93708400000003</v>
      </c>
      <c r="CY118">
        <v>745.29365299999995</v>
      </c>
      <c r="CZ118" t="s">
        <v>273</v>
      </c>
      <c r="DA118">
        <v>3.6128719999999999</v>
      </c>
      <c r="DB118">
        <v>510.01</v>
      </c>
      <c r="DC118">
        <v>3.8922859999999999</v>
      </c>
      <c r="DD118">
        <v>864</v>
      </c>
      <c r="DE118">
        <v>3.612317</v>
      </c>
      <c r="DF118">
        <v>505</v>
      </c>
      <c r="DG118">
        <v>10.269767999999999</v>
      </c>
      <c r="DH118">
        <v>765</v>
      </c>
      <c r="DI118">
        <v>1.799015</v>
      </c>
      <c r="DJ118">
        <v>235</v>
      </c>
      <c r="DK118">
        <v>6.2462609999999996</v>
      </c>
      <c r="DL118">
        <v>365</v>
      </c>
      <c r="DM118" t="s">
        <v>273</v>
      </c>
      <c r="DN118">
        <v>3.5367250000000001</v>
      </c>
      <c r="DO118">
        <v>8.0918530000000004</v>
      </c>
      <c r="DP118">
        <v>4.2608050000000004</v>
      </c>
      <c r="DQ118" t="s">
        <v>282</v>
      </c>
      <c r="DR118">
        <v>4.7196009999999999</v>
      </c>
      <c r="DS118">
        <v>16.377642999999999</v>
      </c>
      <c r="DT118">
        <v>33.449902000000002</v>
      </c>
      <c r="DU118">
        <v>90.164102999999997</v>
      </c>
      <c r="DV118">
        <v>140.85418100000001</v>
      </c>
      <c r="DW118" t="s">
        <v>283</v>
      </c>
      <c r="DX118" t="s">
        <v>273</v>
      </c>
      <c r="DY118">
        <v>23.405151</v>
      </c>
      <c r="DZ118">
        <v>3.2695000000000002E-2</v>
      </c>
      <c r="EA118">
        <v>1.2809600000000001</v>
      </c>
      <c r="EB118">
        <v>1.060819</v>
      </c>
      <c r="EC118">
        <v>82.814368999999999</v>
      </c>
      <c r="ED118">
        <v>18.979068999999999</v>
      </c>
      <c r="EE118">
        <v>643.140218</v>
      </c>
      <c r="EF118">
        <v>7.3321009999999998</v>
      </c>
      <c r="EG118">
        <v>24</v>
      </c>
      <c r="EH118">
        <v>24</v>
      </c>
      <c r="EI118">
        <v>20</v>
      </c>
      <c r="EJ118">
        <v>23</v>
      </c>
      <c r="EK118" t="s">
        <v>273</v>
      </c>
      <c r="EL118" t="s">
        <v>273</v>
      </c>
      <c r="EM118">
        <v>21.708898000000001</v>
      </c>
      <c r="EN118">
        <v>1.7447000000000001E-2</v>
      </c>
      <c r="EO118">
        <v>1.2427239999999999</v>
      </c>
      <c r="EP118">
        <v>0.97417600000000004</v>
      </c>
      <c r="EQ118">
        <v>78.390366999999998</v>
      </c>
      <c r="ER118">
        <v>16.403314000000002</v>
      </c>
      <c r="ES118">
        <v>539.66270199999997</v>
      </c>
      <c r="ET118">
        <v>3.9125719999999999</v>
      </c>
      <c r="EU118">
        <v>25</v>
      </c>
      <c r="EV118">
        <v>25</v>
      </c>
      <c r="EW118">
        <v>25</v>
      </c>
      <c r="EX118">
        <v>25</v>
      </c>
      <c r="EY118" t="s">
        <v>273</v>
      </c>
      <c r="EZ118" t="s">
        <v>273</v>
      </c>
      <c r="FA118">
        <v>27.16094</v>
      </c>
      <c r="FB118">
        <v>3.3017999999999999E-2</v>
      </c>
      <c r="FC118">
        <v>1.2803629999999999</v>
      </c>
      <c r="FD118">
        <v>1.0607740000000001</v>
      </c>
      <c r="FE118">
        <v>82.849495000000005</v>
      </c>
      <c r="FF118">
        <v>22.033878999999999</v>
      </c>
      <c r="FG118">
        <v>643.21254199999998</v>
      </c>
      <c r="FH118">
        <v>7.4045350000000001</v>
      </c>
      <c r="FI118">
        <v>24</v>
      </c>
      <c r="FJ118">
        <v>24</v>
      </c>
      <c r="FK118">
        <v>20</v>
      </c>
      <c r="FL118">
        <v>23</v>
      </c>
      <c r="FM118" t="s">
        <v>273</v>
      </c>
      <c r="FN118" t="s">
        <v>273</v>
      </c>
      <c r="FO118">
        <v>28.553899999999999</v>
      </c>
      <c r="FP118">
        <v>5.2322E-2</v>
      </c>
      <c r="FQ118">
        <v>2.8643700000000001</v>
      </c>
      <c r="FR118">
        <v>2.5138370000000001</v>
      </c>
      <c r="FS118">
        <v>87.762320000000003</v>
      </c>
      <c r="FT118">
        <v>24.855498000000001</v>
      </c>
      <c r="FU118">
        <v>543.09929</v>
      </c>
      <c r="FV118">
        <v>11.733492999999999</v>
      </c>
      <c r="FW118">
        <v>8</v>
      </c>
      <c r="FX118">
        <v>8</v>
      </c>
      <c r="FY118">
        <v>8</v>
      </c>
      <c r="FZ118">
        <v>8</v>
      </c>
      <c r="GA118" t="s">
        <v>273</v>
      </c>
      <c r="GB118" t="s">
        <v>273</v>
      </c>
      <c r="GC118">
        <v>30.553408000000001</v>
      </c>
      <c r="GD118">
        <v>7.5370000000000006E-2</v>
      </c>
      <c r="GE118">
        <v>1.3970929999999999</v>
      </c>
      <c r="GF118">
        <v>1.1413759999999999</v>
      </c>
      <c r="GG118">
        <v>81.696511000000001</v>
      </c>
      <c r="GH118">
        <v>24.128691</v>
      </c>
      <c r="GI118">
        <v>1371.9032199999999</v>
      </c>
      <c r="GJ118">
        <v>16.902045000000001</v>
      </c>
      <c r="GK118">
        <v>29</v>
      </c>
      <c r="GL118">
        <v>29</v>
      </c>
      <c r="GM118">
        <v>16</v>
      </c>
      <c r="GN118">
        <v>26</v>
      </c>
      <c r="GO118" t="s">
        <v>273</v>
      </c>
      <c r="GP118" t="s">
        <v>273</v>
      </c>
      <c r="GQ118">
        <v>31.064366</v>
      </c>
      <c r="GR118">
        <v>0.102034</v>
      </c>
      <c r="GS118">
        <v>2.6873770000000001</v>
      </c>
      <c r="GT118">
        <v>2.345278</v>
      </c>
      <c r="GU118">
        <v>87.270151999999996</v>
      </c>
      <c r="GV118">
        <v>26.817070000000001</v>
      </c>
      <c r="GW118">
        <v>830.82801099999995</v>
      </c>
      <c r="GX118">
        <v>22.881644999999999</v>
      </c>
      <c r="GY118">
        <v>30</v>
      </c>
      <c r="GZ118">
        <v>30</v>
      </c>
      <c r="HA118">
        <v>17</v>
      </c>
      <c r="HB118">
        <v>18</v>
      </c>
      <c r="HC118" t="s">
        <v>273</v>
      </c>
      <c r="HD118" t="s">
        <v>273</v>
      </c>
      <c r="HE118">
        <v>18</v>
      </c>
      <c r="HF118">
        <v>2.9999999999999997E-4</v>
      </c>
      <c r="HG118">
        <v>4.0000000000000001E-3</v>
      </c>
      <c r="HH118">
        <v>5.5556000000000001E-2</v>
      </c>
      <c r="HI118">
        <v>5500</v>
      </c>
    </row>
    <row r="119" spans="1:217" x14ac:dyDescent="0.3">
      <c r="A119">
        <v>698</v>
      </c>
      <c r="B119" t="s">
        <v>269</v>
      </c>
      <c r="F119" t="s">
        <v>270</v>
      </c>
      <c r="G119" t="s">
        <v>293</v>
      </c>
      <c r="H119" t="s">
        <v>294</v>
      </c>
      <c r="I119">
        <v>7500</v>
      </c>
      <c r="J119">
        <v>1</v>
      </c>
      <c r="K119">
        <v>20.723437000000001</v>
      </c>
      <c r="L119">
        <v>0.22</v>
      </c>
      <c r="M119">
        <v>4.2659999999999997E-2</v>
      </c>
      <c r="N119">
        <v>0</v>
      </c>
      <c r="O119">
        <v>0</v>
      </c>
      <c r="P119">
        <v>0</v>
      </c>
      <c r="Q119">
        <v>18.45</v>
      </c>
      <c r="R119">
        <v>1</v>
      </c>
      <c r="S119">
        <v>1</v>
      </c>
      <c r="T119">
        <v>1</v>
      </c>
      <c r="U119">
        <v>1</v>
      </c>
      <c r="V119">
        <v>100</v>
      </c>
      <c r="W119" t="s">
        <v>273</v>
      </c>
      <c r="X119" t="s">
        <v>274</v>
      </c>
      <c r="Y119" t="s">
        <v>274</v>
      </c>
      <c r="Z119" t="s">
        <v>273</v>
      </c>
      <c r="AA119" t="s">
        <v>275</v>
      </c>
      <c r="AB119" t="s">
        <v>276</v>
      </c>
      <c r="AC119">
        <v>646</v>
      </c>
      <c r="AD119">
        <v>5</v>
      </c>
      <c r="AE119" t="s">
        <v>277</v>
      </c>
      <c r="AF119">
        <v>2.7309290000000002</v>
      </c>
      <c r="AG119">
        <v>100</v>
      </c>
      <c r="AH119">
        <v>24.6</v>
      </c>
      <c r="AI119">
        <v>1475</v>
      </c>
      <c r="AJ119">
        <v>800</v>
      </c>
      <c r="AK119">
        <v>1200</v>
      </c>
      <c r="AL119">
        <v>127.9</v>
      </c>
      <c r="AM119">
        <v>2.2000000000000002</v>
      </c>
      <c r="AN119" t="s">
        <v>273</v>
      </c>
      <c r="AO119" t="s">
        <v>278</v>
      </c>
      <c r="AP119" t="s">
        <v>296</v>
      </c>
      <c r="AQ119">
        <v>5.5</v>
      </c>
      <c r="AR119">
        <v>8</v>
      </c>
      <c r="AS119">
        <v>308.7</v>
      </c>
      <c r="AT119">
        <v>561.70000000000005</v>
      </c>
      <c r="AU119">
        <v>0.31977</v>
      </c>
      <c r="AV119">
        <v>36.799999999999997</v>
      </c>
      <c r="AW119">
        <v>233.9</v>
      </c>
      <c r="AX119" t="s">
        <v>280</v>
      </c>
      <c r="AY119">
        <v>0</v>
      </c>
      <c r="AZ119" t="s">
        <v>281</v>
      </c>
      <c r="BA119">
        <v>0.2</v>
      </c>
      <c r="BB119">
        <v>0.5</v>
      </c>
      <c r="BC119" t="s">
        <v>273</v>
      </c>
      <c r="BD119" t="s">
        <v>273</v>
      </c>
      <c r="BE119">
        <v>17.288817000000002</v>
      </c>
      <c r="BF119">
        <v>17.487888000000002</v>
      </c>
      <c r="BG119">
        <v>495.49146999999999</v>
      </c>
      <c r="BH119" t="s">
        <v>273</v>
      </c>
      <c r="BI119">
        <v>25.478946000000001</v>
      </c>
      <c r="BJ119">
        <v>25.772321999999999</v>
      </c>
      <c r="BK119">
        <v>336.21724999999998</v>
      </c>
      <c r="BL119" t="s">
        <v>273</v>
      </c>
      <c r="BM119">
        <v>25.480080000000001</v>
      </c>
      <c r="BN119">
        <v>25.773468999999999</v>
      </c>
      <c r="BO119">
        <v>336.202293</v>
      </c>
      <c r="BP119" t="s">
        <v>273</v>
      </c>
      <c r="BQ119">
        <v>14.897318</v>
      </c>
      <c r="BR119">
        <v>15.068852</v>
      </c>
      <c r="BS119">
        <v>575.03378899999996</v>
      </c>
      <c r="BT119" t="s">
        <v>273</v>
      </c>
      <c r="BU119">
        <v>4.6352469999999997</v>
      </c>
      <c r="BV119">
        <v>4.6886190000000001</v>
      </c>
      <c r="BW119">
        <v>1848.113245</v>
      </c>
      <c r="BX119" t="s">
        <v>273</v>
      </c>
      <c r="BY119">
        <v>16.300661000000002</v>
      </c>
      <c r="BZ119">
        <v>16.927947</v>
      </c>
      <c r="CA119">
        <v>18.916369</v>
      </c>
      <c r="CB119">
        <v>25.480080000000001</v>
      </c>
      <c r="CC119">
        <v>9.6368390000000002</v>
      </c>
      <c r="CD119">
        <v>17.675944000000001</v>
      </c>
      <c r="CE119" t="s">
        <v>273</v>
      </c>
      <c r="CF119">
        <v>16.488354000000001</v>
      </c>
      <c r="CG119">
        <v>17.122862999999999</v>
      </c>
      <c r="CH119">
        <v>19.134181000000002</v>
      </c>
      <c r="CI119">
        <v>25.773468999999999</v>
      </c>
      <c r="CJ119">
        <v>9.7478020000000001</v>
      </c>
      <c r="CK119">
        <v>17.879473000000001</v>
      </c>
      <c r="CL119" t="s">
        <v>273</v>
      </c>
      <c r="CM119">
        <v>525.52846199999999</v>
      </c>
      <c r="CN119">
        <v>506.05434600000001</v>
      </c>
      <c r="CO119">
        <v>452.85969599999999</v>
      </c>
      <c r="CP119">
        <v>336.202293</v>
      </c>
      <c r="CQ119">
        <v>888.92853000000002</v>
      </c>
      <c r="CR119">
        <v>484.63953299999997</v>
      </c>
      <c r="CS119" t="s">
        <v>273</v>
      </c>
      <c r="CT119">
        <v>626.34164899999996</v>
      </c>
      <c r="CU119">
        <v>649.89037800000006</v>
      </c>
      <c r="CV119">
        <v>539.64939500000003</v>
      </c>
      <c r="CW119">
        <v>1138.997754</v>
      </c>
      <c r="CX119">
        <v>527.47019399999999</v>
      </c>
      <c r="CY119">
        <v>998.60357699999997</v>
      </c>
      <c r="CZ119" t="s">
        <v>273</v>
      </c>
      <c r="DA119">
        <v>3.6129020000000001</v>
      </c>
      <c r="DB119">
        <v>510.01</v>
      </c>
      <c r="DC119">
        <v>3.8929969999999998</v>
      </c>
      <c r="DD119">
        <v>864</v>
      </c>
      <c r="DE119">
        <v>3.6123449999999999</v>
      </c>
      <c r="DF119">
        <v>505</v>
      </c>
      <c r="DG119">
        <v>10.269831999999999</v>
      </c>
      <c r="DH119">
        <v>765</v>
      </c>
      <c r="DI119">
        <v>1.798756</v>
      </c>
      <c r="DJ119">
        <v>235</v>
      </c>
      <c r="DK119">
        <v>6.2461929999999999</v>
      </c>
      <c r="DL119">
        <v>365</v>
      </c>
      <c r="DM119" t="s">
        <v>273</v>
      </c>
      <c r="DN119">
        <v>3.6517499999999998</v>
      </c>
      <c r="DO119">
        <v>8.3264139999999998</v>
      </c>
      <c r="DP119">
        <v>4.5565309999999997</v>
      </c>
      <c r="DQ119" t="s">
        <v>282</v>
      </c>
      <c r="DR119">
        <v>4.769908</v>
      </c>
      <c r="DS119">
        <v>16.500730999999998</v>
      </c>
      <c r="DT119">
        <v>34.153585</v>
      </c>
      <c r="DU119">
        <v>89.985821999999999</v>
      </c>
      <c r="DV119">
        <v>137.455195</v>
      </c>
      <c r="DW119" t="s">
        <v>283</v>
      </c>
      <c r="DX119" t="s">
        <v>273</v>
      </c>
      <c r="DY119">
        <v>24.234217999999998</v>
      </c>
      <c r="DZ119">
        <v>3.2327000000000002E-2</v>
      </c>
      <c r="EA119">
        <v>1.7618910000000001</v>
      </c>
      <c r="EB119">
        <v>1.444269</v>
      </c>
      <c r="EC119">
        <v>81.972671000000005</v>
      </c>
      <c r="ED119">
        <v>19.447444999999998</v>
      </c>
      <c r="EE119">
        <v>875.41902100000004</v>
      </c>
      <c r="EF119">
        <v>9.9802719999999994</v>
      </c>
      <c r="EG119">
        <v>23</v>
      </c>
      <c r="EH119">
        <v>23</v>
      </c>
      <c r="EI119">
        <v>20</v>
      </c>
      <c r="EJ119">
        <v>20</v>
      </c>
      <c r="EK119" t="s">
        <v>273</v>
      </c>
      <c r="EL119" t="s">
        <v>273</v>
      </c>
      <c r="EM119">
        <v>22.579108000000002</v>
      </c>
      <c r="EN119">
        <v>1.7267999999999999E-2</v>
      </c>
      <c r="EO119">
        <v>1.7032780000000001</v>
      </c>
      <c r="EP119">
        <v>1.3291010000000001</v>
      </c>
      <c r="EQ119">
        <v>78.031955999999994</v>
      </c>
      <c r="ER119">
        <v>16.961022</v>
      </c>
      <c r="ES119">
        <v>735.19994299999996</v>
      </c>
      <c r="ET119">
        <v>5.3311970000000004</v>
      </c>
      <c r="EU119">
        <v>23</v>
      </c>
      <c r="EV119">
        <v>23</v>
      </c>
      <c r="EW119">
        <v>23</v>
      </c>
      <c r="EX119">
        <v>23</v>
      </c>
      <c r="EY119" t="s">
        <v>273</v>
      </c>
      <c r="EZ119" t="s">
        <v>273</v>
      </c>
      <c r="FA119">
        <v>28.114889999999999</v>
      </c>
      <c r="FB119">
        <v>3.2646000000000001E-2</v>
      </c>
      <c r="FC119">
        <v>1.7611110000000001</v>
      </c>
      <c r="FD119">
        <v>1.444224</v>
      </c>
      <c r="FE119">
        <v>82.006407999999993</v>
      </c>
      <c r="FF119">
        <v>22.570654000000001</v>
      </c>
      <c r="FG119">
        <v>875.52041699999995</v>
      </c>
      <c r="FH119">
        <v>10.078896</v>
      </c>
      <c r="FI119">
        <v>23</v>
      </c>
      <c r="FJ119">
        <v>23</v>
      </c>
      <c r="FK119">
        <v>20</v>
      </c>
      <c r="FL119">
        <v>20</v>
      </c>
      <c r="FM119" t="s">
        <v>273</v>
      </c>
      <c r="FN119" t="s">
        <v>273</v>
      </c>
      <c r="FO119">
        <v>29.524108999999999</v>
      </c>
      <c r="FP119">
        <v>5.176E-2</v>
      </c>
      <c r="FQ119">
        <v>3.9033579999999999</v>
      </c>
      <c r="FR119">
        <v>3.4230360000000002</v>
      </c>
      <c r="FS119">
        <v>87.694654999999997</v>
      </c>
      <c r="FT119">
        <v>25.684857999999998</v>
      </c>
      <c r="FU119">
        <v>739.654856</v>
      </c>
      <c r="FV119">
        <v>15.980115</v>
      </c>
      <c r="FW119">
        <v>8</v>
      </c>
      <c r="FX119">
        <v>8</v>
      </c>
      <c r="FY119">
        <v>8</v>
      </c>
      <c r="FZ119">
        <v>8</v>
      </c>
      <c r="GA119" t="s">
        <v>273</v>
      </c>
      <c r="GB119" t="s">
        <v>273</v>
      </c>
      <c r="GC119">
        <v>31.457191000000002</v>
      </c>
      <c r="GD119">
        <v>7.4610999999999997E-2</v>
      </c>
      <c r="GE119">
        <v>1.9260010000000001</v>
      </c>
      <c r="GF119">
        <v>1.5550619999999999</v>
      </c>
      <c r="GG119">
        <v>80.740468000000007</v>
      </c>
      <c r="GH119">
        <v>24.558907000000001</v>
      </c>
      <c r="GI119">
        <v>1869.961718</v>
      </c>
      <c r="GJ119">
        <v>23.034880000000001</v>
      </c>
      <c r="GK119">
        <v>27</v>
      </c>
      <c r="GL119">
        <v>27</v>
      </c>
      <c r="GM119">
        <v>17</v>
      </c>
      <c r="GN119">
        <v>25</v>
      </c>
      <c r="GO119" t="s">
        <v>273</v>
      </c>
      <c r="GP119" t="s">
        <v>273</v>
      </c>
      <c r="GQ119">
        <v>31.730118999999998</v>
      </c>
      <c r="GR119">
        <v>0.101165</v>
      </c>
      <c r="GS119">
        <v>3.6779299999999999</v>
      </c>
      <c r="GT119">
        <v>3.2004950000000001</v>
      </c>
      <c r="GU119">
        <v>87.018919999999994</v>
      </c>
      <c r="GV119">
        <v>27.319392000000001</v>
      </c>
      <c r="GW119">
        <v>1134.073678</v>
      </c>
      <c r="GX119">
        <v>31.232928999999999</v>
      </c>
      <c r="GY119">
        <v>72</v>
      </c>
      <c r="GZ119">
        <v>72</v>
      </c>
      <c r="HA119">
        <v>31</v>
      </c>
      <c r="HB119">
        <v>32</v>
      </c>
      <c r="HC119" t="s">
        <v>273</v>
      </c>
      <c r="HD119" t="s">
        <v>273</v>
      </c>
      <c r="HE119">
        <v>18</v>
      </c>
      <c r="HF119">
        <v>2.9999999999999997E-4</v>
      </c>
      <c r="HG119">
        <v>4.0000000000000001E-3</v>
      </c>
      <c r="HH119">
        <v>5.5556000000000001E-2</v>
      </c>
      <c r="HI119">
        <v>7500</v>
      </c>
    </row>
    <row r="120" spans="1:217" x14ac:dyDescent="0.3">
      <c r="A120">
        <v>699</v>
      </c>
      <c r="B120" t="s">
        <v>269</v>
      </c>
      <c r="F120" t="s">
        <v>270</v>
      </c>
      <c r="G120" t="s">
        <v>293</v>
      </c>
      <c r="H120" t="s">
        <v>294</v>
      </c>
      <c r="I120">
        <v>9500</v>
      </c>
      <c r="J120">
        <v>1</v>
      </c>
      <c r="K120">
        <v>27.129687000000001</v>
      </c>
      <c r="L120">
        <v>0.22</v>
      </c>
      <c r="M120">
        <v>5.4769999999999999E-2</v>
      </c>
      <c r="N120">
        <v>0</v>
      </c>
      <c r="O120">
        <v>0</v>
      </c>
      <c r="P120">
        <v>0</v>
      </c>
      <c r="Q120">
        <v>23.34</v>
      </c>
      <c r="R120">
        <v>1</v>
      </c>
      <c r="S120">
        <v>1</v>
      </c>
      <c r="T120">
        <v>1</v>
      </c>
      <c r="U120">
        <v>1</v>
      </c>
      <c r="V120">
        <v>100</v>
      </c>
      <c r="W120" t="s">
        <v>273</v>
      </c>
      <c r="X120" t="s">
        <v>274</v>
      </c>
      <c r="Y120" t="s">
        <v>274</v>
      </c>
      <c r="Z120" t="s">
        <v>273</v>
      </c>
      <c r="AA120" t="s">
        <v>275</v>
      </c>
      <c r="AB120" t="s">
        <v>276</v>
      </c>
      <c r="AC120">
        <v>823</v>
      </c>
      <c r="AD120">
        <v>5</v>
      </c>
      <c r="AE120" t="s">
        <v>277</v>
      </c>
      <c r="AF120">
        <v>2.4069210000000001</v>
      </c>
      <c r="AG120">
        <v>100</v>
      </c>
      <c r="AH120">
        <v>21.7</v>
      </c>
      <c r="AI120">
        <v>1300</v>
      </c>
      <c r="AJ120">
        <v>800</v>
      </c>
      <c r="AK120">
        <v>1200</v>
      </c>
      <c r="AL120">
        <v>113.3</v>
      </c>
      <c r="AM120">
        <v>2.2000000000000002</v>
      </c>
      <c r="AN120" t="s">
        <v>273</v>
      </c>
      <c r="AO120" t="s">
        <v>278</v>
      </c>
      <c r="AP120" t="s">
        <v>297</v>
      </c>
      <c r="AQ120">
        <v>7</v>
      </c>
      <c r="AR120">
        <v>8</v>
      </c>
      <c r="AS120">
        <v>393.2</v>
      </c>
      <c r="AT120">
        <v>715.3</v>
      </c>
      <c r="AU120">
        <v>0.40698000000000001</v>
      </c>
      <c r="AV120">
        <v>37.200000000000003</v>
      </c>
      <c r="AW120">
        <v>231.7</v>
      </c>
      <c r="AX120" t="s">
        <v>280</v>
      </c>
      <c r="AY120">
        <v>0</v>
      </c>
      <c r="AZ120" t="s">
        <v>281</v>
      </c>
      <c r="BA120">
        <v>0.2</v>
      </c>
      <c r="BB120">
        <v>0.5</v>
      </c>
      <c r="BC120" t="s">
        <v>273</v>
      </c>
      <c r="BD120" t="s">
        <v>273</v>
      </c>
      <c r="BE120">
        <v>13.733498000000001</v>
      </c>
      <c r="BF120">
        <v>13.891631</v>
      </c>
      <c r="BG120">
        <v>623.76398099999994</v>
      </c>
      <c r="BH120" t="s">
        <v>273</v>
      </c>
      <c r="BI120">
        <v>20.367788000000001</v>
      </c>
      <c r="BJ120">
        <v>20.602312000000001</v>
      </c>
      <c r="BK120">
        <v>420.588683</v>
      </c>
      <c r="BL120" t="s">
        <v>273</v>
      </c>
      <c r="BM120">
        <v>20.368589</v>
      </c>
      <c r="BN120">
        <v>20.603121000000002</v>
      </c>
      <c r="BO120">
        <v>420.57215600000001</v>
      </c>
      <c r="BP120" t="s">
        <v>273</v>
      </c>
      <c r="BQ120">
        <v>11.834996</v>
      </c>
      <c r="BR120">
        <v>11.971268999999999</v>
      </c>
      <c r="BS120">
        <v>723.82461899999998</v>
      </c>
      <c r="BT120" t="s">
        <v>273</v>
      </c>
      <c r="BU120">
        <v>3.5101110000000002</v>
      </c>
      <c r="BV120">
        <v>3.5505279999999999</v>
      </c>
      <c r="BW120">
        <v>2440.5100819999998</v>
      </c>
      <c r="BX120" t="s">
        <v>273</v>
      </c>
      <c r="BY120">
        <v>12.985431</v>
      </c>
      <c r="BZ120">
        <v>13.416093</v>
      </c>
      <c r="CA120">
        <v>15.061730000000001</v>
      </c>
      <c r="CB120">
        <v>20.368589</v>
      </c>
      <c r="CC120">
        <v>7.6037100000000004</v>
      </c>
      <c r="CD120">
        <v>14.093759</v>
      </c>
      <c r="CE120" t="s">
        <v>273</v>
      </c>
      <c r="CF120">
        <v>13.134950999999999</v>
      </c>
      <c r="CG120">
        <v>13.570572</v>
      </c>
      <c r="CH120">
        <v>15.235156999999999</v>
      </c>
      <c r="CI120">
        <v>20.603121000000002</v>
      </c>
      <c r="CJ120">
        <v>7.691262</v>
      </c>
      <c r="CK120">
        <v>14.256041</v>
      </c>
      <c r="CL120" t="s">
        <v>273</v>
      </c>
      <c r="CM120">
        <v>659.69786299999998</v>
      </c>
      <c r="CN120">
        <v>638.52131199999997</v>
      </c>
      <c r="CO120">
        <v>568.756799</v>
      </c>
      <c r="CP120">
        <v>420.57215600000001</v>
      </c>
      <c r="CQ120">
        <v>1126.6159869999999</v>
      </c>
      <c r="CR120">
        <v>607.819479</v>
      </c>
      <c r="CS120" t="s">
        <v>273</v>
      </c>
      <c r="CT120">
        <v>786.29770499999995</v>
      </c>
      <c r="CU120">
        <v>819.95698200000004</v>
      </c>
      <c r="CV120">
        <v>677.80277799999999</v>
      </c>
      <c r="CW120">
        <v>1424.816722</v>
      </c>
      <c r="CX120">
        <v>668.57907999999998</v>
      </c>
      <c r="CY120">
        <v>1252.4327430000001</v>
      </c>
      <c r="CZ120" t="s">
        <v>273</v>
      </c>
      <c r="DA120">
        <v>3.6131259999999998</v>
      </c>
      <c r="DB120">
        <v>510.01</v>
      </c>
      <c r="DC120">
        <v>3.8927529999999999</v>
      </c>
      <c r="DD120">
        <v>864</v>
      </c>
      <c r="DE120">
        <v>3.6125829999999999</v>
      </c>
      <c r="DF120">
        <v>505</v>
      </c>
      <c r="DG120">
        <v>10.269743999999999</v>
      </c>
      <c r="DH120">
        <v>765</v>
      </c>
      <c r="DI120">
        <v>1.7989459999999999</v>
      </c>
      <c r="DJ120">
        <v>235</v>
      </c>
      <c r="DK120">
        <v>6.2462730000000004</v>
      </c>
      <c r="DL120">
        <v>365</v>
      </c>
      <c r="DM120" t="s">
        <v>273</v>
      </c>
      <c r="DN120">
        <v>3.8323010000000002</v>
      </c>
      <c r="DO120">
        <v>8.7396499999999993</v>
      </c>
      <c r="DP120">
        <v>5.0348600000000001</v>
      </c>
      <c r="DQ120" t="s">
        <v>282</v>
      </c>
      <c r="DR120">
        <v>5.2718119999999997</v>
      </c>
      <c r="DS120">
        <v>16.776084000000001</v>
      </c>
      <c r="DT120">
        <v>35.822406000000001</v>
      </c>
      <c r="DU120">
        <v>90.697613000000004</v>
      </c>
      <c r="DV120">
        <v>136.345358</v>
      </c>
      <c r="DW120" t="s">
        <v>283</v>
      </c>
      <c r="DX120" t="s">
        <v>273</v>
      </c>
      <c r="DY120">
        <v>24.748933000000001</v>
      </c>
      <c r="DZ120">
        <v>3.2138E-2</v>
      </c>
      <c r="EA120">
        <v>2.258823</v>
      </c>
      <c r="EB120">
        <v>1.829142</v>
      </c>
      <c r="EC120">
        <v>80.977649</v>
      </c>
      <c r="ED120">
        <v>19.615311999999999</v>
      </c>
      <c r="EE120">
        <v>1108.4022640000001</v>
      </c>
      <c r="EF120">
        <v>12.637193999999999</v>
      </c>
      <c r="EG120">
        <v>15</v>
      </c>
      <c r="EH120">
        <v>15</v>
      </c>
      <c r="EI120">
        <v>15</v>
      </c>
      <c r="EJ120">
        <v>15</v>
      </c>
      <c r="EK120" t="s">
        <v>273</v>
      </c>
      <c r="EL120" t="s">
        <v>273</v>
      </c>
      <c r="EM120">
        <v>22.908235999999999</v>
      </c>
      <c r="EN120">
        <v>1.7176E-2</v>
      </c>
      <c r="EO120">
        <v>2.180326</v>
      </c>
      <c r="EP120">
        <v>1.6887559999999999</v>
      </c>
      <c r="EQ120">
        <v>77.454286999999994</v>
      </c>
      <c r="ER120">
        <v>17.029965000000001</v>
      </c>
      <c r="ES120">
        <v>931.42036800000005</v>
      </c>
      <c r="ET120">
        <v>6.7536370000000003</v>
      </c>
      <c r="EU120">
        <v>19</v>
      </c>
      <c r="EV120">
        <v>19</v>
      </c>
      <c r="EW120">
        <v>19</v>
      </c>
      <c r="EX120">
        <v>19</v>
      </c>
      <c r="EY120" t="s">
        <v>273</v>
      </c>
      <c r="EZ120" t="s">
        <v>273</v>
      </c>
      <c r="FA120">
        <v>28.701619000000001</v>
      </c>
      <c r="FB120">
        <v>3.2455999999999999E-2</v>
      </c>
      <c r="FC120">
        <v>2.258127</v>
      </c>
      <c r="FD120">
        <v>1.829089</v>
      </c>
      <c r="FE120">
        <v>81.00027</v>
      </c>
      <c r="FF120">
        <v>22.754377999999999</v>
      </c>
      <c r="FG120">
        <v>1108.536605</v>
      </c>
      <c r="FH120">
        <v>12.762197</v>
      </c>
      <c r="FI120">
        <v>15</v>
      </c>
      <c r="FJ120">
        <v>15</v>
      </c>
      <c r="FK120">
        <v>15</v>
      </c>
      <c r="FL120">
        <v>15</v>
      </c>
      <c r="FM120" t="s">
        <v>273</v>
      </c>
      <c r="FN120" t="s">
        <v>273</v>
      </c>
      <c r="FO120">
        <v>30.084074000000001</v>
      </c>
      <c r="FP120">
        <v>5.1430999999999998E-2</v>
      </c>
      <c r="FQ120">
        <v>4.975473</v>
      </c>
      <c r="FR120">
        <v>4.3304179999999999</v>
      </c>
      <c r="FS120">
        <v>87.035318000000004</v>
      </c>
      <c r="FT120">
        <v>25.984394999999999</v>
      </c>
      <c r="FU120">
        <v>936.06150000000002</v>
      </c>
      <c r="FV120">
        <v>20.223274</v>
      </c>
      <c r="FW120">
        <v>8</v>
      </c>
      <c r="FX120">
        <v>8</v>
      </c>
      <c r="FY120">
        <v>8</v>
      </c>
      <c r="FZ120">
        <v>8</v>
      </c>
      <c r="GA120" t="s">
        <v>273</v>
      </c>
      <c r="GB120" t="s">
        <v>273</v>
      </c>
      <c r="GC120">
        <v>31.996794000000001</v>
      </c>
      <c r="GD120">
        <v>7.4256000000000003E-2</v>
      </c>
      <c r="GE120">
        <v>2.4831210000000001</v>
      </c>
      <c r="GF120">
        <v>1.969862</v>
      </c>
      <c r="GG120">
        <v>79.330089000000001</v>
      </c>
      <c r="GH120">
        <v>24.559951000000002</v>
      </c>
      <c r="GI120">
        <v>2370.065834</v>
      </c>
      <c r="GJ120">
        <v>29.198426000000001</v>
      </c>
      <c r="GK120">
        <v>24</v>
      </c>
      <c r="GL120">
        <v>24</v>
      </c>
      <c r="GM120">
        <v>17</v>
      </c>
      <c r="GN120">
        <v>23</v>
      </c>
      <c r="GO120" t="s">
        <v>273</v>
      </c>
      <c r="GP120" t="s">
        <v>273</v>
      </c>
      <c r="GQ120">
        <v>32.262780999999997</v>
      </c>
      <c r="GR120">
        <v>0.100698</v>
      </c>
      <c r="GS120">
        <v>4.6902379999999999</v>
      </c>
      <c r="GT120">
        <v>4.05457</v>
      </c>
      <c r="GU120">
        <v>86.446995000000001</v>
      </c>
      <c r="GV120">
        <v>27.61495</v>
      </c>
      <c r="GW120">
        <v>1437.7067010000001</v>
      </c>
      <c r="GX120">
        <v>39.59563</v>
      </c>
      <c r="GY120">
        <v>87</v>
      </c>
      <c r="GZ120">
        <v>87</v>
      </c>
      <c r="HA120">
        <v>39</v>
      </c>
      <c r="HB120">
        <v>40</v>
      </c>
      <c r="HC120" t="s">
        <v>273</v>
      </c>
      <c r="HD120" t="s">
        <v>273</v>
      </c>
      <c r="HE120">
        <v>18</v>
      </c>
      <c r="HF120">
        <v>2.9999999999999997E-4</v>
      </c>
      <c r="HG120">
        <v>4.0000000000000001E-3</v>
      </c>
      <c r="HH120">
        <v>5.5556000000000001E-2</v>
      </c>
      <c r="HI120">
        <v>9500</v>
      </c>
    </row>
    <row r="121" spans="1:217" x14ac:dyDescent="0.3">
      <c r="A121">
        <v>700</v>
      </c>
      <c r="B121" t="s">
        <v>269</v>
      </c>
      <c r="F121" t="s">
        <v>270</v>
      </c>
      <c r="G121" t="s">
        <v>293</v>
      </c>
      <c r="H121" t="s">
        <v>294</v>
      </c>
      <c r="I121">
        <v>9500</v>
      </c>
      <c r="J121">
        <v>1</v>
      </c>
      <c r="K121">
        <v>27.129687000000001</v>
      </c>
      <c r="L121">
        <v>0.22</v>
      </c>
      <c r="M121">
        <v>5.4769999999999999E-2</v>
      </c>
      <c r="N121">
        <v>0</v>
      </c>
      <c r="O121">
        <v>0</v>
      </c>
      <c r="P121">
        <v>0</v>
      </c>
      <c r="Q121">
        <v>23.34</v>
      </c>
      <c r="R121">
        <v>1</v>
      </c>
      <c r="S121">
        <v>1</v>
      </c>
      <c r="T121">
        <v>1</v>
      </c>
      <c r="U121">
        <v>1</v>
      </c>
      <c r="V121">
        <v>100</v>
      </c>
      <c r="W121" t="s">
        <v>273</v>
      </c>
      <c r="X121" t="s">
        <v>274</v>
      </c>
      <c r="Y121" t="s">
        <v>274</v>
      </c>
      <c r="Z121" t="s">
        <v>273</v>
      </c>
      <c r="AA121" t="s">
        <v>275</v>
      </c>
      <c r="AB121" t="s">
        <v>276</v>
      </c>
      <c r="AC121">
        <v>469</v>
      </c>
      <c r="AD121">
        <v>5</v>
      </c>
      <c r="AE121" t="s">
        <v>277</v>
      </c>
      <c r="AF121">
        <v>2.962364</v>
      </c>
      <c r="AG121">
        <v>100</v>
      </c>
      <c r="AH121">
        <v>26.7</v>
      </c>
      <c r="AI121">
        <v>1600</v>
      </c>
      <c r="AJ121">
        <v>800</v>
      </c>
      <c r="AK121">
        <v>1200</v>
      </c>
      <c r="AL121">
        <v>150</v>
      </c>
      <c r="AM121">
        <v>2.2000000000000002</v>
      </c>
      <c r="AN121" t="s">
        <v>273</v>
      </c>
      <c r="AO121" t="s">
        <v>278</v>
      </c>
      <c r="AP121" t="s">
        <v>295</v>
      </c>
      <c r="AQ121">
        <v>4</v>
      </c>
      <c r="AR121">
        <v>8</v>
      </c>
      <c r="AS121">
        <v>224.3</v>
      </c>
      <c r="AT121">
        <v>408</v>
      </c>
      <c r="AU121">
        <v>0.23255999999999999</v>
      </c>
      <c r="AV121">
        <v>36.299999999999997</v>
      </c>
      <c r="AW121">
        <v>237</v>
      </c>
      <c r="AX121" t="s">
        <v>280</v>
      </c>
      <c r="AY121">
        <v>0</v>
      </c>
      <c r="AZ121" t="s">
        <v>281</v>
      </c>
      <c r="BA121">
        <v>0.2</v>
      </c>
      <c r="BB121">
        <v>0.5</v>
      </c>
      <c r="BC121" t="s">
        <v>273</v>
      </c>
      <c r="BD121" t="s">
        <v>273</v>
      </c>
      <c r="BE121">
        <v>15.427187</v>
      </c>
      <c r="BF121">
        <v>15.604823</v>
      </c>
      <c r="BG121">
        <v>555.28341499999999</v>
      </c>
      <c r="BH121" t="s">
        <v>273</v>
      </c>
      <c r="BI121">
        <v>21.422799000000001</v>
      </c>
      <c r="BJ121">
        <v>21.669471000000001</v>
      </c>
      <c r="BK121">
        <v>399.87590599999999</v>
      </c>
      <c r="BL121" t="s">
        <v>273</v>
      </c>
      <c r="BM121">
        <v>21.4237</v>
      </c>
      <c r="BN121">
        <v>21.670380999999999</v>
      </c>
      <c r="BO121">
        <v>399.85910100000001</v>
      </c>
      <c r="BP121" t="s">
        <v>273</v>
      </c>
      <c r="BQ121">
        <v>11.734432</v>
      </c>
      <c r="BR121">
        <v>11.869547000000001</v>
      </c>
      <c r="BS121">
        <v>730.02778599999999</v>
      </c>
      <c r="BT121" t="s">
        <v>273</v>
      </c>
      <c r="BU121">
        <v>4.8306069999999997</v>
      </c>
      <c r="BV121">
        <v>4.886228</v>
      </c>
      <c r="BW121">
        <v>1773.3717119999999</v>
      </c>
      <c r="BX121" t="s">
        <v>273</v>
      </c>
      <c r="BY121">
        <v>14.030275</v>
      </c>
      <c r="BZ121">
        <v>15.64086</v>
      </c>
      <c r="CA121">
        <v>16.227582000000002</v>
      </c>
      <c r="CB121">
        <v>21.4237</v>
      </c>
      <c r="CC121">
        <v>7.4277769999999999</v>
      </c>
      <c r="CD121">
        <v>14.071561000000001</v>
      </c>
      <c r="CE121" t="s">
        <v>273</v>
      </c>
      <c r="CF121">
        <v>14.191826000000001</v>
      </c>
      <c r="CG121">
        <v>15.820955</v>
      </c>
      <c r="CH121">
        <v>16.414432999999999</v>
      </c>
      <c r="CI121">
        <v>21.670380999999999</v>
      </c>
      <c r="CJ121">
        <v>7.5133029999999996</v>
      </c>
      <c r="CK121">
        <v>14.233587</v>
      </c>
      <c r="CL121" t="s">
        <v>273</v>
      </c>
      <c r="CM121">
        <v>610.56972800000005</v>
      </c>
      <c r="CN121">
        <v>547.69759399999998</v>
      </c>
      <c r="CO121">
        <v>527.89513099999999</v>
      </c>
      <c r="CP121">
        <v>399.85910100000001</v>
      </c>
      <c r="CQ121">
        <v>1153.3008689999999</v>
      </c>
      <c r="CR121">
        <v>608.77833599999997</v>
      </c>
      <c r="CS121" t="s">
        <v>273</v>
      </c>
      <c r="CT121">
        <v>726.94247600000006</v>
      </c>
      <c r="CU121">
        <v>701.67731900000001</v>
      </c>
      <c r="CV121">
        <v>628.41177000000005</v>
      </c>
      <c r="CW121">
        <v>1354.410993</v>
      </c>
      <c r="CX121">
        <v>679.83414600000003</v>
      </c>
      <c r="CY121">
        <v>1252.7384810000001</v>
      </c>
      <c r="CZ121" t="s">
        <v>273</v>
      </c>
      <c r="DA121">
        <v>3.6091579999999999</v>
      </c>
      <c r="DB121">
        <v>510.01</v>
      </c>
      <c r="DC121">
        <v>3.883629</v>
      </c>
      <c r="DD121">
        <v>864</v>
      </c>
      <c r="DE121">
        <v>3.6085919999999998</v>
      </c>
      <c r="DF121">
        <v>505</v>
      </c>
      <c r="DG121">
        <v>10.267970999999999</v>
      </c>
      <c r="DH121">
        <v>765</v>
      </c>
      <c r="DI121">
        <v>1.786905</v>
      </c>
      <c r="DJ121">
        <v>235</v>
      </c>
      <c r="DK121">
        <v>6.2379569999999998</v>
      </c>
      <c r="DL121">
        <v>365</v>
      </c>
      <c r="DM121" t="s">
        <v>273</v>
      </c>
      <c r="DN121">
        <v>5.236275</v>
      </c>
      <c r="DO121">
        <v>13.626348</v>
      </c>
      <c r="DP121">
        <v>7.0251190000000001</v>
      </c>
      <c r="DQ121" t="s">
        <v>282</v>
      </c>
      <c r="DR121">
        <v>7.9671130000000003</v>
      </c>
      <c r="DS121">
        <v>19.954944999999999</v>
      </c>
      <c r="DT121">
        <v>48.573523999999999</v>
      </c>
      <c r="DU121">
        <v>74.802040000000005</v>
      </c>
      <c r="DV121">
        <v>110.946288</v>
      </c>
      <c r="DW121" t="s">
        <v>283</v>
      </c>
      <c r="DX121" t="s">
        <v>273</v>
      </c>
      <c r="DY121">
        <v>26.442893999999999</v>
      </c>
      <c r="DZ121">
        <v>5.6372999999999999E-2</v>
      </c>
      <c r="EA121">
        <v>2.2312470000000002</v>
      </c>
      <c r="EB121">
        <v>1.8229310000000001</v>
      </c>
      <c r="EC121">
        <v>81.700102999999999</v>
      </c>
      <c r="ED121">
        <v>21.224696999999999</v>
      </c>
      <c r="EE121">
        <v>1110.026863</v>
      </c>
      <c r="EF121">
        <v>12.641819999999999</v>
      </c>
      <c r="EG121">
        <v>26</v>
      </c>
      <c r="EH121">
        <v>26</v>
      </c>
      <c r="EI121">
        <v>24</v>
      </c>
      <c r="EJ121">
        <v>25</v>
      </c>
      <c r="EK121" t="s">
        <v>273</v>
      </c>
      <c r="EL121" t="s">
        <v>273</v>
      </c>
      <c r="EM121">
        <v>26.410830000000001</v>
      </c>
      <c r="EN121">
        <v>3.0057E-2</v>
      </c>
      <c r="EO121">
        <v>2.1510880000000001</v>
      </c>
      <c r="EP121">
        <v>1.6639699999999999</v>
      </c>
      <c r="EQ121">
        <v>77.354830000000007</v>
      </c>
      <c r="ER121">
        <v>19.861438</v>
      </c>
      <c r="ES121">
        <v>931.769048</v>
      </c>
      <c r="ET121">
        <v>6.7403300000000002</v>
      </c>
      <c r="EU121">
        <v>27</v>
      </c>
      <c r="EV121">
        <v>27</v>
      </c>
      <c r="EW121">
        <v>26</v>
      </c>
      <c r="EX121">
        <v>27</v>
      </c>
      <c r="EY121" t="s">
        <v>273</v>
      </c>
      <c r="EZ121" t="s">
        <v>273</v>
      </c>
      <c r="FA121">
        <v>30.588097000000001</v>
      </c>
      <c r="FB121">
        <v>5.6930000000000001E-2</v>
      </c>
      <c r="FC121">
        <v>2.2311839999999998</v>
      </c>
      <c r="FD121">
        <v>1.8228569999999999</v>
      </c>
      <c r="FE121">
        <v>81.699089999999998</v>
      </c>
      <c r="FF121">
        <v>24.551651</v>
      </c>
      <c r="FG121">
        <v>1110.164078</v>
      </c>
      <c r="FH121">
        <v>12.766812</v>
      </c>
      <c r="FI121">
        <v>26</v>
      </c>
      <c r="FJ121">
        <v>26</v>
      </c>
      <c r="FK121">
        <v>24</v>
      </c>
      <c r="FL121">
        <v>25</v>
      </c>
      <c r="FM121" t="s">
        <v>273</v>
      </c>
      <c r="FN121" t="s">
        <v>273</v>
      </c>
      <c r="FO121">
        <v>31.553279</v>
      </c>
      <c r="FP121">
        <v>9.0098999999999999E-2</v>
      </c>
      <c r="FQ121">
        <v>4.9605940000000004</v>
      </c>
      <c r="FR121">
        <v>4.322845</v>
      </c>
      <c r="FS121">
        <v>87.143700999999993</v>
      </c>
      <c r="FT121">
        <v>27.310452999999999</v>
      </c>
      <c r="FU121">
        <v>935.37807199999997</v>
      </c>
      <c r="FV121">
        <v>20.205019</v>
      </c>
      <c r="FW121">
        <v>22</v>
      </c>
      <c r="FX121">
        <v>22</v>
      </c>
      <c r="FY121">
        <v>22</v>
      </c>
      <c r="FZ121">
        <v>21</v>
      </c>
      <c r="GA121" t="s">
        <v>273</v>
      </c>
      <c r="GB121" t="s">
        <v>273</v>
      </c>
      <c r="GC121">
        <v>30.613409999999998</v>
      </c>
      <c r="GD121">
        <v>0.13006699999999999</v>
      </c>
      <c r="GE121">
        <v>2.4157579999999998</v>
      </c>
      <c r="GF121">
        <v>1.9566049999999999</v>
      </c>
      <c r="GG121">
        <v>80.993441000000004</v>
      </c>
      <c r="GH121">
        <v>24.128250000000001</v>
      </c>
      <c r="GI121">
        <v>2383.5547110000002</v>
      </c>
      <c r="GJ121">
        <v>29.168067000000001</v>
      </c>
      <c r="GK121">
        <v>24</v>
      </c>
      <c r="GL121">
        <v>24</v>
      </c>
      <c r="GM121">
        <v>16</v>
      </c>
      <c r="GN121">
        <v>24</v>
      </c>
      <c r="GO121" t="s">
        <v>273</v>
      </c>
      <c r="GP121" t="s">
        <v>273</v>
      </c>
      <c r="GQ121">
        <v>32.234181</v>
      </c>
      <c r="GR121">
        <v>0.17582100000000001</v>
      </c>
      <c r="GS121">
        <v>4.6872239999999996</v>
      </c>
      <c r="GT121">
        <v>4.0324730000000004</v>
      </c>
      <c r="GU121">
        <v>86.031143999999998</v>
      </c>
      <c r="GV121">
        <v>27.491769999999999</v>
      </c>
      <c r="GW121">
        <v>1433.5511750000001</v>
      </c>
      <c r="GX121">
        <v>39.428621</v>
      </c>
      <c r="GY121">
        <v>61</v>
      </c>
      <c r="GZ121">
        <v>61</v>
      </c>
      <c r="HA121">
        <v>40</v>
      </c>
      <c r="HB121">
        <v>40</v>
      </c>
      <c r="HC121" t="s">
        <v>273</v>
      </c>
      <c r="HD121" t="s">
        <v>273</v>
      </c>
      <c r="HE121">
        <v>31</v>
      </c>
      <c r="HF121">
        <v>2.9999999999999997E-4</v>
      </c>
      <c r="HG121">
        <v>4.0000000000000001E-3</v>
      </c>
      <c r="HH121">
        <v>3.2258000000000002E-2</v>
      </c>
      <c r="HI121">
        <v>9500</v>
      </c>
    </row>
    <row r="122" spans="1:217" x14ac:dyDescent="0.3">
      <c r="A122">
        <v>711</v>
      </c>
      <c r="B122" t="s">
        <v>269</v>
      </c>
      <c r="F122" t="s">
        <v>270</v>
      </c>
      <c r="G122" t="s">
        <v>293</v>
      </c>
      <c r="H122" t="s">
        <v>294</v>
      </c>
      <c r="I122">
        <v>4000</v>
      </c>
      <c r="J122">
        <v>1</v>
      </c>
      <c r="K122">
        <v>29.512499999999999</v>
      </c>
      <c r="L122">
        <v>0.22</v>
      </c>
      <c r="M122">
        <v>8.9689999999999995E-3</v>
      </c>
      <c r="N122">
        <v>0</v>
      </c>
      <c r="O122">
        <v>0</v>
      </c>
      <c r="P122">
        <v>0</v>
      </c>
      <c r="Q122">
        <v>8.39</v>
      </c>
      <c r="R122">
        <v>1</v>
      </c>
      <c r="S122">
        <v>1</v>
      </c>
      <c r="T122">
        <v>1</v>
      </c>
      <c r="U122">
        <v>1</v>
      </c>
      <c r="V122">
        <v>100</v>
      </c>
      <c r="W122" t="s">
        <v>273</v>
      </c>
      <c r="X122" t="s">
        <v>274</v>
      </c>
      <c r="Y122" t="s">
        <v>274</v>
      </c>
      <c r="Z122" t="s">
        <v>273</v>
      </c>
      <c r="AA122" t="s">
        <v>275</v>
      </c>
      <c r="AB122" t="s">
        <v>276</v>
      </c>
      <c r="AC122">
        <v>823</v>
      </c>
      <c r="AD122">
        <v>5</v>
      </c>
      <c r="AE122" t="s">
        <v>277</v>
      </c>
      <c r="AF122">
        <v>2.4069210000000001</v>
      </c>
      <c r="AG122">
        <v>100</v>
      </c>
      <c r="AH122">
        <v>21.7</v>
      </c>
      <c r="AI122">
        <v>1300</v>
      </c>
      <c r="AJ122">
        <v>800</v>
      </c>
      <c r="AK122">
        <v>1200</v>
      </c>
      <c r="AL122">
        <v>113.3</v>
      </c>
      <c r="AM122">
        <v>2.2000000000000002</v>
      </c>
      <c r="AN122" t="s">
        <v>273</v>
      </c>
      <c r="AO122" t="s">
        <v>278</v>
      </c>
      <c r="AP122" t="s">
        <v>297</v>
      </c>
      <c r="AQ122">
        <v>7</v>
      </c>
      <c r="AR122">
        <v>8</v>
      </c>
      <c r="AS122">
        <v>393.2</v>
      </c>
      <c r="AT122">
        <v>715.3</v>
      </c>
      <c r="AU122">
        <v>0.40698000000000001</v>
      </c>
      <c r="AV122">
        <v>37.200000000000003</v>
      </c>
      <c r="AW122">
        <v>231.7</v>
      </c>
      <c r="AX122" t="s">
        <v>280</v>
      </c>
      <c r="AY122">
        <v>0</v>
      </c>
      <c r="AZ122" t="s">
        <v>281</v>
      </c>
      <c r="BA122">
        <v>0.2</v>
      </c>
      <c r="BB122">
        <v>0.5</v>
      </c>
      <c r="BC122" t="s">
        <v>273</v>
      </c>
      <c r="BD122" t="s">
        <v>273</v>
      </c>
      <c r="BE122">
        <v>20.972954999999999</v>
      </c>
      <c r="BF122">
        <v>21.214445999999999</v>
      </c>
      <c r="BG122">
        <v>408.45276200000001</v>
      </c>
      <c r="BH122" t="s">
        <v>273</v>
      </c>
      <c r="BI122">
        <v>36.844191000000002</v>
      </c>
      <c r="BJ122">
        <v>37.268431</v>
      </c>
      <c r="BK122">
        <v>232.50506899999999</v>
      </c>
      <c r="BL122" t="s">
        <v>273</v>
      </c>
      <c r="BM122">
        <v>36.847034999999998</v>
      </c>
      <c r="BN122">
        <v>37.271307</v>
      </c>
      <c r="BO122">
        <v>232.48712800000001</v>
      </c>
      <c r="BP122" t="s">
        <v>273</v>
      </c>
      <c r="BQ122">
        <v>27.750968</v>
      </c>
      <c r="BR122">
        <v>28.070505000000001</v>
      </c>
      <c r="BS122">
        <v>308.69053700000001</v>
      </c>
      <c r="BT122" t="s">
        <v>273</v>
      </c>
      <c r="BU122">
        <v>6.1195219999999999</v>
      </c>
      <c r="BV122">
        <v>6.1899850000000001</v>
      </c>
      <c r="BW122">
        <v>1399.8579030000001</v>
      </c>
      <c r="BX122" t="s">
        <v>273</v>
      </c>
      <c r="BY122">
        <v>22.081358000000002</v>
      </c>
      <c r="BZ122">
        <v>18.748647999999999</v>
      </c>
      <c r="CA122">
        <v>25.781929999999999</v>
      </c>
      <c r="CB122">
        <v>36.847034999999998</v>
      </c>
      <c r="CC122">
        <v>16.261410999999999</v>
      </c>
      <c r="CD122">
        <v>34.877290000000002</v>
      </c>
      <c r="CE122" t="s">
        <v>273</v>
      </c>
      <c r="CF122">
        <v>22.335612000000001</v>
      </c>
      <c r="CG122">
        <v>18.964528000000001</v>
      </c>
      <c r="CH122">
        <v>26.078793999999998</v>
      </c>
      <c r="CI122">
        <v>37.271307</v>
      </c>
      <c r="CJ122">
        <v>16.448651999999999</v>
      </c>
      <c r="CK122">
        <v>35.278882000000003</v>
      </c>
      <c r="CL122" t="s">
        <v>273</v>
      </c>
      <c r="CM122">
        <v>387.94992999999999</v>
      </c>
      <c r="CN122">
        <v>456.91089199999999</v>
      </c>
      <c r="CO122">
        <v>332.26610399999998</v>
      </c>
      <c r="CP122">
        <v>232.48712800000001</v>
      </c>
      <c r="CQ122">
        <v>526.79693599999996</v>
      </c>
      <c r="CR122">
        <v>245.61717300000001</v>
      </c>
      <c r="CS122" t="s">
        <v>273</v>
      </c>
      <c r="CT122">
        <v>462.77482099999997</v>
      </c>
      <c r="CU122">
        <v>587.54440299999999</v>
      </c>
      <c r="CV122">
        <v>396.29536300000001</v>
      </c>
      <c r="CW122">
        <v>787.67479200000002</v>
      </c>
      <c r="CX122">
        <v>314.074298</v>
      </c>
      <c r="CY122">
        <v>506.37271600000003</v>
      </c>
      <c r="CZ122" t="s">
        <v>273</v>
      </c>
      <c r="DA122">
        <v>3.6160559999999999</v>
      </c>
      <c r="DB122">
        <v>510.01</v>
      </c>
      <c r="DC122">
        <v>3.8980760000000001</v>
      </c>
      <c r="DD122">
        <v>864</v>
      </c>
      <c r="DE122">
        <v>3.615548</v>
      </c>
      <c r="DF122">
        <v>505</v>
      </c>
      <c r="DG122">
        <v>10.270443</v>
      </c>
      <c r="DH122">
        <v>765</v>
      </c>
      <c r="DI122">
        <v>1.8072999999999999</v>
      </c>
      <c r="DJ122">
        <v>235</v>
      </c>
      <c r="DK122">
        <v>6.2496070000000001</v>
      </c>
      <c r="DL122">
        <v>365</v>
      </c>
      <c r="DM122" t="s">
        <v>273</v>
      </c>
      <c r="DN122">
        <v>2.2819199999999999</v>
      </c>
      <c r="DO122">
        <v>4.140415</v>
      </c>
      <c r="DP122">
        <v>2.507603</v>
      </c>
      <c r="DQ122" t="s">
        <v>282</v>
      </c>
      <c r="DR122">
        <v>2.581248</v>
      </c>
      <c r="DS122">
        <v>12.262325000000001</v>
      </c>
      <c r="DT122">
        <v>21.491592000000001</v>
      </c>
      <c r="DU122">
        <v>125.38149</v>
      </c>
      <c r="DV122">
        <v>223.222577</v>
      </c>
      <c r="DW122" t="s">
        <v>283</v>
      </c>
      <c r="DX122" t="s">
        <v>273</v>
      </c>
      <c r="DY122">
        <v>17.455998000000001</v>
      </c>
      <c r="DZ122">
        <v>1.3332999999999999E-2</v>
      </c>
      <c r="EA122">
        <v>0.93767699999999998</v>
      </c>
      <c r="EB122">
        <v>0.76815</v>
      </c>
      <c r="EC122">
        <v>81.920534000000004</v>
      </c>
      <c r="ED122">
        <v>13.826445</v>
      </c>
      <c r="EE122">
        <v>459.45503400000001</v>
      </c>
      <c r="EF122">
        <v>5.2426199999999996</v>
      </c>
      <c r="EG122">
        <v>11</v>
      </c>
      <c r="EH122">
        <v>11</v>
      </c>
      <c r="EI122">
        <v>11</v>
      </c>
      <c r="EJ122">
        <v>11</v>
      </c>
      <c r="EK122" t="s">
        <v>273</v>
      </c>
      <c r="EL122" t="s">
        <v>273</v>
      </c>
      <c r="EM122">
        <v>14.958482999999999</v>
      </c>
      <c r="EN122">
        <v>7.9299999999999995E-3</v>
      </c>
      <c r="EO122">
        <v>1.020157</v>
      </c>
      <c r="EP122">
        <v>0.80366099999999996</v>
      </c>
      <c r="EQ122">
        <v>78.778154999999998</v>
      </c>
      <c r="ER122">
        <v>10.972466000000001</v>
      </c>
      <c r="ES122">
        <v>429.42886199999998</v>
      </c>
      <c r="ET122">
        <v>3.118004</v>
      </c>
      <c r="EU122">
        <v>19</v>
      </c>
      <c r="EV122">
        <v>19</v>
      </c>
      <c r="EW122">
        <v>19</v>
      </c>
      <c r="EX122">
        <v>19</v>
      </c>
      <c r="EY122" t="s">
        <v>273</v>
      </c>
      <c r="EZ122" t="s">
        <v>273</v>
      </c>
      <c r="FA122">
        <v>20.355708</v>
      </c>
      <c r="FB122">
        <v>1.3464E-2</v>
      </c>
      <c r="FC122">
        <v>0.93636200000000003</v>
      </c>
      <c r="FD122">
        <v>0.76827000000000001</v>
      </c>
      <c r="FE122">
        <v>82.048378999999997</v>
      </c>
      <c r="FF122">
        <v>16.144375</v>
      </c>
      <c r="FG122">
        <v>459.47920299999998</v>
      </c>
      <c r="FH122">
        <v>5.2941649999999996</v>
      </c>
      <c r="FI122">
        <v>11</v>
      </c>
      <c r="FJ122">
        <v>11</v>
      </c>
      <c r="FK122">
        <v>11</v>
      </c>
      <c r="FL122">
        <v>11</v>
      </c>
      <c r="FM122" t="s">
        <v>273</v>
      </c>
      <c r="FN122" t="s">
        <v>273</v>
      </c>
      <c r="FO122">
        <v>19.939879000000001</v>
      </c>
      <c r="FP122">
        <v>1.8880000000000001E-2</v>
      </c>
      <c r="FQ122">
        <v>1.8230900000000001</v>
      </c>
      <c r="FR122">
        <v>1.5983989999999999</v>
      </c>
      <c r="FS122">
        <v>87.675248999999994</v>
      </c>
      <c r="FT122">
        <v>17.254484999999999</v>
      </c>
      <c r="FU122">
        <v>343.59923199999997</v>
      </c>
      <c r="FV122">
        <v>7.4238439999999999</v>
      </c>
      <c r="FW122">
        <v>5</v>
      </c>
      <c r="FX122">
        <v>5</v>
      </c>
      <c r="FY122">
        <v>5</v>
      </c>
      <c r="FZ122">
        <v>5</v>
      </c>
      <c r="GA122" t="s">
        <v>273</v>
      </c>
      <c r="GB122" t="s">
        <v>273</v>
      </c>
      <c r="GC122">
        <v>28.113123999999999</v>
      </c>
      <c r="GD122">
        <v>3.0540000000000001E-2</v>
      </c>
      <c r="GE122">
        <v>1.0248969999999999</v>
      </c>
      <c r="GF122">
        <v>0.819936</v>
      </c>
      <c r="GG122">
        <v>80.001757999999995</v>
      </c>
      <c r="GH122">
        <v>21.50206</v>
      </c>
      <c r="GI122">
        <v>970.24082399999998</v>
      </c>
      <c r="GJ122">
        <v>12.008558000000001</v>
      </c>
      <c r="GK122">
        <v>20</v>
      </c>
      <c r="GL122">
        <v>20</v>
      </c>
      <c r="GM122">
        <v>19</v>
      </c>
      <c r="GN122">
        <v>20</v>
      </c>
      <c r="GO122" t="s">
        <v>273</v>
      </c>
      <c r="GP122" t="s">
        <v>273</v>
      </c>
      <c r="GQ122">
        <v>26.559957000000001</v>
      </c>
      <c r="GR122">
        <v>3.3112999999999997E-2</v>
      </c>
      <c r="GS122">
        <v>1.5611200000000001</v>
      </c>
      <c r="GT122">
        <v>1.355499</v>
      </c>
      <c r="GU122">
        <v>86.828633999999994</v>
      </c>
      <c r="GV122">
        <v>22.459706000000001</v>
      </c>
      <c r="GW122">
        <v>472.51373000000001</v>
      </c>
      <c r="GX122">
        <v>13.020365</v>
      </c>
      <c r="GY122">
        <v>12</v>
      </c>
      <c r="GZ122">
        <v>12</v>
      </c>
      <c r="HA122">
        <v>8</v>
      </c>
      <c r="HB122">
        <v>8</v>
      </c>
      <c r="HC122" t="s">
        <v>273</v>
      </c>
      <c r="HD122" t="s">
        <v>273</v>
      </c>
      <c r="HE122">
        <v>7.5</v>
      </c>
      <c r="HF122">
        <v>5.0000000000000001E-4</v>
      </c>
      <c r="HG122">
        <v>3.0000000000000001E-3</v>
      </c>
      <c r="HH122">
        <v>0.13333300000000001</v>
      </c>
      <c r="HI122">
        <v>4000</v>
      </c>
    </row>
    <row r="123" spans="1:217" x14ac:dyDescent="0.3">
      <c r="A123">
        <v>713</v>
      </c>
      <c r="B123" t="s">
        <v>269</v>
      </c>
      <c r="F123" t="s">
        <v>270</v>
      </c>
      <c r="G123" t="s">
        <v>293</v>
      </c>
      <c r="H123" t="s">
        <v>294</v>
      </c>
      <c r="I123">
        <v>3750</v>
      </c>
      <c r="J123">
        <v>1</v>
      </c>
      <c r="K123">
        <v>27.461718999999999</v>
      </c>
      <c r="L123">
        <v>0.22</v>
      </c>
      <c r="M123">
        <v>8.2360000000000003E-3</v>
      </c>
      <c r="N123">
        <v>0</v>
      </c>
      <c r="O123">
        <v>0</v>
      </c>
      <c r="P123">
        <v>0</v>
      </c>
      <c r="Q123">
        <v>7.87</v>
      </c>
      <c r="R123">
        <v>1</v>
      </c>
      <c r="S123">
        <v>1</v>
      </c>
      <c r="T123">
        <v>1</v>
      </c>
      <c r="U123">
        <v>1</v>
      </c>
      <c r="V123">
        <v>100</v>
      </c>
      <c r="W123" t="s">
        <v>273</v>
      </c>
      <c r="X123" t="s">
        <v>274</v>
      </c>
      <c r="Y123" t="s">
        <v>274</v>
      </c>
      <c r="Z123" t="s">
        <v>273</v>
      </c>
      <c r="AA123" t="s">
        <v>275</v>
      </c>
      <c r="AB123" t="s">
        <v>276</v>
      </c>
      <c r="AC123">
        <v>646</v>
      </c>
      <c r="AD123">
        <v>5</v>
      </c>
      <c r="AE123" t="s">
        <v>277</v>
      </c>
      <c r="AF123">
        <v>2.7309290000000002</v>
      </c>
      <c r="AG123">
        <v>100</v>
      </c>
      <c r="AH123">
        <v>24.6</v>
      </c>
      <c r="AI123">
        <v>1475</v>
      </c>
      <c r="AJ123">
        <v>800</v>
      </c>
      <c r="AK123">
        <v>1200</v>
      </c>
      <c r="AL123">
        <v>127.9</v>
      </c>
      <c r="AM123">
        <v>2.2000000000000002</v>
      </c>
      <c r="AN123" t="s">
        <v>273</v>
      </c>
      <c r="AO123" t="s">
        <v>278</v>
      </c>
      <c r="AP123" t="s">
        <v>296</v>
      </c>
      <c r="AQ123">
        <v>5.5</v>
      </c>
      <c r="AR123">
        <v>8</v>
      </c>
      <c r="AS123">
        <v>308.7</v>
      </c>
      <c r="AT123">
        <v>561.70000000000005</v>
      </c>
      <c r="AU123">
        <v>0.31977</v>
      </c>
      <c r="AV123">
        <v>36.799999999999997</v>
      </c>
      <c r="AW123">
        <v>233.9</v>
      </c>
      <c r="AX123" t="s">
        <v>280</v>
      </c>
      <c r="AY123">
        <v>0</v>
      </c>
      <c r="AZ123" t="s">
        <v>281</v>
      </c>
      <c r="BA123">
        <v>0.2</v>
      </c>
      <c r="BB123">
        <v>0.5</v>
      </c>
      <c r="BC123" t="s">
        <v>273</v>
      </c>
      <c r="BD123" t="s">
        <v>273</v>
      </c>
      <c r="BE123">
        <v>24.731597000000001</v>
      </c>
      <c r="BF123">
        <v>25.016366999999999</v>
      </c>
      <c r="BG123">
        <v>346.37720400000001</v>
      </c>
      <c r="BH123" t="s">
        <v>273</v>
      </c>
      <c r="BI123">
        <v>42.312626999999999</v>
      </c>
      <c r="BJ123">
        <v>42.799833</v>
      </c>
      <c r="BK123">
        <v>202.45638099999999</v>
      </c>
      <c r="BL123" t="s">
        <v>273</v>
      </c>
      <c r="BM123">
        <v>42.315624999999997</v>
      </c>
      <c r="BN123">
        <v>42.802866000000002</v>
      </c>
      <c r="BO123">
        <v>202.442035</v>
      </c>
      <c r="BP123" t="s">
        <v>273</v>
      </c>
      <c r="BQ123">
        <v>30.026161999999999</v>
      </c>
      <c r="BR123">
        <v>30.371896</v>
      </c>
      <c r="BS123">
        <v>285.29990900000001</v>
      </c>
      <c r="BT123" t="s">
        <v>273</v>
      </c>
      <c r="BU123">
        <v>6.8458100000000002</v>
      </c>
      <c r="BV123">
        <v>6.9246359999999996</v>
      </c>
      <c r="BW123">
        <v>1251.3436380000001</v>
      </c>
      <c r="BX123" t="s">
        <v>273</v>
      </c>
      <c r="BY123">
        <v>25.722010999999998</v>
      </c>
      <c r="BZ123">
        <v>22.312113</v>
      </c>
      <c r="CA123">
        <v>30.015432000000001</v>
      </c>
      <c r="CB123">
        <v>42.315624999999997</v>
      </c>
      <c r="CC123">
        <v>17.810811999999999</v>
      </c>
      <c r="CD123">
        <v>37.448436999999998</v>
      </c>
      <c r="CE123" t="s">
        <v>273</v>
      </c>
      <c r="CF123">
        <v>26.018184999999999</v>
      </c>
      <c r="CG123">
        <v>22.569025</v>
      </c>
      <c r="CH123">
        <v>30.361042999999999</v>
      </c>
      <c r="CI123">
        <v>42.802866000000002</v>
      </c>
      <c r="CJ123">
        <v>18.015893999999999</v>
      </c>
      <c r="CK123">
        <v>37.879634000000003</v>
      </c>
      <c r="CL123" t="s">
        <v>273</v>
      </c>
      <c r="CM123">
        <v>333.04011100000002</v>
      </c>
      <c r="CN123">
        <v>383.93769400000002</v>
      </c>
      <c r="CO123">
        <v>285.40189400000003</v>
      </c>
      <c r="CP123">
        <v>202.442035</v>
      </c>
      <c r="CQ123">
        <v>480.969717</v>
      </c>
      <c r="CR123">
        <v>228.75350800000001</v>
      </c>
      <c r="CS123" t="s">
        <v>273</v>
      </c>
      <c r="CT123">
        <v>397.21464700000001</v>
      </c>
      <c r="CU123">
        <v>493.59393499999999</v>
      </c>
      <c r="CV123">
        <v>340.34722399999998</v>
      </c>
      <c r="CW123">
        <v>685.87748599999998</v>
      </c>
      <c r="CX123">
        <v>286.53027300000002</v>
      </c>
      <c r="CY123">
        <v>471.56264700000003</v>
      </c>
      <c r="CZ123" t="s">
        <v>273</v>
      </c>
      <c r="DA123">
        <v>3.6155119999999998</v>
      </c>
      <c r="DB123">
        <v>510.01</v>
      </c>
      <c r="DC123">
        <v>3.8971779999999998</v>
      </c>
      <c r="DD123">
        <v>864</v>
      </c>
      <c r="DE123">
        <v>3.6149849999999999</v>
      </c>
      <c r="DF123">
        <v>505</v>
      </c>
      <c r="DG123">
        <v>10.270391</v>
      </c>
      <c r="DH123">
        <v>765</v>
      </c>
      <c r="DI123">
        <v>1.805901</v>
      </c>
      <c r="DJ123">
        <v>235</v>
      </c>
      <c r="DK123">
        <v>6.2490319999999997</v>
      </c>
      <c r="DL123">
        <v>365</v>
      </c>
      <c r="DM123" t="s">
        <v>273</v>
      </c>
      <c r="DN123">
        <v>2.4238719999999998</v>
      </c>
      <c r="DO123">
        <v>4.5786189999999998</v>
      </c>
      <c r="DP123">
        <v>2.6017290000000002</v>
      </c>
      <c r="DQ123" t="s">
        <v>282</v>
      </c>
      <c r="DR123">
        <v>2.697076</v>
      </c>
      <c r="DS123">
        <v>12.846249</v>
      </c>
      <c r="DT123">
        <v>22.723672000000001</v>
      </c>
      <c r="DU123">
        <v>118.708732</v>
      </c>
      <c r="DV123">
        <v>222.88929899999999</v>
      </c>
      <c r="DW123" t="s">
        <v>283</v>
      </c>
      <c r="DX123" t="s">
        <v>273</v>
      </c>
      <c r="DY123">
        <v>18.942798</v>
      </c>
      <c r="DZ123">
        <v>1.5937E-2</v>
      </c>
      <c r="EA123">
        <v>0.87339</v>
      </c>
      <c r="EB123">
        <v>0.71848199999999995</v>
      </c>
      <c r="EC123">
        <v>82.263610999999997</v>
      </c>
      <c r="ED123">
        <v>15.117749</v>
      </c>
      <c r="EE123">
        <v>431.26135199999999</v>
      </c>
      <c r="EF123">
        <v>4.9201750000000004</v>
      </c>
      <c r="EG123">
        <v>16</v>
      </c>
      <c r="EH123">
        <v>16</v>
      </c>
      <c r="EI123">
        <v>16</v>
      </c>
      <c r="EJ123">
        <v>16</v>
      </c>
      <c r="EK123" t="s">
        <v>273</v>
      </c>
      <c r="EL123" t="s">
        <v>273</v>
      </c>
      <c r="EM123">
        <v>16.325882</v>
      </c>
      <c r="EN123">
        <v>9.4739999999999998E-3</v>
      </c>
      <c r="EO123">
        <v>0.93537400000000004</v>
      </c>
      <c r="EP123">
        <v>0.74283399999999999</v>
      </c>
      <c r="EQ123">
        <v>79.415779999999998</v>
      </c>
      <c r="ER123">
        <v>12.251808</v>
      </c>
      <c r="ES123">
        <v>402.918025</v>
      </c>
      <c r="ET123">
        <v>2.9248400000000001</v>
      </c>
      <c r="EU123">
        <v>23</v>
      </c>
      <c r="EV123">
        <v>23</v>
      </c>
      <c r="EW123">
        <v>23</v>
      </c>
      <c r="EX123">
        <v>23</v>
      </c>
      <c r="EY123" t="s">
        <v>273</v>
      </c>
      <c r="EZ123" t="s">
        <v>273</v>
      </c>
      <c r="FA123">
        <v>22.080500000000001</v>
      </c>
      <c r="FB123">
        <v>1.6094000000000001E-2</v>
      </c>
      <c r="FC123">
        <v>0.87230799999999997</v>
      </c>
      <c r="FD123">
        <v>0.71853100000000003</v>
      </c>
      <c r="FE123">
        <v>82.371244000000004</v>
      </c>
      <c r="FF123">
        <v>17.642619</v>
      </c>
      <c r="FG123">
        <v>431.29907200000002</v>
      </c>
      <c r="FH123">
        <v>4.9686969999999997</v>
      </c>
      <c r="FI123">
        <v>16</v>
      </c>
      <c r="FJ123">
        <v>16</v>
      </c>
      <c r="FK123">
        <v>16</v>
      </c>
      <c r="FL123">
        <v>16</v>
      </c>
      <c r="FM123" t="s">
        <v>273</v>
      </c>
      <c r="FN123" t="s">
        <v>273</v>
      </c>
      <c r="FO123">
        <v>21.430733</v>
      </c>
      <c r="FP123">
        <v>2.2558000000000002E-2</v>
      </c>
      <c r="FQ123">
        <v>1.70617</v>
      </c>
      <c r="FR123">
        <v>1.4983660000000001</v>
      </c>
      <c r="FS123">
        <v>87.820471999999995</v>
      </c>
      <c r="FT123">
        <v>18.589217999999999</v>
      </c>
      <c r="FU123">
        <v>322.33917200000002</v>
      </c>
      <c r="FV123">
        <v>6.964461</v>
      </c>
      <c r="FW123">
        <v>7</v>
      </c>
      <c r="FX123">
        <v>7</v>
      </c>
      <c r="FY123">
        <v>7</v>
      </c>
      <c r="FZ123">
        <v>7</v>
      </c>
      <c r="GA123" t="s">
        <v>273</v>
      </c>
      <c r="GB123" t="s">
        <v>273</v>
      </c>
      <c r="GC123">
        <v>28.447562999999999</v>
      </c>
      <c r="GD123">
        <v>3.6450000000000003E-2</v>
      </c>
      <c r="GE123">
        <v>0.94613800000000003</v>
      </c>
      <c r="GF123">
        <v>0.76486900000000002</v>
      </c>
      <c r="GG123">
        <v>80.841195999999997</v>
      </c>
      <c r="GH123">
        <v>22.086763999999999</v>
      </c>
      <c r="GI123">
        <v>909.92564200000004</v>
      </c>
      <c r="GJ123">
        <v>11.253325</v>
      </c>
      <c r="GK123">
        <v>24</v>
      </c>
      <c r="GL123">
        <v>24</v>
      </c>
      <c r="GM123">
        <v>22</v>
      </c>
      <c r="GN123">
        <v>24</v>
      </c>
      <c r="GO123" t="s">
        <v>273</v>
      </c>
      <c r="GP123" t="s">
        <v>273</v>
      </c>
      <c r="GQ123">
        <v>26.628561999999999</v>
      </c>
      <c r="GR123">
        <v>3.9496000000000003E-2</v>
      </c>
      <c r="GS123">
        <v>1.4575579999999999</v>
      </c>
      <c r="GT123">
        <v>1.2677639999999999</v>
      </c>
      <c r="GU123">
        <v>86.978632000000005</v>
      </c>
      <c r="GV123">
        <v>22.586376999999999</v>
      </c>
      <c r="GW123">
        <v>442.55343599999998</v>
      </c>
      <c r="GX123">
        <v>12.193671999999999</v>
      </c>
      <c r="GY123">
        <v>13</v>
      </c>
      <c r="GZ123">
        <v>13</v>
      </c>
      <c r="HA123">
        <v>8</v>
      </c>
      <c r="HB123">
        <v>9</v>
      </c>
      <c r="HC123" t="s">
        <v>273</v>
      </c>
      <c r="HD123" t="s">
        <v>273</v>
      </c>
      <c r="HE123">
        <v>9</v>
      </c>
      <c r="HF123">
        <v>5.0000000000000001E-4</v>
      </c>
      <c r="HG123">
        <v>3.0000000000000001E-3</v>
      </c>
      <c r="HH123">
        <v>0.111111</v>
      </c>
      <c r="HI123">
        <v>3750</v>
      </c>
    </row>
    <row r="124" spans="1:217" x14ac:dyDescent="0.3">
      <c r="A124">
        <v>714</v>
      </c>
      <c r="B124" t="s">
        <v>269</v>
      </c>
      <c r="F124" t="s">
        <v>270</v>
      </c>
      <c r="G124" t="s">
        <v>293</v>
      </c>
      <c r="H124" t="s">
        <v>294</v>
      </c>
      <c r="I124">
        <v>4750</v>
      </c>
      <c r="J124">
        <v>1</v>
      </c>
      <c r="K124">
        <v>35.664844000000002</v>
      </c>
      <c r="L124">
        <v>0.22</v>
      </c>
      <c r="M124">
        <v>1.1166000000000001E-2</v>
      </c>
      <c r="N124">
        <v>0</v>
      </c>
      <c r="O124">
        <v>0</v>
      </c>
      <c r="P124">
        <v>0</v>
      </c>
      <c r="Q124">
        <v>9.94</v>
      </c>
      <c r="R124">
        <v>1</v>
      </c>
      <c r="S124">
        <v>1</v>
      </c>
      <c r="T124">
        <v>1</v>
      </c>
      <c r="U124">
        <v>1</v>
      </c>
      <c r="V124">
        <v>100</v>
      </c>
      <c r="W124" t="s">
        <v>273</v>
      </c>
      <c r="X124" t="s">
        <v>274</v>
      </c>
      <c r="Y124" t="s">
        <v>274</v>
      </c>
      <c r="Z124" t="s">
        <v>273</v>
      </c>
      <c r="AA124" t="s">
        <v>275</v>
      </c>
      <c r="AB124" t="s">
        <v>276</v>
      </c>
      <c r="AC124">
        <v>823</v>
      </c>
      <c r="AD124">
        <v>5</v>
      </c>
      <c r="AE124" t="s">
        <v>277</v>
      </c>
      <c r="AF124">
        <v>2.4069210000000001</v>
      </c>
      <c r="AG124">
        <v>100</v>
      </c>
      <c r="AH124">
        <v>21.7</v>
      </c>
      <c r="AI124">
        <v>1300</v>
      </c>
      <c r="AJ124">
        <v>800</v>
      </c>
      <c r="AK124">
        <v>1200</v>
      </c>
      <c r="AL124">
        <v>113.3</v>
      </c>
      <c r="AM124">
        <v>2.2000000000000002</v>
      </c>
      <c r="AN124" t="s">
        <v>273</v>
      </c>
      <c r="AO124" t="s">
        <v>278</v>
      </c>
      <c r="AP124" t="s">
        <v>297</v>
      </c>
      <c r="AQ124">
        <v>7</v>
      </c>
      <c r="AR124">
        <v>8</v>
      </c>
      <c r="AS124">
        <v>393.2</v>
      </c>
      <c r="AT124">
        <v>715.3</v>
      </c>
      <c r="AU124">
        <v>0.40698000000000001</v>
      </c>
      <c r="AV124">
        <v>37.200000000000003</v>
      </c>
      <c r="AW124">
        <v>231.7</v>
      </c>
      <c r="AX124" t="s">
        <v>280</v>
      </c>
      <c r="AY124">
        <v>0</v>
      </c>
      <c r="AZ124" t="s">
        <v>281</v>
      </c>
      <c r="BA124">
        <v>0.2</v>
      </c>
      <c r="BB124">
        <v>0.5</v>
      </c>
      <c r="BC124" t="s">
        <v>273</v>
      </c>
      <c r="BD124" t="s">
        <v>273</v>
      </c>
      <c r="BE124">
        <v>19.539058000000001</v>
      </c>
      <c r="BF124">
        <v>19.764039</v>
      </c>
      <c r="BG124">
        <v>438.42754500000001</v>
      </c>
      <c r="BH124" t="s">
        <v>273</v>
      </c>
      <c r="BI124">
        <v>34.006562000000002</v>
      </c>
      <c r="BJ124">
        <v>34.398128999999997</v>
      </c>
      <c r="BK124">
        <v>251.90612200000001</v>
      </c>
      <c r="BL124" t="s">
        <v>273</v>
      </c>
      <c r="BM124">
        <v>34.008619000000003</v>
      </c>
      <c r="BN124">
        <v>34.400208999999997</v>
      </c>
      <c r="BO124">
        <v>251.89089200000001</v>
      </c>
      <c r="BP124" t="s">
        <v>273</v>
      </c>
      <c r="BQ124">
        <v>24.491008000000001</v>
      </c>
      <c r="BR124">
        <v>24.773008000000001</v>
      </c>
      <c r="BS124">
        <v>349.77985999999999</v>
      </c>
      <c r="BT124" t="s">
        <v>273</v>
      </c>
      <c r="BU124">
        <v>5.3961139999999999</v>
      </c>
      <c r="BV124">
        <v>5.4582480000000002</v>
      </c>
      <c r="BW124">
        <v>1587.52404</v>
      </c>
      <c r="BX124" t="s">
        <v>273</v>
      </c>
      <c r="BY124">
        <v>20.240679</v>
      </c>
      <c r="BZ124">
        <v>17.683266</v>
      </c>
      <c r="CA124">
        <v>23.606791000000001</v>
      </c>
      <c r="CB124">
        <v>34.008619000000003</v>
      </c>
      <c r="CC124">
        <v>14.158253</v>
      </c>
      <c r="CD124">
        <v>31.037655999999998</v>
      </c>
      <c r="CE124" t="s">
        <v>273</v>
      </c>
      <c r="CF124">
        <v>20.473738999999998</v>
      </c>
      <c r="CG124">
        <v>17.886879</v>
      </c>
      <c r="CH124">
        <v>23.878609999999998</v>
      </c>
      <c r="CI124">
        <v>34.400208999999997</v>
      </c>
      <c r="CJ124">
        <v>14.321277</v>
      </c>
      <c r="CK124">
        <v>31.395036999999999</v>
      </c>
      <c r="CL124" t="s">
        <v>273</v>
      </c>
      <c r="CM124">
        <v>423.22992799999997</v>
      </c>
      <c r="CN124">
        <v>484.43885499999999</v>
      </c>
      <c r="CO124">
        <v>362.88122800000002</v>
      </c>
      <c r="CP124">
        <v>251.89089200000001</v>
      </c>
      <c r="CQ124">
        <v>605.05073700000003</v>
      </c>
      <c r="CR124">
        <v>276.00219800000002</v>
      </c>
      <c r="CS124" t="s">
        <v>273</v>
      </c>
      <c r="CT124">
        <v>504.80559599999998</v>
      </c>
      <c r="CU124">
        <v>622.76912300000004</v>
      </c>
      <c r="CV124">
        <v>432.76303200000001</v>
      </c>
      <c r="CW124">
        <v>853.41502600000001</v>
      </c>
      <c r="CX124">
        <v>360.48966300000001</v>
      </c>
      <c r="CY124">
        <v>568.97075099999995</v>
      </c>
      <c r="CZ124" t="s">
        <v>273</v>
      </c>
      <c r="DA124">
        <v>3.6156709999999999</v>
      </c>
      <c r="DB124">
        <v>510.01</v>
      </c>
      <c r="DC124">
        <v>3.8969900000000002</v>
      </c>
      <c r="DD124">
        <v>864</v>
      </c>
      <c r="DE124">
        <v>3.615154</v>
      </c>
      <c r="DF124">
        <v>505</v>
      </c>
      <c r="DG124">
        <v>10.270438</v>
      </c>
      <c r="DH124">
        <v>765</v>
      </c>
      <c r="DI124">
        <v>1.8061020000000001</v>
      </c>
      <c r="DJ124">
        <v>235</v>
      </c>
      <c r="DK124">
        <v>6.2491149999999998</v>
      </c>
      <c r="DL124">
        <v>365</v>
      </c>
      <c r="DM124" t="s">
        <v>273</v>
      </c>
      <c r="DN124">
        <v>2.5007009999999998</v>
      </c>
      <c r="DO124">
        <v>4.7646629999999996</v>
      </c>
      <c r="DP124">
        <v>2.845326</v>
      </c>
      <c r="DQ124" t="s">
        <v>282</v>
      </c>
      <c r="DR124">
        <v>2.916048</v>
      </c>
      <c r="DS124">
        <v>13.030951</v>
      </c>
      <c r="DT124">
        <v>23.556988</v>
      </c>
      <c r="DU124">
        <v>117.593018</v>
      </c>
      <c r="DV124">
        <v>222.52963199999999</v>
      </c>
      <c r="DW124" t="s">
        <v>283</v>
      </c>
      <c r="DX124" t="s">
        <v>273</v>
      </c>
      <c r="DY124">
        <v>18.977789999999999</v>
      </c>
      <c r="DZ124">
        <v>1.5821000000000002E-2</v>
      </c>
      <c r="EA124">
        <v>1.112009</v>
      </c>
      <c r="EB124">
        <v>0.90826399999999996</v>
      </c>
      <c r="EC124">
        <v>81.677749000000006</v>
      </c>
      <c r="ED124">
        <v>15.040721</v>
      </c>
      <c r="EE124">
        <v>545.25737200000003</v>
      </c>
      <c r="EF124">
        <v>6.2210070000000002</v>
      </c>
      <c r="EG124">
        <v>12</v>
      </c>
      <c r="EH124">
        <v>12</v>
      </c>
      <c r="EI124">
        <v>12</v>
      </c>
      <c r="EJ124">
        <v>12</v>
      </c>
      <c r="EK124" t="s">
        <v>273</v>
      </c>
      <c r="EL124" t="s">
        <v>273</v>
      </c>
      <c r="EM124">
        <v>16.538245</v>
      </c>
      <c r="EN124">
        <v>9.4160000000000008E-3</v>
      </c>
      <c r="EO124">
        <v>1.1955150000000001</v>
      </c>
      <c r="EP124">
        <v>0.94426399999999999</v>
      </c>
      <c r="EQ124">
        <v>78.983845000000002</v>
      </c>
      <c r="ER124">
        <v>12.292316</v>
      </c>
      <c r="ES124">
        <v>510.06757900000002</v>
      </c>
      <c r="ET124">
        <v>3.7024750000000002</v>
      </c>
      <c r="EU124">
        <v>19</v>
      </c>
      <c r="EV124">
        <v>19</v>
      </c>
      <c r="EW124">
        <v>19</v>
      </c>
      <c r="EX124">
        <v>19</v>
      </c>
      <c r="EY124" t="s">
        <v>273</v>
      </c>
      <c r="EZ124" t="s">
        <v>273</v>
      </c>
      <c r="FA124">
        <v>22.107999</v>
      </c>
      <c r="FB124">
        <v>1.5977000000000002E-2</v>
      </c>
      <c r="FC124">
        <v>1.1105499999999999</v>
      </c>
      <c r="FD124">
        <v>0.90820900000000004</v>
      </c>
      <c r="FE124">
        <v>81.780046999999996</v>
      </c>
      <c r="FF124">
        <v>17.543227999999999</v>
      </c>
      <c r="FG124">
        <v>545.29613199999994</v>
      </c>
      <c r="FH124">
        <v>6.2822719999999999</v>
      </c>
      <c r="FI124">
        <v>12</v>
      </c>
      <c r="FJ124">
        <v>12</v>
      </c>
      <c r="FK124">
        <v>12</v>
      </c>
      <c r="FL124">
        <v>12</v>
      </c>
      <c r="FM124" t="s">
        <v>273</v>
      </c>
      <c r="FN124" t="s">
        <v>273</v>
      </c>
      <c r="FO124">
        <v>21.818225000000002</v>
      </c>
      <c r="FP124">
        <v>2.2388999999999999E-2</v>
      </c>
      <c r="FQ124">
        <v>2.1613169999999999</v>
      </c>
      <c r="FR124">
        <v>1.893572</v>
      </c>
      <c r="FS124">
        <v>87.611974000000004</v>
      </c>
      <c r="FT124">
        <v>18.88541</v>
      </c>
      <c r="FU124">
        <v>407.46482600000002</v>
      </c>
      <c r="FV124">
        <v>8.8037259999999993</v>
      </c>
      <c r="FW124">
        <v>5</v>
      </c>
      <c r="FX124">
        <v>5</v>
      </c>
      <c r="FY124">
        <v>5</v>
      </c>
      <c r="FZ124">
        <v>5</v>
      </c>
      <c r="GA124" t="s">
        <v>273</v>
      </c>
      <c r="GB124" t="s">
        <v>273</v>
      </c>
      <c r="GC124">
        <v>29.097106</v>
      </c>
      <c r="GD124">
        <v>3.6270999999999998E-2</v>
      </c>
      <c r="GE124">
        <v>1.217535</v>
      </c>
      <c r="GF124">
        <v>0.97114800000000001</v>
      </c>
      <c r="GG124">
        <v>79.763525000000001</v>
      </c>
      <c r="GH124">
        <v>22.248953</v>
      </c>
      <c r="GI124">
        <v>1153.07377</v>
      </c>
      <c r="GJ124">
        <v>14.261995000000001</v>
      </c>
      <c r="GK124">
        <v>21</v>
      </c>
      <c r="GL124">
        <v>21</v>
      </c>
      <c r="GM124">
        <v>20</v>
      </c>
      <c r="GN124">
        <v>21</v>
      </c>
      <c r="GO124" t="s">
        <v>273</v>
      </c>
      <c r="GP124" t="s">
        <v>273</v>
      </c>
      <c r="GQ124">
        <v>28.049786000000001</v>
      </c>
      <c r="GR124">
        <v>3.9322000000000003E-2</v>
      </c>
      <c r="GS124">
        <v>1.8525</v>
      </c>
      <c r="GT124">
        <v>1.6051960000000001</v>
      </c>
      <c r="GU124">
        <v>86.650271000000004</v>
      </c>
      <c r="GV124">
        <v>23.737062000000002</v>
      </c>
      <c r="GW124">
        <v>561.16563199999996</v>
      </c>
      <c r="GX124">
        <v>15.461997999999999</v>
      </c>
      <c r="GY124">
        <v>15</v>
      </c>
      <c r="GZ124">
        <v>15</v>
      </c>
      <c r="HA124">
        <v>8</v>
      </c>
      <c r="HB124">
        <v>9</v>
      </c>
      <c r="HC124" t="s">
        <v>273</v>
      </c>
      <c r="HD124" t="s">
        <v>273</v>
      </c>
      <c r="HE124">
        <v>9</v>
      </c>
      <c r="HF124">
        <v>5.0000000000000001E-4</v>
      </c>
      <c r="HG124">
        <v>3.0000000000000001E-3</v>
      </c>
      <c r="HH124">
        <v>0.111111</v>
      </c>
      <c r="HI124">
        <v>4750</v>
      </c>
    </row>
    <row r="125" spans="1:217" x14ac:dyDescent="0.3">
      <c r="A125">
        <v>715</v>
      </c>
      <c r="B125" t="s">
        <v>269</v>
      </c>
      <c r="F125" t="s">
        <v>270</v>
      </c>
      <c r="G125" t="s">
        <v>293</v>
      </c>
      <c r="H125" t="s">
        <v>294</v>
      </c>
      <c r="I125">
        <v>5500</v>
      </c>
      <c r="J125">
        <v>1</v>
      </c>
      <c r="K125">
        <v>41.817186999999997</v>
      </c>
      <c r="L125">
        <v>0.22</v>
      </c>
      <c r="M125">
        <v>1.3363E-2</v>
      </c>
      <c r="N125">
        <v>0</v>
      </c>
      <c r="O125">
        <v>0</v>
      </c>
      <c r="P125">
        <v>0</v>
      </c>
      <c r="Q125">
        <v>11.5</v>
      </c>
      <c r="R125">
        <v>1</v>
      </c>
      <c r="S125">
        <v>1</v>
      </c>
      <c r="T125">
        <v>1</v>
      </c>
      <c r="U125">
        <v>1</v>
      </c>
      <c r="V125">
        <v>100</v>
      </c>
      <c r="W125" t="s">
        <v>273</v>
      </c>
      <c r="X125" t="s">
        <v>274</v>
      </c>
      <c r="Y125" t="s">
        <v>274</v>
      </c>
      <c r="Z125" t="s">
        <v>273</v>
      </c>
      <c r="AA125" t="s">
        <v>275</v>
      </c>
      <c r="AB125" t="s">
        <v>276</v>
      </c>
      <c r="AC125">
        <v>469</v>
      </c>
      <c r="AD125">
        <v>5</v>
      </c>
      <c r="AE125" t="s">
        <v>277</v>
      </c>
      <c r="AF125">
        <v>2.962364</v>
      </c>
      <c r="AG125">
        <v>100</v>
      </c>
      <c r="AH125">
        <v>26.7</v>
      </c>
      <c r="AI125">
        <v>1600</v>
      </c>
      <c r="AJ125">
        <v>800</v>
      </c>
      <c r="AK125">
        <v>1200</v>
      </c>
      <c r="AL125">
        <v>150</v>
      </c>
      <c r="AM125">
        <v>2.2000000000000002</v>
      </c>
      <c r="AN125" t="s">
        <v>273</v>
      </c>
      <c r="AO125" t="s">
        <v>278</v>
      </c>
      <c r="AP125" t="s">
        <v>295</v>
      </c>
      <c r="AQ125">
        <v>4</v>
      </c>
      <c r="AR125">
        <v>8</v>
      </c>
      <c r="AS125">
        <v>224.3</v>
      </c>
      <c r="AT125">
        <v>408</v>
      </c>
      <c r="AU125">
        <v>0.23255999999999999</v>
      </c>
      <c r="AV125">
        <v>36.299999999999997</v>
      </c>
      <c r="AW125">
        <v>237</v>
      </c>
      <c r="AX125" t="s">
        <v>280</v>
      </c>
      <c r="AY125">
        <v>0</v>
      </c>
      <c r="AZ125" t="s">
        <v>281</v>
      </c>
      <c r="BA125">
        <v>0.2</v>
      </c>
      <c r="BB125">
        <v>0.5</v>
      </c>
      <c r="BC125" t="s">
        <v>273</v>
      </c>
      <c r="BD125" t="s">
        <v>273</v>
      </c>
      <c r="BE125">
        <v>22.247637000000001</v>
      </c>
      <c r="BF125">
        <v>22.503806000000001</v>
      </c>
      <c r="BG125">
        <v>385.050387</v>
      </c>
      <c r="BH125" t="s">
        <v>273</v>
      </c>
      <c r="BI125">
        <v>36.983941999999999</v>
      </c>
      <c r="BJ125">
        <v>37.409790999999998</v>
      </c>
      <c r="BK125">
        <v>231.62650500000001</v>
      </c>
      <c r="BL125" t="s">
        <v>273</v>
      </c>
      <c r="BM125">
        <v>36.985784000000002</v>
      </c>
      <c r="BN125">
        <v>37.411653999999999</v>
      </c>
      <c r="BO125">
        <v>231.61497</v>
      </c>
      <c r="BP125" t="s">
        <v>273</v>
      </c>
      <c r="BQ125">
        <v>22.823875999999998</v>
      </c>
      <c r="BR125">
        <v>23.086680000000001</v>
      </c>
      <c r="BS125">
        <v>375.32893899999999</v>
      </c>
      <c r="BT125" t="s">
        <v>273</v>
      </c>
      <c r="BU125">
        <v>6.7919869999999998</v>
      </c>
      <c r="BV125">
        <v>6.8701930000000004</v>
      </c>
      <c r="BW125">
        <v>1261.259916</v>
      </c>
      <c r="BX125" t="s">
        <v>273</v>
      </c>
      <c r="BY125">
        <v>21.866821000000002</v>
      </c>
      <c r="BZ125">
        <v>21.018564999999999</v>
      </c>
      <c r="CA125">
        <v>25.385791000000001</v>
      </c>
      <c r="CB125">
        <v>36.985784000000002</v>
      </c>
      <c r="CC125">
        <v>13.108172</v>
      </c>
      <c r="CD125">
        <v>29.016537</v>
      </c>
      <c r="CE125" t="s">
        <v>273</v>
      </c>
      <c r="CF125">
        <v>22.118604999999999</v>
      </c>
      <c r="CG125">
        <v>21.260581999999999</v>
      </c>
      <c r="CH125">
        <v>25.678094000000002</v>
      </c>
      <c r="CI125">
        <v>37.411653999999999</v>
      </c>
      <c r="CJ125">
        <v>13.259105</v>
      </c>
      <c r="CK125">
        <v>29.350646000000001</v>
      </c>
      <c r="CL125" t="s">
        <v>273</v>
      </c>
      <c r="CM125">
        <v>391.75614100000001</v>
      </c>
      <c r="CN125">
        <v>407.56641500000001</v>
      </c>
      <c r="CO125">
        <v>337.45102500000002</v>
      </c>
      <c r="CP125">
        <v>231.61497</v>
      </c>
      <c r="CQ125">
        <v>653.52067199999999</v>
      </c>
      <c r="CR125">
        <v>295.22686099999999</v>
      </c>
      <c r="CS125" t="s">
        <v>273</v>
      </c>
      <c r="CT125">
        <v>466.82376299999999</v>
      </c>
      <c r="CU125">
        <v>522.95644300000004</v>
      </c>
      <c r="CV125">
        <v>402.050973</v>
      </c>
      <c r="CW125">
        <v>784.66601900000001</v>
      </c>
      <c r="CX125">
        <v>387.77765199999999</v>
      </c>
      <c r="CY125">
        <v>608.38675999999998</v>
      </c>
      <c r="CZ125" t="s">
        <v>273</v>
      </c>
      <c r="DA125">
        <v>3.6122540000000001</v>
      </c>
      <c r="DB125">
        <v>510.01</v>
      </c>
      <c r="DC125">
        <v>3.8896299999999999</v>
      </c>
      <c r="DD125">
        <v>864</v>
      </c>
      <c r="DE125">
        <v>3.6116990000000002</v>
      </c>
      <c r="DF125">
        <v>505</v>
      </c>
      <c r="DG125">
        <v>10.269738</v>
      </c>
      <c r="DH125">
        <v>765</v>
      </c>
      <c r="DI125">
        <v>1.798724</v>
      </c>
      <c r="DJ125">
        <v>235</v>
      </c>
      <c r="DK125">
        <v>6.2469070000000002</v>
      </c>
      <c r="DL125">
        <v>365</v>
      </c>
      <c r="DM125" t="s">
        <v>273</v>
      </c>
      <c r="DN125">
        <v>3.558729</v>
      </c>
      <c r="DO125">
        <v>8.0761249999999993</v>
      </c>
      <c r="DP125">
        <v>4.2612459999999999</v>
      </c>
      <c r="DQ125" t="s">
        <v>282</v>
      </c>
      <c r="DR125">
        <v>4.6099899999999998</v>
      </c>
      <c r="DS125">
        <v>16.300751000000002</v>
      </c>
      <c r="DT125">
        <v>33.248111000000002</v>
      </c>
      <c r="DU125">
        <v>92.134811999999997</v>
      </c>
      <c r="DV125">
        <v>168.122387</v>
      </c>
      <c r="DW125" t="s">
        <v>283</v>
      </c>
      <c r="DX125" t="s">
        <v>273</v>
      </c>
      <c r="DY125">
        <v>23.338311000000001</v>
      </c>
      <c r="DZ125">
        <v>3.2134000000000003E-2</v>
      </c>
      <c r="EA125">
        <v>1.2646230000000001</v>
      </c>
      <c r="EB125">
        <v>1.043525</v>
      </c>
      <c r="EC125">
        <v>82.516706999999997</v>
      </c>
      <c r="ED125">
        <v>18.840204</v>
      </c>
      <c r="EE125">
        <v>632.20615799999996</v>
      </c>
      <c r="EF125">
        <v>7.2062150000000003</v>
      </c>
      <c r="EG125">
        <v>25</v>
      </c>
      <c r="EH125">
        <v>25</v>
      </c>
      <c r="EI125">
        <v>21</v>
      </c>
      <c r="EJ125">
        <v>24</v>
      </c>
      <c r="EK125" t="s">
        <v>273</v>
      </c>
      <c r="EL125" t="s">
        <v>273</v>
      </c>
      <c r="EM125">
        <v>22.334271000000001</v>
      </c>
      <c r="EN125">
        <v>1.9112000000000001E-2</v>
      </c>
      <c r="EO125">
        <v>1.355739</v>
      </c>
      <c r="EP125">
        <v>1.063572</v>
      </c>
      <c r="EQ125">
        <v>78.449596</v>
      </c>
      <c r="ER125">
        <v>16.944994000000001</v>
      </c>
      <c r="ES125">
        <v>591.55444399999999</v>
      </c>
      <c r="ET125">
        <v>4.2858609999999997</v>
      </c>
      <c r="EU125">
        <v>25</v>
      </c>
      <c r="EV125">
        <v>25</v>
      </c>
      <c r="EW125">
        <v>25</v>
      </c>
      <c r="EX125">
        <v>25</v>
      </c>
      <c r="EY125" t="s">
        <v>273</v>
      </c>
      <c r="EZ125" t="s">
        <v>273</v>
      </c>
      <c r="FA125">
        <v>27.084164000000001</v>
      </c>
      <c r="FB125">
        <v>3.245E-2</v>
      </c>
      <c r="FC125">
        <v>1.2639659999999999</v>
      </c>
      <c r="FD125">
        <v>1.0434570000000001</v>
      </c>
      <c r="FE125">
        <v>82.554260999999997</v>
      </c>
      <c r="FF125">
        <v>21.873729999999998</v>
      </c>
      <c r="FG125">
        <v>632.25421100000005</v>
      </c>
      <c r="FH125">
        <v>7.2771400000000002</v>
      </c>
      <c r="FI125">
        <v>25</v>
      </c>
      <c r="FJ125">
        <v>25</v>
      </c>
      <c r="FK125">
        <v>21</v>
      </c>
      <c r="FL125">
        <v>24</v>
      </c>
      <c r="FM125" t="s">
        <v>273</v>
      </c>
      <c r="FN125" t="s">
        <v>273</v>
      </c>
      <c r="FO125">
        <v>27.393035000000001</v>
      </c>
      <c r="FP125">
        <v>4.5418E-2</v>
      </c>
      <c r="FQ125">
        <v>2.494961</v>
      </c>
      <c r="FR125">
        <v>2.1848200000000002</v>
      </c>
      <c r="FS125">
        <v>87.569318999999993</v>
      </c>
      <c r="FT125">
        <v>23.763210000000001</v>
      </c>
      <c r="FU125">
        <v>471.43624699999998</v>
      </c>
      <c r="FV125">
        <v>10.185205</v>
      </c>
      <c r="FW125">
        <v>12</v>
      </c>
      <c r="FX125">
        <v>12</v>
      </c>
      <c r="FY125">
        <v>9</v>
      </c>
      <c r="FZ125">
        <v>9</v>
      </c>
      <c r="GA125" t="s">
        <v>273</v>
      </c>
      <c r="GB125" t="s">
        <v>273</v>
      </c>
      <c r="GC125">
        <v>30.417335999999999</v>
      </c>
      <c r="GD125">
        <v>7.3714000000000002E-2</v>
      </c>
      <c r="GE125">
        <v>1.369124</v>
      </c>
      <c r="GF125">
        <v>1.1165069999999999</v>
      </c>
      <c r="GG125">
        <v>81.549030999999999</v>
      </c>
      <c r="GH125">
        <v>23.973576999999999</v>
      </c>
      <c r="GI125">
        <v>1341.988331</v>
      </c>
      <c r="GJ125">
        <v>16.530818</v>
      </c>
      <c r="GK125">
        <v>30</v>
      </c>
      <c r="GL125">
        <v>30</v>
      </c>
      <c r="GM125">
        <v>17</v>
      </c>
      <c r="GN125">
        <v>26</v>
      </c>
      <c r="GO125" t="s">
        <v>273</v>
      </c>
      <c r="GP125" t="s">
        <v>273</v>
      </c>
      <c r="GQ125">
        <v>29.880523</v>
      </c>
      <c r="GR125">
        <v>7.9533999999999994E-2</v>
      </c>
      <c r="GS125">
        <v>2.1101179999999999</v>
      </c>
      <c r="GT125">
        <v>1.8385819999999999</v>
      </c>
      <c r="GU125">
        <v>87.131730000000005</v>
      </c>
      <c r="GV125">
        <v>25.607395</v>
      </c>
      <c r="GW125">
        <v>647.549217</v>
      </c>
      <c r="GX125">
        <v>17.835851000000002</v>
      </c>
      <c r="GY125">
        <v>26</v>
      </c>
      <c r="GZ125">
        <v>26</v>
      </c>
      <c r="HA125">
        <v>13</v>
      </c>
      <c r="HB125">
        <v>13</v>
      </c>
      <c r="HC125" t="s">
        <v>273</v>
      </c>
      <c r="HD125" t="s">
        <v>273</v>
      </c>
      <c r="HE125">
        <v>18</v>
      </c>
      <c r="HF125">
        <v>5.0000000000000001E-4</v>
      </c>
      <c r="HG125">
        <v>3.0000000000000001E-3</v>
      </c>
      <c r="HH125">
        <v>5.5556000000000001E-2</v>
      </c>
      <c r="HI125">
        <v>5500</v>
      </c>
    </row>
    <row r="126" spans="1:217" x14ac:dyDescent="0.3">
      <c r="A126">
        <v>716</v>
      </c>
      <c r="B126" t="s">
        <v>269</v>
      </c>
      <c r="F126" t="s">
        <v>270</v>
      </c>
      <c r="G126" t="s">
        <v>293</v>
      </c>
      <c r="H126" t="s">
        <v>294</v>
      </c>
      <c r="I126">
        <v>7500</v>
      </c>
      <c r="J126">
        <v>1</v>
      </c>
      <c r="K126">
        <v>58.223436999999997</v>
      </c>
      <c r="L126">
        <v>0.22</v>
      </c>
      <c r="M126">
        <v>1.9223000000000001E-2</v>
      </c>
      <c r="N126">
        <v>0</v>
      </c>
      <c r="O126">
        <v>0</v>
      </c>
      <c r="P126">
        <v>0</v>
      </c>
      <c r="Q126">
        <v>15.64</v>
      </c>
      <c r="R126">
        <v>1</v>
      </c>
      <c r="S126">
        <v>1</v>
      </c>
      <c r="T126">
        <v>1</v>
      </c>
      <c r="U126">
        <v>1</v>
      </c>
      <c r="V126">
        <v>100</v>
      </c>
      <c r="W126" t="s">
        <v>273</v>
      </c>
      <c r="X126" t="s">
        <v>274</v>
      </c>
      <c r="Y126" t="s">
        <v>274</v>
      </c>
      <c r="Z126" t="s">
        <v>273</v>
      </c>
      <c r="AA126" t="s">
        <v>275</v>
      </c>
      <c r="AB126" t="s">
        <v>276</v>
      </c>
      <c r="AC126">
        <v>646</v>
      </c>
      <c r="AD126">
        <v>5</v>
      </c>
      <c r="AE126" t="s">
        <v>277</v>
      </c>
      <c r="AF126">
        <v>2.7309290000000002</v>
      </c>
      <c r="AG126">
        <v>100</v>
      </c>
      <c r="AH126">
        <v>24.6</v>
      </c>
      <c r="AI126">
        <v>1475</v>
      </c>
      <c r="AJ126">
        <v>800</v>
      </c>
      <c r="AK126">
        <v>1200</v>
      </c>
      <c r="AL126">
        <v>127.9</v>
      </c>
      <c r="AM126">
        <v>2.2000000000000002</v>
      </c>
      <c r="AN126" t="s">
        <v>273</v>
      </c>
      <c r="AO126" t="s">
        <v>278</v>
      </c>
      <c r="AP126" t="s">
        <v>296</v>
      </c>
      <c r="AQ126">
        <v>5.5</v>
      </c>
      <c r="AR126">
        <v>8</v>
      </c>
      <c r="AS126">
        <v>308.7</v>
      </c>
      <c r="AT126">
        <v>561.70000000000005</v>
      </c>
      <c r="AU126">
        <v>0.31977</v>
      </c>
      <c r="AV126">
        <v>36.799999999999997</v>
      </c>
      <c r="AW126">
        <v>233.9</v>
      </c>
      <c r="AX126" t="s">
        <v>280</v>
      </c>
      <c r="AY126">
        <v>0</v>
      </c>
      <c r="AZ126" t="s">
        <v>281</v>
      </c>
      <c r="BA126">
        <v>0.2</v>
      </c>
      <c r="BB126">
        <v>0.5</v>
      </c>
      <c r="BC126" t="s">
        <v>273</v>
      </c>
      <c r="BD126" t="s">
        <v>273</v>
      </c>
      <c r="BE126">
        <v>16.837949999999999</v>
      </c>
      <c r="BF126">
        <v>17.031829999999999</v>
      </c>
      <c r="BG126">
        <v>508.75914999999998</v>
      </c>
      <c r="BH126" t="s">
        <v>273</v>
      </c>
      <c r="BI126">
        <v>28.243694000000001</v>
      </c>
      <c r="BJ126">
        <v>28.568904</v>
      </c>
      <c r="BK126">
        <v>303.30527000000001</v>
      </c>
      <c r="BL126" t="s">
        <v>273</v>
      </c>
      <c r="BM126">
        <v>28.245035000000001</v>
      </c>
      <c r="BN126">
        <v>28.570260999999999</v>
      </c>
      <c r="BO126">
        <v>303.29086599999999</v>
      </c>
      <c r="BP126" t="s">
        <v>273</v>
      </c>
      <c r="BQ126">
        <v>17.172598000000001</v>
      </c>
      <c r="BR126">
        <v>17.370331</v>
      </c>
      <c r="BS126">
        <v>498.84480100000002</v>
      </c>
      <c r="BT126" t="s">
        <v>273</v>
      </c>
      <c r="BU126">
        <v>4.9069229999999999</v>
      </c>
      <c r="BV126">
        <v>4.9634229999999997</v>
      </c>
      <c r="BW126">
        <v>1745.7909099999999</v>
      </c>
      <c r="BX126" t="s">
        <v>273</v>
      </c>
      <c r="BY126">
        <v>16.517865</v>
      </c>
      <c r="BZ126">
        <v>15.935086999999999</v>
      </c>
      <c r="CA126">
        <v>19.170680999999998</v>
      </c>
      <c r="CB126">
        <v>28.245035000000001</v>
      </c>
      <c r="CC126">
        <v>9.7795470000000009</v>
      </c>
      <c r="CD126">
        <v>21.949413</v>
      </c>
      <c r="CE126" t="s">
        <v>273</v>
      </c>
      <c r="CF126">
        <v>16.708058999999999</v>
      </c>
      <c r="CG126">
        <v>16.118570999999999</v>
      </c>
      <c r="CH126">
        <v>19.391421000000001</v>
      </c>
      <c r="CI126">
        <v>28.570260999999999</v>
      </c>
      <c r="CJ126">
        <v>9.8921530000000004</v>
      </c>
      <c r="CK126">
        <v>22.202148000000001</v>
      </c>
      <c r="CL126" t="s">
        <v>273</v>
      </c>
      <c r="CM126">
        <v>518.61795099999995</v>
      </c>
      <c r="CN126">
        <v>537.584833</v>
      </c>
      <c r="CO126">
        <v>446.85220500000003</v>
      </c>
      <c r="CP126">
        <v>303.29086599999999</v>
      </c>
      <c r="CQ126">
        <v>875.95689400000003</v>
      </c>
      <c r="CR126">
        <v>390.282017</v>
      </c>
      <c r="CS126" t="s">
        <v>273</v>
      </c>
      <c r="CT126">
        <v>618.01074800000004</v>
      </c>
      <c r="CU126">
        <v>689.90118399999994</v>
      </c>
      <c r="CV126">
        <v>532.40874199999996</v>
      </c>
      <c r="CW126">
        <v>1027.5208399999999</v>
      </c>
      <c r="CX126">
        <v>519.686151</v>
      </c>
      <c r="CY126">
        <v>804.31550400000003</v>
      </c>
      <c r="CZ126" t="s">
        <v>273</v>
      </c>
      <c r="DA126">
        <v>3.6123479999999999</v>
      </c>
      <c r="DB126">
        <v>510.01</v>
      </c>
      <c r="DC126">
        <v>3.8902809999999999</v>
      </c>
      <c r="DD126">
        <v>864</v>
      </c>
      <c r="DE126">
        <v>3.6117889999999999</v>
      </c>
      <c r="DF126">
        <v>505</v>
      </c>
      <c r="DG126">
        <v>10.270047</v>
      </c>
      <c r="DH126">
        <v>765</v>
      </c>
      <c r="DI126">
        <v>1.7984549999999999</v>
      </c>
      <c r="DJ126">
        <v>235</v>
      </c>
      <c r="DK126">
        <v>6.2472519999999996</v>
      </c>
      <c r="DL126">
        <v>365</v>
      </c>
      <c r="DM126" t="s">
        <v>273</v>
      </c>
      <c r="DN126">
        <v>3.6757089999999999</v>
      </c>
      <c r="DO126">
        <v>8.3128510000000002</v>
      </c>
      <c r="DP126">
        <v>4.5553910000000002</v>
      </c>
      <c r="DQ126" t="s">
        <v>282</v>
      </c>
      <c r="DR126">
        <v>4.6542019999999997</v>
      </c>
      <c r="DS126">
        <v>16.430990000000001</v>
      </c>
      <c r="DT126">
        <v>33.953434000000001</v>
      </c>
      <c r="DU126">
        <v>91.903283999999999</v>
      </c>
      <c r="DV126">
        <v>174.041381</v>
      </c>
      <c r="DW126" t="s">
        <v>283</v>
      </c>
      <c r="DX126" t="s">
        <v>273</v>
      </c>
      <c r="DY126">
        <v>24.229973999999999</v>
      </c>
      <c r="DZ126">
        <v>3.1774999999999998E-2</v>
      </c>
      <c r="EA126">
        <v>1.7381519999999999</v>
      </c>
      <c r="EB126">
        <v>1.420911</v>
      </c>
      <c r="EC126">
        <v>81.748384999999999</v>
      </c>
      <c r="ED126">
        <v>19.373117000000001</v>
      </c>
      <c r="EE126">
        <v>860.60579600000005</v>
      </c>
      <c r="EF126">
        <v>9.8098890000000001</v>
      </c>
      <c r="EG126">
        <v>22</v>
      </c>
      <c r="EH126">
        <v>22</v>
      </c>
      <c r="EI126">
        <v>19</v>
      </c>
      <c r="EJ126">
        <v>20</v>
      </c>
      <c r="EK126" t="s">
        <v>273</v>
      </c>
      <c r="EL126" t="s">
        <v>273</v>
      </c>
      <c r="EM126">
        <v>23.217237999999998</v>
      </c>
      <c r="EN126">
        <v>1.8918999999999998E-2</v>
      </c>
      <c r="EO126">
        <v>1.859243</v>
      </c>
      <c r="EP126">
        <v>1.451354</v>
      </c>
      <c r="EQ126">
        <v>78.061572999999996</v>
      </c>
      <c r="ER126">
        <v>17.505154999999998</v>
      </c>
      <c r="ES126">
        <v>806.06195000000002</v>
      </c>
      <c r="ET126">
        <v>5.8409649999999997</v>
      </c>
      <c r="EU126">
        <v>23</v>
      </c>
      <c r="EV126">
        <v>23</v>
      </c>
      <c r="EW126">
        <v>23</v>
      </c>
      <c r="EX126">
        <v>23</v>
      </c>
      <c r="EY126" t="s">
        <v>273</v>
      </c>
      <c r="EZ126" t="s">
        <v>273</v>
      </c>
      <c r="FA126">
        <v>28.113126999999999</v>
      </c>
      <c r="FB126">
        <v>3.2087999999999998E-2</v>
      </c>
      <c r="FC126">
        <v>1.7373730000000001</v>
      </c>
      <c r="FD126">
        <v>1.4208320000000001</v>
      </c>
      <c r="FE126">
        <v>81.780502999999996</v>
      </c>
      <c r="FF126">
        <v>22.486414</v>
      </c>
      <c r="FG126">
        <v>860.68086300000004</v>
      </c>
      <c r="FH126">
        <v>9.906542</v>
      </c>
      <c r="FI126">
        <v>22</v>
      </c>
      <c r="FJ126">
        <v>22</v>
      </c>
      <c r="FK126">
        <v>19</v>
      </c>
      <c r="FL126">
        <v>20</v>
      </c>
      <c r="FM126" t="s">
        <v>273</v>
      </c>
      <c r="FN126" t="s">
        <v>273</v>
      </c>
      <c r="FO126">
        <v>28.486908</v>
      </c>
      <c r="FP126">
        <v>4.4928999999999997E-2</v>
      </c>
      <c r="FQ126">
        <v>3.3976190000000002</v>
      </c>
      <c r="FR126">
        <v>2.9751319999999999</v>
      </c>
      <c r="FS126">
        <v>87.565212000000002</v>
      </c>
      <c r="FT126">
        <v>24.7135</v>
      </c>
      <c r="FU126">
        <v>642.01445699999999</v>
      </c>
      <c r="FV126">
        <v>13.870901999999999</v>
      </c>
      <c r="FW126">
        <v>7</v>
      </c>
      <c r="FX126">
        <v>7</v>
      </c>
      <c r="FY126">
        <v>7</v>
      </c>
      <c r="FZ126">
        <v>7</v>
      </c>
      <c r="GA126" t="s">
        <v>273</v>
      </c>
      <c r="GB126" t="s">
        <v>273</v>
      </c>
      <c r="GC126">
        <v>31.284064000000001</v>
      </c>
      <c r="GD126">
        <v>7.2989999999999999E-2</v>
      </c>
      <c r="GE126">
        <v>1.887135</v>
      </c>
      <c r="GF126">
        <v>1.5213909999999999</v>
      </c>
      <c r="GG126">
        <v>80.619082000000006</v>
      </c>
      <c r="GH126">
        <v>24.385065999999998</v>
      </c>
      <c r="GI126">
        <v>1829.6326100000001</v>
      </c>
      <c r="GJ126">
        <v>22.534320000000001</v>
      </c>
      <c r="GK126">
        <v>27</v>
      </c>
      <c r="GL126">
        <v>27</v>
      </c>
      <c r="GM126">
        <v>18</v>
      </c>
      <c r="GN126">
        <v>25</v>
      </c>
      <c r="GO126" t="s">
        <v>273</v>
      </c>
      <c r="GP126" t="s">
        <v>273</v>
      </c>
      <c r="GQ126">
        <v>30.938071000000001</v>
      </c>
      <c r="GR126">
        <v>7.8856999999999997E-2</v>
      </c>
      <c r="GS126">
        <v>2.8884069999999999</v>
      </c>
      <c r="GT126">
        <v>2.5089600000000001</v>
      </c>
      <c r="GU126">
        <v>86.863118999999998</v>
      </c>
      <c r="GV126">
        <v>26.439238</v>
      </c>
      <c r="GW126">
        <v>883.85077699999999</v>
      </c>
      <c r="GX126">
        <v>24.345797999999998</v>
      </c>
      <c r="GY126">
        <v>30</v>
      </c>
      <c r="GZ126">
        <v>30</v>
      </c>
      <c r="HA126">
        <v>19</v>
      </c>
      <c r="HB126">
        <v>20</v>
      </c>
      <c r="HC126" t="s">
        <v>273</v>
      </c>
      <c r="HD126" t="s">
        <v>273</v>
      </c>
      <c r="HE126">
        <v>18</v>
      </c>
      <c r="HF126">
        <v>5.0000000000000001E-4</v>
      </c>
      <c r="HG126">
        <v>3.0000000000000001E-3</v>
      </c>
      <c r="HH126">
        <v>5.5556000000000001E-2</v>
      </c>
      <c r="HI126">
        <v>7500</v>
      </c>
    </row>
    <row r="127" spans="1:217" x14ac:dyDescent="0.3">
      <c r="A127">
        <v>717</v>
      </c>
      <c r="B127" t="s">
        <v>269</v>
      </c>
      <c r="F127" t="s">
        <v>270</v>
      </c>
      <c r="G127" t="s">
        <v>293</v>
      </c>
      <c r="H127" t="s">
        <v>294</v>
      </c>
      <c r="I127">
        <v>9500</v>
      </c>
      <c r="J127">
        <v>1</v>
      </c>
      <c r="K127">
        <v>74.629687000000004</v>
      </c>
      <c r="L127">
        <v>0.22</v>
      </c>
      <c r="M127">
        <v>2.5082E-2</v>
      </c>
      <c r="N127">
        <v>0</v>
      </c>
      <c r="O127">
        <v>0</v>
      </c>
      <c r="P127">
        <v>0</v>
      </c>
      <c r="Q127">
        <v>19.78</v>
      </c>
      <c r="R127">
        <v>1</v>
      </c>
      <c r="S127">
        <v>1</v>
      </c>
      <c r="T127">
        <v>1</v>
      </c>
      <c r="U127">
        <v>1</v>
      </c>
      <c r="V127">
        <v>100</v>
      </c>
      <c r="W127" t="s">
        <v>273</v>
      </c>
      <c r="X127" t="s">
        <v>274</v>
      </c>
      <c r="Y127" t="s">
        <v>274</v>
      </c>
      <c r="Z127" t="s">
        <v>273</v>
      </c>
      <c r="AA127" t="s">
        <v>275</v>
      </c>
      <c r="AB127" t="s">
        <v>276</v>
      </c>
      <c r="AC127">
        <v>823</v>
      </c>
      <c r="AD127">
        <v>5</v>
      </c>
      <c r="AE127" t="s">
        <v>277</v>
      </c>
      <c r="AF127">
        <v>2.4069210000000001</v>
      </c>
      <c r="AG127">
        <v>100</v>
      </c>
      <c r="AH127">
        <v>21.7</v>
      </c>
      <c r="AI127">
        <v>1300</v>
      </c>
      <c r="AJ127">
        <v>800</v>
      </c>
      <c r="AK127">
        <v>1200</v>
      </c>
      <c r="AL127">
        <v>113.3</v>
      </c>
      <c r="AM127">
        <v>2.2000000000000002</v>
      </c>
      <c r="AN127" t="s">
        <v>273</v>
      </c>
      <c r="AO127" t="s">
        <v>278</v>
      </c>
      <c r="AP127" t="s">
        <v>297</v>
      </c>
      <c r="AQ127">
        <v>7</v>
      </c>
      <c r="AR127">
        <v>8</v>
      </c>
      <c r="AS127">
        <v>393.2</v>
      </c>
      <c r="AT127">
        <v>715.3</v>
      </c>
      <c r="AU127">
        <v>0.40698000000000001</v>
      </c>
      <c r="AV127">
        <v>37.200000000000003</v>
      </c>
      <c r="AW127">
        <v>231.7</v>
      </c>
      <c r="AX127" t="s">
        <v>280</v>
      </c>
      <c r="AY127">
        <v>0</v>
      </c>
      <c r="AZ127" t="s">
        <v>281</v>
      </c>
      <c r="BA127">
        <v>0.2</v>
      </c>
      <c r="BB127">
        <v>0.5</v>
      </c>
      <c r="BC127" t="s">
        <v>273</v>
      </c>
      <c r="BD127" t="s">
        <v>273</v>
      </c>
      <c r="BE127">
        <v>13.359068000000001</v>
      </c>
      <c r="BF127">
        <v>13.512890000000001</v>
      </c>
      <c r="BG127">
        <v>641.24694099999999</v>
      </c>
      <c r="BH127" t="s">
        <v>273</v>
      </c>
      <c r="BI127">
        <v>22.497014</v>
      </c>
      <c r="BJ127">
        <v>22.756055</v>
      </c>
      <c r="BK127">
        <v>380.78214400000002</v>
      </c>
      <c r="BL127" t="s">
        <v>273</v>
      </c>
      <c r="BM127">
        <v>22.497910999999998</v>
      </c>
      <c r="BN127">
        <v>22.756961</v>
      </c>
      <c r="BO127">
        <v>380.76697100000001</v>
      </c>
      <c r="BP127" t="s">
        <v>273</v>
      </c>
      <c r="BQ127">
        <v>13.670566000000001</v>
      </c>
      <c r="BR127">
        <v>13.827975</v>
      </c>
      <c r="BS127">
        <v>626.63544400000001</v>
      </c>
      <c r="BT127" t="s">
        <v>273</v>
      </c>
      <c r="BU127">
        <v>3.979924</v>
      </c>
      <c r="BV127">
        <v>4.0257509999999996</v>
      </c>
      <c r="BW127">
        <v>2152.418044</v>
      </c>
      <c r="BX127" t="s">
        <v>273</v>
      </c>
      <c r="BY127">
        <v>13.107841000000001</v>
      </c>
      <c r="BZ127">
        <v>12.643090000000001</v>
      </c>
      <c r="CA127">
        <v>15.205914</v>
      </c>
      <c r="CB127">
        <v>22.497910999999998</v>
      </c>
      <c r="CC127">
        <v>7.7385020000000004</v>
      </c>
      <c r="CD127">
        <v>17.542431000000001</v>
      </c>
      <c r="CE127" t="s">
        <v>273</v>
      </c>
      <c r="CF127">
        <v>13.258770999999999</v>
      </c>
      <c r="CG127">
        <v>12.788667999999999</v>
      </c>
      <c r="CH127">
        <v>15.381000999999999</v>
      </c>
      <c r="CI127">
        <v>22.756961</v>
      </c>
      <c r="CJ127">
        <v>7.8276070000000004</v>
      </c>
      <c r="CK127">
        <v>17.744423000000001</v>
      </c>
      <c r="CL127" t="s">
        <v>273</v>
      </c>
      <c r="CM127">
        <v>653.53715699999998</v>
      </c>
      <c r="CN127">
        <v>677.56072700000004</v>
      </c>
      <c r="CO127">
        <v>563.36379199999999</v>
      </c>
      <c r="CP127">
        <v>380.76697100000001</v>
      </c>
      <c r="CQ127">
        <v>1106.992125</v>
      </c>
      <c r="CR127">
        <v>488.32804499999997</v>
      </c>
      <c r="CS127" t="s">
        <v>273</v>
      </c>
      <c r="CT127">
        <v>778.84218699999997</v>
      </c>
      <c r="CU127">
        <v>869.504501</v>
      </c>
      <c r="CV127">
        <v>671.27864699999998</v>
      </c>
      <c r="CW127">
        <v>1289.966406</v>
      </c>
      <c r="CX127">
        <v>656.833035</v>
      </c>
      <c r="CY127">
        <v>1006.330291</v>
      </c>
      <c r="CZ127" t="s">
        <v>273</v>
      </c>
      <c r="DA127">
        <v>3.6126040000000001</v>
      </c>
      <c r="DB127">
        <v>510.01</v>
      </c>
      <c r="DC127">
        <v>3.890136</v>
      </c>
      <c r="DD127">
        <v>864</v>
      </c>
      <c r="DE127">
        <v>3.6120610000000002</v>
      </c>
      <c r="DF127">
        <v>505</v>
      </c>
      <c r="DG127">
        <v>10.269759000000001</v>
      </c>
      <c r="DH127">
        <v>765</v>
      </c>
      <c r="DI127">
        <v>1.79867</v>
      </c>
      <c r="DJ127">
        <v>235</v>
      </c>
      <c r="DK127">
        <v>6.2469789999999996</v>
      </c>
      <c r="DL127">
        <v>365</v>
      </c>
      <c r="DM127" t="s">
        <v>273</v>
      </c>
      <c r="DN127">
        <v>3.859785</v>
      </c>
      <c r="DO127">
        <v>8.7124050000000004</v>
      </c>
      <c r="DP127">
        <v>5.029795</v>
      </c>
      <c r="DQ127" t="s">
        <v>282</v>
      </c>
      <c r="DR127">
        <v>5.130738</v>
      </c>
      <c r="DS127">
        <v>16.705939000000001</v>
      </c>
      <c r="DT127">
        <v>35.578878000000003</v>
      </c>
      <c r="DU127">
        <v>92.210656</v>
      </c>
      <c r="DV127">
        <v>169.576964</v>
      </c>
      <c r="DW127" t="s">
        <v>283</v>
      </c>
      <c r="DX127" t="s">
        <v>273</v>
      </c>
      <c r="DY127">
        <v>24.679433</v>
      </c>
      <c r="DZ127">
        <v>3.1586999999999997E-2</v>
      </c>
      <c r="EA127">
        <v>2.231122</v>
      </c>
      <c r="EB127">
        <v>1.799658</v>
      </c>
      <c r="EC127">
        <v>80.661558999999997</v>
      </c>
      <c r="ED127">
        <v>19.463473</v>
      </c>
      <c r="EE127">
        <v>1089.5511260000001</v>
      </c>
      <c r="EF127">
        <v>12.420472999999999</v>
      </c>
      <c r="EG127">
        <v>13</v>
      </c>
      <c r="EH127">
        <v>13</v>
      </c>
      <c r="EI127">
        <v>13</v>
      </c>
      <c r="EJ127">
        <v>13</v>
      </c>
      <c r="EK127" t="s">
        <v>273</v>
      </c>
      <c r="EL127" t="s">
        <v>273</v>
      </c>
      <c r="EM127">
        <v>23.538791</v>
      </c>
      <c r="EN127">
        <v>1.8811000000000001E-2</v>
      </c>
      <c r="EO127">
        <v>2.3757169999999999</v>
      </c>
      <c r="EP127">
        <v>1.8426750000000001</v>
      </c>
      <c r="EQ127">
        <v>77.562916999999999</v>
      </c>
      <c r="ER127">
        <v>17.589040000000001</v>
      </c>
      <c r="ES127">
        <v>1020.815257</v>
      </c>
      <c r="ET127">
        <v>7.3968540000000003</v>
      </c>
      <c r="EU127">
        <v>19</v>
      </c>
      <c r="EV127">
        <v>19</v>
      </c>
      <c r="EW127">
        <v>19</v>
      </c>
      <c r="EX127">
        <v>19</v>
      </c>
      <c r="EY127" t="s">
        <v>273</v>
      </c>
      <c r="EZ127" t="s">
        <v>273</v>
      </c>
      <c r="FA127">
        <v>28.623826999999999</v>
      </c>
      <c r="FB127">
        <v>3.1898999999999997E-2</v>
      </c>
      <c r="FC127">
        <v>2.2303310000000001</v>
      </c>
      <c r="FD127">
        <v>1.799558</v>
      </c>
      <c r="FE127">
        <v>80.685691000000006</v>
      </c>
      <c r="FF127">
        <v>22.580632000000001</v>
      </c>
      <c r="FG127">
        <v>1089.642431</v>
      </c>
      <c r="FH127">
        <v>12.542859</v>
      </c>
      <c r="FI127">
        <v>13</v>
      </c>
      <c r="FJ127">
        <v>13</v>
      </c>
      <c r="FK127">
        <v>13</v>
      </c>
      <c r="FL127">
        <v>13</v>
      </c>
      <c r="FM127" t="s">
        <v>273</v>
      </c>
      <c r="FN127" t="s">
        <v>273</v>
      </c>
      <c r="FO127">
        <v>28.914193999999998</v>
      </c>
      <c r="FP127">
        <v>4.4630000000000003E-2</v>
      </c>
      <c r="FQ127">
        <v>4.3294050000000004</v>
      </c>
      <c r="FR127">
        <v>3.762953</v>
      </c>
      <c r="FS127">
        <v>86.916171000000006</v>
      </c>
      <c r="FT127">
        <v>24.905307000000001</v>
      </c>
      <c r="FU127">
        <v>812.27389900000003</v>
      </c>
      <c r="FV127">
        <v>17.548912999999999</v>
      </c>
      <c r="FW127">
        <v>9</v>
      </c>
      <c r="FX127">
        <v>9</v>
      </c>
      <c r="FY127">
        <v>9</v>
      </c>
      <c r="FZ127">
        <v>9</v>
      </c>
      <c r="GA127" t="s">
        <v>273</v>
      </c>
      <c r="GB127" t="s">
        <v>273</v>
      </c>
      <c r="GC127">
        <v>31.976462999999999</v>
      </c>
      <c r="GD127">
        <v>7.2623999999999994E-2</v>
      </c>
      <c r="GE127">
        <v>2.4379460000000002</v>
      </c>
      <c r="GF127">
        <v>1.927413</v>
      </c>
      <c r="GG127">
        <v>79.058896000000004</v>
      </c>
      <c r="GH127">
        <v>24.449646999999999</v>
      </c>
      <c r="GI127">
        <v>2318.3205830000002</v>
      </c>
      <c r="GJ127">
        <v>28.556574000000001</v>
      </c>
      <c r="GK127">
        <v>24</v>
      </c>
      <c r="GL127">
        <v>24</v>
      </c>
      <c r="GM127">
        <v>16</v>
      </c>
      <c r="GN127">
        <v>23</v>
      </c>
      <c r="GO127" t="s">
        <v>273</v>
      </c>
      <c r="GP127" t="s">
        <v>273</v>
      </c>
      <c r="GQ127">
        <v>31.497914000000002</v>
      </c>
      <c r="GR127">
        <v>7.8441999999999998E-2</v>
      </c>
      <c r="GS127">
        <v>3.679265</v>
      </c>
      <c r="GT127">
        <v>3.1757029999999999</v>
      </c>
      <c r="GU127">
        <v>86.313522000000006</v>
      </c>
      <c r="GV127">
        <v>26.772375</v>
      </c>
      <c r="GW127">
        <v>1119.82491</v>
      </c>
      <c r="GX127">
        <v>30.844387999999999</v>
      </c>
      <c r="GY127">
        <v>93</v>
      </c>
      <c r="GZ127">
        <v>93</v>
      </c>
      <c r="HA127">
        <v>32</v>
      </c>
      <c r="HB127">
        <v>32</v>
      </c>
      <c r="HC127" t="s">
        <v>273</v>
      </c>
      <c r="HD127" t="s">
        <v>273</v>
      </c>
      <c r="HE127">
        <v>18</v>
      </c>
      <c r="HF127">
        <v>5.0000000000000001E-4</v>
      </c>
      <c r="HG127">
        <v>3.0000000000000001E-3</v>
      </c>
      <c r="HH127">
        <v>5.5556000000000001E-2</v>
      </c>
      <c r="HI127">
        <v>9500</v>
      </c>
    </row>
    <row r="128" spans="1:217" x14ac:dyDescent="0.3">
      <c r="A128">
        <v>718</v>
      </c>
      <c r="B128" t="s">
        <v>269</v>
      </c>
      <c r="F128" t="s">
        <v>270</v>
      </c>
      <c r="G128" t="s">
        <v>293</v>
      </c>
      <c r="H128" t="s">
        <v>294</v>
      </c>
      <c r="I128">
        <v>9500</v>
      </c>
      <c r="J128">
        <v>1</v>
      </c>
      <c r="K128">
        <v>74.629687000000004</v>
      </c>
      <c r="L128">
        <v>0.22</v>
      </c>
      <c r="M128">
        <v>2.5082E-2</v>
      </c>
      <c r="N128">
        <v>0</v>
      </c>
      <c r="O128">
        <v>0</v>
      </c>
      <c r="P128">
        <v>0</v>
      </c>
      <c r="Q128">
        <v>19.78</v>
      </c>
      <c r="R128">
        <v>1</v>
      </c>
      <c r="S128">
        <v>1</v>
      </c>
      <c r="T128">
        <v>1</v>
      </c>
      <c r="U128">
        <v>1</v>
      </c>
      <c r="V128">
        <v>100</v>
      </c>
      <c r="W128" t="s">
        <v>273</v>
      </c>
      <c r="X128" t="s">
        <v>274</v>
      </c>
      <c r="Y128" t="s">
        <v>274</v>
      </c>
      <c r="Z128" t="s">
        <v>273</v>
      </c>
      <c r="AA128" t="s">
        <v>275</v>
      </c>
      <c r="AB128" t="s">
        <v>276</v>
      </c>
      <c r="AC128">
        <v>469</v>
      </c>
      <c r="AD128">
        <v>5</v>
      </c>
      <c r="AE128" t="s">
        <v>277</v>
      </c>
      <c r="AF128">
        <v>2.962364</v>
      </c>
      <c r="AG128">
        <v>100</v>
      </c>
      <c r="AH128">
        <v>26.7</v>
      </c>
      <c r="AI128">
        <v>1600</v>
      </c>
      <c r="AJ128">
        <v>800</v>
      </c>
      <c r="AK128">
        <v>1200</v>
      </c>
      <c r="AL128">
        <v>150</v>
      </c>
      <c r="AM128">
        <v>2.2000000000000002</v>
      </c>
      <c r="AN128" t="s">
        <v>273</v>
      </c>
      <c r="AO128" t="s">
        <v>278</v>
      </c>
      <c r="AP128" t="s">
        <v>295</v>
      </c>
      <c r="AQ128">
        <v>4</v>
      </c>
      <c r="AR128">
        <v>8</v>
      </c>
      <c r="AS128">
        <v>224.3</v>
      </c>
      <c r="AT128">
        <v>408</v>
      </c>
      <c r="AU128">
        <v>0.23255999999999999</v>
      </c>
      <c r="AV128">
        <v>36.299999999999997</v>
      </c>
      <c r="AW128">
        <v>237</v>
      </c>
      <c r="AX128" t="s">
        <v>280</v>
      </c>
      <c r="AY128">
        <v>0</v>
      </c>
      <c r="AZ128" t="s">
        <v>281</v>
      </c>
      <c r="BA128">
        <v>0.2</v>
      </c>
      <c r="BB128">
        <v>0.5</v>
      </c>
      <c r="BC128" t="s">
        <v>273</v>
      </c>
      <c r="BD128" t="s">
        <v>273</v>
      </c>
      <c r="BE128">
        <v>14.933331000000001</v>
      </c>
      <c r="BF128">
        <v>15.105278999999999</v>
      </c>
      <c r="BG128">
        <v>573.647063</v>
      </c>
      <c r="BH128" t="s">
        <v>273</v>
      </c>
      <c r="BI128">
        <v>24.117877</v>
      </c>
      <c r="BJ128">
        <v>24.395581</v>
      </c>
      <c r="BK128">
        <v>355.19134300000002</v>
      </c>
      <c r="BL128" t="s">
        <v>273</v>
      </c>
      <c r="BM128">
        <v>24.118424999999998</v>
      </c>
      <c r="BN128">
        <v>24.396135000000001</v>
      </c>
      <c r="BO128">
        <v>355.18328200000002</v>
      </c>
      <c r="BP128" t="s">
        <v>273</v>
      </c>
      <c r="BQ128">
        <v>13.617570000000001</v>
      </c>
      <c r="BR128">
        <v>13.774369</v>
      </c>
      <c r="BS128">
        <v>629.07414100000005</v>
      </c>
      <c r="BT128" t="s">
        <v>273</v>
      </c>
      <c r="BU128">
        <v>5.4030990000000001</v>
      </c>
      <c r="BV128">
        <v>5.4653130000000001</v>
      </c>
      <c r="BW128">
        <v>1585.4717700000001</v>
      </c>
      <c r="BX128" t="s">
        <v>273</v>
      </c>
      <c r="BY128">
        <v>14.170790999999999</v>
      </c>
      <c r="BZ128">
        <v>14.560007000000001</v>
      </c>
      <c r="CA128">
        <v>16.391932000000001</v>
      </c>
      <c r="CB128">
        <v>24.118424999999998</v>
      </c>
      <c r="CC128">
        <v>7.5546730000000002</v>
      </c>
      <c r="CD128">
        <v>17.68093</v>
      </c>
      <c r="CE128" t="s">
        <v>273</v>
      </c>
      <c r="CF128">
        <v>14.333959999999999</v>
      </c>
      <c r="CG128">
        <v>14.727658</v>
      </c>
      <c r="CH128">
        <v>16.580676</v>
      </c>
      <c r="CI128">
        <v>24.396135000000001</v>
      </c>
      <c r="CJ128">
        <v>7.641661</v>
      </c>
      <c r="CK128">
        <v>17.884516000000001</v>
      </c>
      <c r="CL128" t="s">
        <v>273</v>
      </c>
      <c r="CM128">
        <v>604.51538400000004</v>
      </c>
      <c r="CN128">
        <v>588.35555399999998</v>
      </c>
      <c r="CO128">
        <v>522.60230100000001</v>
      </c>
      <c r="CP128">
        <v>355.18328200000002</v>
      </c>
      <c r="CQ128">
        <v>1133.928797</v>
      </c>
      <c r="CR128">
        <v>484.50285400000001</v>
      </c>
      <c r="CS128" t="s">
        <v>273</v>
      </c>
      <c r="CT128">
        <v>719.57430199999999</v>
      </c>
      <c r="CU128">
        <v>753.21889499999997</v>
      </c>
      <c r="CV128">
        <v>621.97254399999997</v>
      </c>
      <c r="CW128">
        <v>1203.1220370000001</v>
      </c>
      <c r="CX128">
        <v>668.26874699999996</v>
      </c>
      <c r="CY128">
        <v>997.11677999999995</v>
      </c>
      <c r="CZ128" t="s">
        <v>273</v>
      </c>
      <c r="DA128">
        <v>3.6083560000000001</v>
      </c>
      <c r="DB128">
        <v>510.01</v>
      </c>
      <c r="DC128">
        <v>3.880811</v>
      </c>
      <c r="DD128">
        <v>864</v>
      </c>
      <c r="DE128">
        <v>3.6077880000000002</v>
      </c>
      <c r="DF128">
        <v>505</v>
      </c>
      <c r="DG128">
        <v>10.268293999999999</v>
      </c>
      <c r="DH128">
        <v>765</v>
      </c>
      <c r="DI128">
        <v>1.7865139999999999</v>
      </c>
      <c r="DJ128">
        <v>235</v>
      </c>
      <c r="DK128">
        <v>6.2386530000000002</v>
      </c>
      <c r="DL128">
        <v>365</v>
      </c>
      <c r="DM128" t="s">
        <v>273</v>
      </c>
      <c r="DN128">
        <v>5.294486</v>
      </c>
      <c r="DO128">
        <v>13.567437</v>
      </c>
      <c r="DP128">
        <v>7.0241720000000001</v>
      </c>
      <c r="DQ128" t="s">
        <v>282</v>
      </c>
      <c r="DR128">
        <v>7.6067229999999997</v>
      </c>
      <c r="DS128">
        <v>19.929704999999998</v>
      </c>
      <c r="DT128">
        <v>48.128036999999999</v>
      </c>
      <c r="DU128">
        <v>75.873694</v>
      </c>
      <c r="DV128">
        <v>134.225019</v>
      </c>
      <c r="DW128" t="s">
        <v>283</v>
      </c>
      <c r="DX128" t="s">
        <v>273</v>
      </c>
      <c r="DY128">
        <v>26.373391999999999</v>
      </c>
      <c r="DZ128">
        <v>5.5383000000000002E-2</v>
      </c>
      <c r="EA128">
        <v>2.2028270000000001</v>
      </c>
      <c r="EB128">
        <v>1.7919590000000001</v>
      </c>
      <c r="EC128">
        <v>81.348151000000001</v>
      </c>
      <c r="ED128">
        <v>21.065449999999998</v>
      </c>
      <c r="EE128">
        <v>1090.774418</v>
      </c>
      <c r="EF128">
        <v>12.419798999999999</v>
      </c>
      <c r="EG128">
        <v>24</v>
      </c>
      <c r="EH128">
        <v>24</v>
      </c>
      <c r="EI128">
        <v>23</v>
      </c>
      <c r="EJ128">
        <v>24</v>
      </c>
      <c r="EK128" t="s">
        <v>273</v>
      </c>
      <c r="EL128" t="s">
        <v>273</v>
      </c>
      <c r="EM128">
        <v>26.855577</v>
      </c>
      <c r="EN128">
        <v>3.2919999999999998E-2</v>
      </c>
      <c r="EO128">
        <v>2.3479800000000002</v>
      </c>
      <c r="EP128">
        <v>1.8179540000000001</v>
      </c>
      <c r="EQ128">
        <v>77.426294999999996</v>
      </c>
      <c r="ER128">
        <v>20.265063999999999</v>
      </c>
      <c r="ES128">
        <v>1021.277145</v>
      </c>
      <c r="ET128">
        <v>7.3824620000000003</v>
      </c>
      <c r="EU128">
        <v>28</v>
      </c>
      <c r="EV128">
        <v>28</v>
      </c>
      <c r="EW128">
        <v>27</v>
      </c>
      <c r="EX128">
        <v>28</v>
      </c>
      <c r="EY128" t="s">
        <v>273</v>
      </c>
      <c r="EZ128" t="s">
        <v>273</v>
      </c>
      <c r="FA128">
        <v>30.509471999999999</v>
      </c>
      <c r="FB128">
        <v>5.5927999999999999E-2</v>
      </c>
      <c r="FC128">
        <v>2.202645</v>
      </c>
      <c r="FD128">
        <v>1.7918320000000001</v>
      </c>
      <c r="FE128">
        <v>81.349096000000003</v>
      </c>
      <c r="FF128">
        <v>24.369216000000002</v>
      </c>
      <c r="FG128">
        <v>1090.8658069999999</v>
      </c>
      <c r="FH128">
        <v>12.542089000000001</v>
      </c>
      <c r="FI128">
        <v>24</v>
      </c>
      <c r="FJ128">
        <v>24</v>
      </c>
      <c r="FK128">
        <v>23</v>
      </c>
      <c r="FL128">
        <v>24</v>
      </c>
      <c r="FM128" t="s">
        <v>273</v>
      </c>
      <c r="FN128" t="s">
        <v>273</v>
      </c>
      <c r="FO128">
        <v>30.928874</v>
      </c>
      <c r="FP128">
        <v>7.8184000000000003E-2</v>
      </c>
      <c r="FQ128">
        <v>4.3192909999999998</v>
      </c>
      <c r="FR128">
        <v>3.755172</v>
      </c>
      <c r="FS128">
        <v>86.939548000000002</v>
      </c>
      <c r="FT128">
        <v>26.679130000000001</v>
      </c>
      <c r="FU128">
        <v>811.66248800000005</v>
      </c>
      <c r="FV128">
        <v>17.533201999999999</v>
      </c>
      <c r="FW128">
        <v>22</v>
      </c>
      <c r="FX128">
        <v>22</v>
      </c>
      <c r="FY128">
        <v>22</v>
      </c>
      <c r="FZ128">
        <v>21</v>
      </c>
      <c r="GA128" t="s">
        <v>273</v>
      </c>
      <c r="GB128" t="s">
        <v>273</v>
      </c>
      <c r="GC128">
        <v>30.592383999999999</v>
      </c>
      <c r="GD128">
        <v>0.12733</v>
      </c>
      <c r="GE128">
        <v>2.37303</v>
      </c>
      <c r="GF128">
        <v>1.9162189999999999</v>
      </c>
      <c r="GG128">
        <v>80.74991</v>
      </c>
      <c r="GH128">
        <v>24.029381999999998</v>
      </c>
      <c r="GI128">
        <v>2333.9144430000001</v>
      </c>
      <c r="GJ128">
        <v>28.554362000000001</v>
      </c>
      <c r="GK128">
        <v>24</v>
      </c>
      <c r="GL128">
        <v>24</v>
      </c>
      <c r="GM128">
        <v>16</v>
      </c>
      <c r="GN128">
        <v>24</v>
      </c>
      <c r="GO128" t="s">
        <v>273</v>
      </c>
      <c r="GP128" t="s">
        <v>273</v>
      </c>
      <c r="GQ128">
        <v>31.546118</v>
      </c>
      <c r="GR128">
        <v>0.13678399999999999</v>
      </c>
      <c r="GS128">
        <v>3.6511580000000001</v>
      </c>
      <c r="GT128">
        <v>3.149762</v>
      </c>
      <c r="GU128">
        <v>86.267486000000005</v>
      </c>
      <c r="GV128">
        <v>26.870833999999999</v>
      </c>
      <c r="GW128">
        <v>1115.139171</v>
      </c>
      <c r="GX128">
        <v>30.674389000000001</v>
      </c>
      <c r="GY128">
        <v>45</v>
      </c>
      <c r="GZ128">
        <v>45</v>
      </c>
      <c r="HA128">
        <v>36</v>
      </c>
      <c r="HB128">
        <v>37</v>
      </c>
      <c r="HC128" t="s">
        <v>273</v>
      </c>
      <c r="HD128" t="s">
        <v>273</v>
      </c>
      <c r="HE128">
        <v>31</v>
      </c>
      <c r="HF128">
        <v>5.0000000000000001E-4</v>
      </c>
      <c r="HG128">
        <v>3.0000000000000001E-3</v>
      </c>
      <c r="HH128">
        <v>3.2258000000000002E-2</v>
      </c>
      <c r="HI128">
        <v>9500</v>
      </c>
    </row>
    <row r="129" spans="1:217" x14ac:dyDescent="0.3">
      <c r="A129">
        <v>729</v>
      </c>
      <c r="B129" t="s">
        <v>269</v>
      </c>
      <c r="F129" t="s">
        <v>270</v>
      </c>
      <c r="G129" t="s">
        <v>293</v>
      </c>
      <c r="H129" t="s">
        <v>294</v>
      </c>
      <c r="I129">
        <v>4000</v>
      </c>
      <c r="J129">
        <v>1</v>
      </c>
      <c r="K129">
        <v>24.043749999999999</v>
      </c>
      <c r="L129">
        <v>0.22</v>
      </c>
      <c r="M129">
        <v>2.2641000000000001E-2</v>
      </c>
      <c r="N129">
        <v>0</v>
      </c>
      <c r="O129">
        <v>0</v>
      </c>
      <c r="P129">
        <v>0</v>
      </c>
      <c r="Q129">
        <v>12.22</v>
      </c>
      <c r="R129">
        <v>1</v>
      </c>
      <c r="S129">
        <v>1</v>
      </c>
      <c r="T129">
        <v>1</v>
      </c>
      <c r="U129">
        <v>1</v>
      </c>
      <c r="V129">
        <v>100</v>
      </c>
      <c r="W129" t="s">
        <v>273</v>
      </c>
      <c r="X129" t="s">
        <v>274</v>
      </c>
      <c r="Y129" t="s">
        <v>274</v>
      </c>
      <c r="Z129" t="s">
        <v>273</v>
      </c>
      <c r="AA129" t="s">
        <v>275</v>
      </c>
      <c r="AB129" t="s">
        <v>276</v>
      </c>
      <c r="AC129">
        <v>823</v>
      </c>
      <c r="AD129">
        <v>5</v>
      </c>
      <c r="AE129" t="s">
        <v>277</v>
      </c>
      <c r="AF129">
        <v>2.4069210000000001</v>
      </c>
      <c r="AG129">
        <v>100</v>
      </c>
      <c r="AH129">
        <v>21.7</v>
      </c>
      <c r="AI129">
        <v>1300</v>
      </c>
      <c r="AJ129">
        <v>800</v>
      </c>
      <c r="AK129">
        <v>1200</v>
      </c>
      <c r="AL129">
        <v>113.3</v>
      </c>
      <c r="AM129">
        <v>2.2000000000000002</v>
      </c>
      <c r="AN129" t="s">
        <v>273</v>
      </c>
      <c r="AO129" t="s">
        <v>278</v>
      </c>
      <c r="AP129" t="s">
        <v>297</v>
      </c>
      <c r="AQ129">
        <v>7</v>
      </c>
      <c r="AR129">
        <v>8</v>
      </c>
      <c r="AS129">
        <v>393.2</v>
      </c>
      <c r="AT129">
        <v>715.3</v>
      </c>
      <c r="AU129">
        <v>0.40698000000000001</v>
      </c>
      <c r="AV129">
        <v>37.200000000000003</v>
      </c>
      <c r="AW129">
        <v>231.7</v>
      </c>
      <c r="AX129" t="s">
        <v>280</v>
      </c>
      <c r="AY129">
        <v>0</v>
      </c>
      <c r="AZ129" t="s">
        <v>281</v>
      </c>
      <c r="BA129">
        <v>0.2</v>
      </c>
      <c r="BB129">
        <v>0.5</v>
      </c>
      <c r="BC129" t="s">
        <v>273</v>
      </c>
      <c r="BD129" t="s">
        <v>273</v>
      </c>
      <c r="BE129">
        <v>20.301629999999999</v>
      </c>
      <c r="BF129">
        <v>20.535392000000002</v>
      </c>
      <c r="BG129">
        <v>421.95928099999998</v>
      </c>
      <c r="BH129" t="s">
        <v>273</v>
      </c>
      <c r="BI129">
        <v>31.409580999999999</v>
      </c>
      <c r="BJ129">
        <v>31.771245</v>
      </c>
      <c r="BK129">
        <v>272.73401799999999</v>
      </c>
      <c r="BL129" t="s">
        <v>273</v>
      </c>
      <c r="BM129">
        <v>31.411422000000002</v>
      </c>
      <c r="BN129">
        <v>31.773107</v>
      </c>
      <c r="BO129">
        <v>272.71803599999998</v>
      </c>
      <c r="BP129" t="s">
        <v>273</v>
      </c>
      <c r="BQ129">
        <v>23.174986000000001</v>
      </c>
      <c r="BR129">
        <v>23.441832999999999</v>
      </c>
      <c r="BS129">
        <v>369.642562</v>
      </c>
      <c r="BT129" t="s">
        <v>273</v>
      </c>
      <c r="BU129">
        <v>4.7569499999999998</v>
      </c>
      <c r="BV129">
        <v>4.8117239999999999</v>
      </c>
      <c r="BW129">
        <v>1800.830461</v>
      </c>
      <c r="BX129" t="s">
        <v>273</v>
      </c>
      <c r="BY129">
        <v>20.696202</v>
      </c>
      <c r="BZ129">
        <v>18.596809</v>
      </c>
      <c r="CA129">
        <v>24.140868999999999</v>
      </c>
      <c r="CB129">
        <v>31.411422000000002</v>
      </c>
      <c r="CC129">
        <v>15.471869</v>
      </c>
      <c r="CD129">
        <v>27.071833000000002</v>
      </c>
      <c r="CE129" t="s">
        <v>273</v>
      </c>
      <c r="CF129">
        <v>20.934507</v>
      </c>
      <c r="CG129">
        <v>18.810941</v>
      </c>
      <c r="CH129">
        <v>24.418837</v>
      </c>
      <c r="CI129">
        <v>31.773107</v>
      </c>
      <c r="CJ129">
        <v>15.650017999999999</v>
      </c>
      <c r="CK129">
        <v>27.38355</v>
      </c>
      <c r="CL129" t="s">
        <v>273</v>
      </c>
      <c r="CM129">
        <v>413.91466000000003</v>
      </c>
      <c r="CN129">
        <v>460.64146499999998</v>
      </c>
      <c r="CO129">
        <v>354.85306400000002</v>
      </c>
      <c r="CP129">
        <v>272.71803599999998</v>
      </c>
      <c r="CQ129">
        <v>553.67981099999997</v>
      </c>
      <c r="CR129">
        <v>316.43447700000002</v>
      </c>
      <c r="CS129" t="s">
        <v>273</v>
      </c>
      <c r="CT129">
        <v>493.68736999999999</v>
      </c>
      <c r="CU129">
        <v>592.35893199999998</v>
      </c>
      <c r="CV129">
        <v>423.183606</v>
      </c>
      <c r="CW129">
        <v>923.92383800000005</v>
      </c>
      <c r="CX129">
        <v>329.97909800000002</v>
      </c>
      <c r="CY129">
        <v>652.28838299999995</v>
      </c>
      <c r="CZ129" t="s">
        <v>273</v>
      </c>
      <c r="DA129">
        <v>3.6156160000000002</v>
      </c>
      <c r="DB129">
        <v>510.01</v>
      </c>
      <c r="DC129">
        <v>3.89819</v>
      </c>
      <c r="DD129">
        <v>864</v>
      </c>
      <c r="DE129">
        <v>3.6151089999999999</v>
      </c>
      <c r="DF129">
        <v>505</v>
      </c>
      <c r="DG129">
        <v>10.269835</v>
      </c>
      <c r="DH129">
        <v>765</v>
      </c>
      <c r="DI129">
        <v>1.806629</v>
      </c>
      <c r="DJ129">
        <v>235</v>
      </c>
      <c r="DK129">
        <v>6.2488049999999999</v>
      </c>
      <c r="DL129">
        <v>365</v>
      </c>
      <c r="DM129" t="s">
        <v>273</v>
      </c>
      <c r="DN129">
        <v>2.2815690000000002</v>
      </c>
      <c r="DO129">
        <v>4.1597580000000001</v>
      </c>
      <c r="DP129">
        <v>2.524092</v>
      </c>
      <c r="DQ129" t="s">
        <v>282</v>
      </c>
      <c r="DR129">
        <v>2.6281789999999998</v>
      </c>
      <c r="DS129">
        <v>12.390623</v>
      </c>
      <c r="DT129">
        <v>21.702652</v>
      </c>
      <c r="DU129">
        <v>121.537252</v>
      </c>
      <c r="DV129">
        <v>191.10985700000001</v>
      </c>
      <c r="DW129" t="s">
        <v>283</v>
      </c>
      <c r="DX129" t="s">
        <v>273</v>
      </c>
      <c r="DY129">
        <v>18.409134999999999</v>
      </c>
      <c r="DZ129">
        <v>1.5195999999999999E-2</v>
      </c>
      <c r="EA129">
        <v>1.0549310000000001</v>
      </c>
      <c r="EB129">
        <v>0.87093900000000002</v>
      </c>
      <c r="EC129">
        <v>82.558840000000004</v>
      </c>
      <c r="ED129">
        <v>14.771924</v>
      </c>
      <c r="EE129">
        <v>523.72666300000003</v>
      </c>
      <c r="EF129">
        <v>5.9752660000000004</v>
      </c>
      <c r="EG129">
        <v>11</v>
      </c>
      <c r="EH129">
        <v>11</v>
      </c>
      <c r="EI129">
        <v>11</v>
      </c>
      <c r="EJ129">
        <v>11</v>
      </c>
      <c r="EK129" t="s">
        <v>273</v>
      </c>
      <c r="EL129" t="s">
        <v>273</v>
      </c>
      <c r="EM129">
        <v>15.076777999999999</v>
      </c>
      <c r="EN129">
        <v>8.0780000000000001E-3</v>
      </c>
      <c r="EO129">
        <v>1.0366500000000001</v>
      </c>
      <c r="EP129">
        <v>0.81777999999999995</v>
      </c>
      <c r="EQ129">
        <v>78.886797000000001</v>
      </c>
      <c r="ER129">
        <v>11.08629</v>
      </c>
      <c r="ES129">
        <v>437.426626</v>
      </c>
      <c r="ET129">
        <v>3.1761680000000001</v>
      </c>
      <c r="EU129">
        <v>19</v>
      </c>
      <c r="EV129">
        <v>19</v>
      </c>
      <c r="EW129">
        <v>19</v>
      </c>
      <c r="EX129">
        <v>19</v>
      </c>
      <c r="EY129" t="s">
        <v>273</v>
      </c>
      <c r="EZ129" t="s">
        <v>273</v>
      </c>
      <c r="FA129">
        <v>21.449857000000002</v>
      </c>
      <c r="FB129">
        <v>1.5346E-2</v>
      </c>
      <c r="FC129">
        <v>1.053639</v>
      </c>
      <c r="FD129">
        <v>0.87105900000000003</v>
      </c>
      <c r="FE129">
        <v>82.671487999999997</v>
      </c>
      <c r="FF129">
        <v>17.231674000000002</v>
      </c>
      <c r="FG129">
        <v>523.76309200000003</v>
      </c>
      <c r="FH129">
        <v>6.0341180000000003</v>
      </c>
      <c r="FI129">
        <v>11</v>
      </c>
      <c r="FJ129">
        <v>11</v>
      </c>
      <c r="FK129">
        <v>11</v>
      </c>
      <c r="FL129">
        <v>11</v>
      </c>
      <c r="FM129" t="s">
        <v>273</v>
      </c>
      <c r="FN129" t="s">
        <v>273</v>
      </c>
      <c r="FO129">
        <v>22.944089999999999</v>
      </c>
      <c r="FP129">
        <v>2.5645000000000001E-2</v>
      </c>
      <c r="FQ129">
        <v>2.4606270000000001</v>
      </c>
      <c r="FR129">
        <v>2.1621929999999998</v>
      </c>
      <c r="FS129">
        <v>87.871662000000001</v>
      </c>
      <c r="FT129">
        <v>19.980495000000001</v>
      </c>
      <c r="FU129">
        <v>466.73610600000001</v>
      </c>
      <c r="FV129">
        <v>10.083755</v>
      </c>
      <c r="FW129">
        <v>5</v>
      </c>
      <c r="FX129">
        <v>5</v>
      </c>
      <c r="FY129">
        <v>5</v>
      </c>
      <c r="FZ129">
        <v>5</v>
      </c>
      <c r="GA129" t="s">
        <v>273</v>
      </c>
      <c r="GB129" t="s">
        <v>273</v>
      </c>
      <c r="GC129">
        <v>28.390046999999999</v>
      </c>
      <c r="GD129">
        <v>3.2585999999999997E-2</v>
      </c>
      <c r="GE129">
        <v>1.087405</v>
      </c>
      <c r="GF129">
        <v>0.87265000000000004</v>
      </c>
      <c r="GG129">
        <v>80.250677999999994</v>
      </c>
      <c r="GH129">
        <v>21.837123999999999</v>
      </c>
      <c r="GI129">
        <v>1035.645121</v>
      </c>
      <c r="GJ129">
        <v>12.813295999999999</v>
      </c>
      <c r="GK129">
        <v>46</v>
      </c>
      <c r="GL129">
        <v>46</v>
      </c>
      <c r="GM129">
        <v>20</v>
      </c>
      <c r="GN129">
        <v>21</v>
      </c>
      <c r="GO129" t="s">
        <v>273</v>
      </c>
      <c r="GP129" t="s">
        <v>273</v>
      </c>
      <c r="GQ129">
        <v>29.352889000000001</v>
      </c>
      <c r="GR129">
        <v>4.7870000000000003E-2</v>
      </c>
      <c r="GS129">
        <v>2.2224360000000001</v>
      </c>
      <c r="GT129">
        <v>1.9337770000000001</v>
      </c>
      <c r="GU129">
        <v>87.011607999999995</v>
      </c>
      <c r="GV129">
        <v>25.205977000000001</v>
      </c>
      <c r="GW129">
        <v>683.18600300000003</v>
      </c>
      <c r="GX129">
        <v>18.823135000000001</v>
      </c>
      <c r="GY129">
        <v>15</v>
      </c>
      <c r="GZ129">
        <v>15</v>
      </c>
      <c r="HA129">
        <v>8</v>
      </c>
      <c r="HB129">
        <v>8</v>
      </c>
      <c r="HC129" t="s">
        <v>273</v>
      </c>
      <c r="HD129" t="s">
        <v>273</v>
      </c>
      <c r="HE129">
        <v>7.5</v>
      </c>
      <c r="HF129">
        <v>5.0000000000000001E-4</v>
      </c>
      <c r="HG129">
        <v>4.7499999999999999E-3</v>
      </c>
      <c r="HH129">
        <v>0.13333300000000001</v>
      </c>
      <c r="HI129">
        <v>4000</v>
      </c>
    </row>
    <row r="130" spans="1:217" x14ac:dyDescent="0.3">
      <c r="A130">
        <v>731</v>
      </c>
      <c r="B130" t="s">
        <v>269</v>
      </c>
      <c r="F130" t="s">
        <v>270</v>
      </c>
      <c r="G130" t="s">
        <v>293</v>
      </c>
      <c r="H130" t="s">
        <v>294</v>
      </c>
      <c r="I130">
        <v>3750</v>
      </c>
      <c r="J130">
        <v>1</v>
      </c>
      <c r="K130">
        <v>22.334765999999998</v>
      </c>
      <c r="L130">
        <v>0.22</v>
      </c>
      <c r="M130">
        <v>2.1054E-2</v>
      </c>
      <c r="N130">
        <v>0</v>
      </c>
      <c r="O130">
        <v>0</v>
      </c>
      <c r="P130">
        <v>0</v>
      </c>
      <c r="Q130">
        <v>11.46</v>
      </c>
      <c r="R130">
        <v>1</v>
      </c>
      <c r="S130">
        <v>1</v>
      </c>
      <c r="T130">
        <v>1</v>
      </c>
      <c r="U130">
        <v>1</v>
      </c>
      <c r="V130">
        <v>100</v>
      </c>
      <c r="W130" t="s">
        <v>273</v>
      </c>
      <c r="X130" t="s">
        <v>274</v>
      </c>
      <c r="Y130" t="s">
        <v>274</v>
      </c>
      <c r="Z130" t="s">
        <v>273</v>
      </c>
      <c r="AA130" t="s">
        <v>275</v>
      </c>
      <c r="AB130" t="s">
        <v>276</v>
      </c>
      <c r="AC130">
        <v>646</v>
      </c>
      <c r="AD130">
        <v>5</v>
      </c>
      <c r="AE130" t="s">
        <v>277</v>
      </c>
      <c r="AF130">
        <v>2.7309290000000002</v>
      </c>
      <c r="AG130">
        <v>100</v>
      </c>
      <c r="AH130">
        <v>24.6</v>
      </c>
      <c r="AI130">
        <v>1475</v>
      </c>
      <c r="AJ130">
        <v>800</v>
      </c>
      <c r="AK130">
        <v>1200</v>
      </c>
      <c r="AL130">
        <v>127.9</v>
      </c>
      <c r="AM130">
        <v>2.2000000000000002</v>
      </c>
      <c r="AN130" t="s">
        <v>273</v>
      </c>
      <c r="AO130" t="s">
        <v>278</v>
      </c>
      <c r="AP130" t="s">
        <v>296</v>
      </c>
      <c r="AQ130">
        <v>5.5</v>
      </c>
      <c r="AR130">
        <v>8</v>
      </c>
      <c r="AS130">
        <v>308.7</v>
      </c>
      <c r="AT130">
        <v>561.70000000000005</v>
      </c>
      <c r="AU130">
        <v>0.31977</v>
      </c>
      <c r="AV130">
        <v>36.799999999999997</v>
      </c>
      <c r="AW130">
        <v>233.9</v>
      </c>
      <c r="AX130" t="s">
        <v>280</v>
      </c>
      <c r="AY130">
        <v>0</v>
      </c>
      <c r="AZ130" t="s">
        <v>281</v>
      </c>
      <c r="BA130">
        <v>0.2</v>
      </c>
      <c r="BB130">
        <v>0.5</v>
      </c>
      <c r="BC130" t="s">
        <v>273</v>
      </c>
      <c r="BD130" t="s">
        <v>273</v>
      </c>
      <c r="BE130">
        <v>23.846536</v>
      </c>
      <c r="BF130">
        <v>24.121115</v>
      </c>
      <c r="BG130">
        <v>359.23294600000003</v>
      </c>
      <c r="BH130" t="s">
        <v>273</v>
      </c>
      <c r="BI130">
        <v>35.678497999999998</v>
      </c>
      <c r="BJ130">
        <v>36.089315999999997</v>
      </c>
      <c r="BK130">
        <v>240.10151099999999</v>
      </c>
      <c r="BL130" t="s">
        <v>273</v>
      </c>
      <c r="BM130">
        <v>35.680871000000003</v>
      </c>
      <c r="BN130">
        <v>36.091715999999998</v>
      </c>
      <c r="BO130">
        <v>240.085544</v>
      </c>
      <c r="BP130" t="s">
        <v>273</v>
      </c>
      <c r="BQ130">
        <v>25.02665</v>
      </c>
      <c r="BR130">
        <v>25.314817999999999</v>
      </c>
      <c r="BS130">
        <v>342.29356200000001</v>
      </c>
      <c r="BT130" t="s">
        <v>273</v>
      </c>
      <c r="BU130">
        <v>5.9142939999999999</v>
      </c>
      <c r="BV130">
        <v>5.9823940000000002</v>
      </c>
      <c r="BW130">
        <v>1448.4335000000001</v>
      </c>
      <c r="BX130" t="s">
        <v>273</v>
      </c>
      <c r="BY130">
        <v>23.947838000000001</v>
      </c>
      <c r="BZ130">
        <v>22.105761999999999</v>
      </c>
      <c r="CA130">
        <v>27.915742999999999</v>
      </c>
      <c r="CB130">
        <v>35.680871000000003</v>
      </c>
      <c r="CC130">
        <v>17.010261</v>
      </c>
      <c r="CD130">
        <v>28.971554000000001</v>
      </c>
      <c r="CE130" t="s">
        <v>273</v>
      </c>
      <c r="CF130">
        <v>24.223583999999999</v>
      </c>
      <c r="CG130">
        <v>22.360296999999999</v>
      </c>
      <c r="CH130">
        <v>28.237176999999999</v>
      </c>
      <c r="CI130">
        <v>36.091715999999998</v>
      </c>
      <c r="CJ130">
        <v>17.206125</v>
      </c>
      <c r="CK130">
        <v>29.305145</v>
      </c>
      <c r="CL130" t="s">
        <v>273</v>
      </c>
      <c r="CM130">
        <v>357.713345</v>
      </c>
      <c r="CN130">
        <v>387.52164800000003</v>
      </c>
      <c r="CO130">
        <v>306.86846300000002</v>
      </c>
      <c r="CP130">
        <v>240.085544</v>
      </c>
      <c r="CQ130">
        <v>503.60551600000002</v>
      </c>
      <c r="CR130">
        <v>295.68525399999999</v>
      </c>
      <c r="CS130" t="s">
        <v>273</v>
      </c>
      <c r="CT130">
        <v>426.58019100000001</v>
      </c>
      <c r="CU130">
        <v>498.21357699999999</v>
      </c>
      <c r="CV130">
        <v>365.893214</v>
      </c>
      <c r="CW130">
        <v>813.36605899999995</v>
      </c>
      <c r="CX130">
        <v>299.91438399999998</v>
      </c>
      <c r="CY130">
        <v>609.45226200000002</v>
      </c>
      <c r="CZ130" t="s">
        <v>273</v>
      </c>
      <c r="DA130">
        <v>3.6149870000000002</v>
      </c>
      <c r="DB130">
        <v>510.01</v>
      </c>
      <c r="DC130">
        <v>3.8972720000000001</v>
      </c>
      <c r="DD130">
        <v>864</v>
      </c>
      <c r="DE130">
        <v>3.6144579999999999</v>
      </c>
      <c r="DF130">
        <v>505</v>
      </c>
      <c r="DG130">
        <v>10.269781</v>
      </c>
      <c r="DH130">
        <v>765</v>
      </c>
      <c r="DI130">
        <v>1.805294</v>
      </c>
      <c r="DJ130">
        <v>235</v>
      </c>
      <c r="DK130">
        <v>6.2481460000000002</v>
      </c>
      <c r="DL130">
        <v>365</v>
      </c>
      <c r="DM130" t="s">
        <v>273</v>
      </c>
      <c r="DN130">
        <v>2.4234059999999999</v>
      </c>
      <c r="DO130">
        <v>4.6042670000000001</v>
      </c>
      <c r="DP130">
        <v>2.6204869999999998</v>
      </c>
      <c r="DQ130" t="s">
        <v>282</v>
      </c>
      <c r="DR130">
        <v>2.7503820000000001</v>
      </c>
      <c r="DS130">
        <v>12.980974</v>
      </c>
      <c r="DT130">
        <v>22.956109999999999</v>
      </c>
      <c r="DU130">
        <v>115.237961</v>
      </c>
      <c r="DV130">
        <v>173.62692899999999</v>
      </c>
      <c r="DW130" t="s">
        <v>283</v>
      </c>
      <c r="DX130" t="s">
        <v>273</v>
      </c>
      <c r="DY130">
        <v>19.857928999999999</v>
      </c>
      <c r="DZ130">
        <v>1.8155999999999999E-2</v>
      </c>
      <c r="EA130">
        <v>0.98327100000000001</v>
      </c>
      <c r="EB130">
        <v>0.814697</v>
      </c>
      <c r="EC130">
        <v>82.855728999999997</v>
      </c>
      <c r="ED130">
        <v>16.037047999999999</v>
      </c>
      <c r="EE130">
        <v>491.378692</v>
      </c>
      <c r="EF130">
        <v>5.6052270000000002</v>
      </c>
      <c r="EG130">
        <v>16</v>
      </c>
      <c r="EH130">
        <v>16</v>
      </c>
      <c r="EI130">
        <v>16</v>
      </c>
      <c r="EJ130">
        <v>16</v>
      </c>
      <c r="EK130" t="s">
        <v>273</v>
      </c>
      <c r="EL130" t="s">
        <v>273</v>
      </c>
      <c r="EM130">
        <v>16.447502</v>
      </c>
      <c r="EN130">
        <v>9.6500000000000006E-3</v>
      </c>
      <c r="EO130">
        <v>0.95116100000000003</v>
      </c>
      <c r="EP130">
        <v>0.75597099999999995</v>
      </c>
      <c r="EQ130">
        <v>79.478748999999993</v>
      </c>
      <c r="ER130">
        <v>12.364248</v>
      </c>
      <c r="ES130">
        <v>410.41167300000001</v>
      </c>
      <c r="ET130">
        <v>2.9793090000000002</v>
      </c>
      <c r="EU130">
        <v>23</v>
      </c>
      <c r="EV130">
        <v>23</v>
      </c>
      <c r="EW130">
        <v>23</v>
      </c>
      <c r="EX130">
        <v>23</v>
      </c>
      <c r="EY130" t="s">
        <v>273</v>
      </c>
      <c r="EZ130" t="s">
        <v>273</v>
      </c>
      <c r="FA130">
        <v>23.127013000000002</v>
      </c>
      <c r="FB130">
        <v>1.8335000000000001E-2</v>
      </c>
      <c r="FC130">
        <v>0.98222900000000002</v>
      </c>
      <c r="FD130">
        <v>0.81476800000000005</v>
      </c>
      <c r="FE130">
        <v>82.950991000000002</v>
      </c>
      <c r="FF130">
        <v>18.696231999999998</v>
      </c>
      <c r="FG130">
        <v>491.43390399999998</v>
      </c>
      <c r="FH130">
        <v>5.6606439999999996</v>
      </c>
      <c r="FI130">
        <v>16</v>
      </c>
      <c r="FJ130">
        <v>16</v>
      </c>
      <c r="FK130">
        <v>16</v>
      </c>
      <c r="FL130">
        <v>16</v>
      </c>
      <c r="FM130" t="s">
        <v>273</v>
      </c>
      <c r="FN130" t="s">
        <v>273</v>
      </c>
      <c r="FO130">
        <v>24.417521000000001</v>
      </c>
      <c r="FP130">
        <v>3.0637999999999999E-2</v>
      </c>
      <c r="FQ130">
        <v>2.305294</v>
      </c>
      <c r="FR130">
        <v>2.0277050000000001</v>
      </c>
      <c r="FS130">
        <v>87.958614999999995</v>
      </c>
      <c r="FT130">
        <v>21.289829000000001</v>
      </c>
      <c r="FU130">
        <v>437.81384400000002</v>
      </c>
      <c r="FV130">
        <v>9.4588450000000002</v>
      </c>
      <c r="FW130">
        <v>7</v>
      </c>
      <c r="FX130">
        <v>7</v>
      </c>
      <c r="FY130">
        <v>7</v>
      </c>
      <c r="FZ130">
        <v>7</v>
      </c>
      <c r="GA130" t="s">
        <v>273</v>
      </c>
      <c r="GB130" t="s">
        <v>273</v>
      </c>
      <c r="GC130">
        <v>28.794817999999999</v>
      </c>
      <c r="GD130">
        <v>3.8883000000000001E-2</v>
      </c>
      <c r="GE130">
        <v>1.002421</v>
      </c>
      <c r="GF130">
        <v>0.814523</v>
      </c>
      <c r="GG130">
        <v>81.255521999999999</v>
      </c>
      <c r="GH130">
        <v>22.509627999999999</v>
      </c>
      <c r="GI130">
        <v>970.99003600000003</v>
      </c>
      <c r="GJ130">
        <v>12.004491</v>
      </c>
      <c r="GK130">
        <v>24</v>
      </c>
      <c r="GL130">
        <v>24</v>
      </c>
      <c r="GM130">
        <v>22</v>
      </c>
      <c r="GN130">
        <v>23</v>
      </c>
      <c r="GO130" t="s">
        <v>273</v>
      </c>
      <c r="GP130" t="s">
        <v>273</v>
      </c>
      <c r="GQ130">
        <v>29.334935000000002</v>
      </c>
      <c r="GR130">
        <v>5.7111000000000002E-2</v>
      </c>
      <c r="GS130">
        <v>2.0752169999999999</v>
      </c>
      <c r="GT130">
        <v>1.8112470000000001</v>
      </c>
      <c r="GU130">
        <v>87.279874000000007</v>
      </c>
      <c r="GV130">
        <v>25.270630000000001</v>
      </c>
      <c r="GW130">
        <v>640.02535</v>
      </c>
      <c r="GX130">
        <v>17.632113</v>
      </c>
      <c r="GY130">
        <v>27</v>
      </c>
      <c r="GZ130">
        <v>27</v>
      </c>
      <c r="HA130">
        <v>8</v>
      </c>
      <c r="HB130">
        <v>9</v>
      </c>
      <c r="HC130" t="s">
        <v>273</v>
      </c>
      <c r="HD130" t="s">
        <v>273</v>
      </c>
      <c r="HE130">
        <v>9</v>
      </c>
      <c r="HF130">
        <v>5.0000000000000001E-4</v>
      </c>
      <c r="HG130">
        <v>4.7499999999999999E-3</v>
      </c>
      <c r="HH130">
        <v>0.111111</v>
      </c>
      <c r="HI130">
        <v>3750</v>
      </c>
    </row>
    <row r="131" spans="1:217" x14ac:dyDescent="0.3">
      <c r="A131">
        <v>732</v>
      </c>
      <c r="B131" t="s">
        <v>269</v>
      </c>
      <c r="F131" t="s">
        <v>270</v>
      </c>
      <c r="G131" t="s">
        <v>293</v>
      </c>
      <c r="H131" t="s">
        <v>294</v>
      </c>
      <c r="I131">
        <v>4750</v>
      </c>
      <c r="J131">
        <v>1</v>
      </c>
      <c r="K131">
        <v>29.170703</v>
      </c>
      <c r="L131">
        <v>0.22</v>
      </c>
      <c r="M131">
        <v>2.7400999999999998E-2</v>
      </c>
      <c r="N131">
        <v>0</v>
      </c>
      <c r="O131">
        <v>0</v>
      </c>
      <c r="P131">
        <v>0</v>
      </c>
      <c r="Q131">
        <v>14.49</v>
      </c>
      <c r="R131">
        <v>1</v>
      </c>
      <c r="S131">
        <v>1</v>
      </c>
      <c r="T131">
        <v>1</v>
      </c>
      <c r="U131">
        <v>1</v>
      </c>
      <c r="V131">
        <v>100</v>
      </c>
      <c r="W131" t="s">
        <v>273</v>
      </c>
      <c r="X131" t="s">
        <v>274</v>
      </c>
      <c r="Y131" t="s">
        <v>274</v>
      </c>
      <c r="Z131" t="s">
        <v>273</v>
      </c>
      <c r="AA131" t="s">
        <v>275</v>
      </c>
      <c r="AB131" t="s">
        <v>276</v>
      </c>
      <c r="AC131">
        <v>823</v>
      </c>
      <c r="AD131">
        <v>5</v>
      </c>
      <c r="AE131" t="s">
        <v>277</v>
      </c>
      <c r="AF131">
        <v>2.4069210000000001</v>
      </c>
      <c r="AG131">
        <v>100</v>
      </c>
      <c r="AH131">
        <v>21.7</v>
      </c>
      <c r="AI131">
        <v>1300</v>
      </c>
      <c r="AJ131">
        <v>800</v>
      </c>
      <c r="AK131">
        <v>1200</v>
      </c>
      <c r="AL131">
        <v>113.3</v>
      </c>
      <c r="AM131">
        <v>2.2000000000000002</v>
      </c>
      <c r="AN131" t="s">
        <v>273</v>
      </c>
      <c r="AO131" t="s">
        <v>278</v>
      </c>
      <c r="AP131" t="s">
        <v>297</v>
      </c>
      <c r="AQ131">
        <v>7</v>
      </c>
      <c r="AR131">
        <v>8</v>
      </c>
      <c r="AS131">
        <v>393.2</v>
      </c>
      <c r="AT131">
        <v>715.3</v>
      </c>
      <c r="AU131">
        <v>0.40698000000000001</v>
      </c>
      <c r="AV131">
        <v>37.200000000000003</v>
      </c>
      <c r="AW131">
        <v>231.7</v>
      </c>
      <c r="AX131" t="s">
        <v>280</v>
      </c>
      <c r="AY131">
        <v>0</v>
      </c>
      <c r="AZ131" t="s">
        <v>281</v>
      </c>
      <c r="BA131">
        <v>0.2</v>
      </c>
      <c r="BB131">
        <v>0.5</v>
      </c>
      <c r="BC131" t="s">
        <v>273</v>
      </c>
      <c r="BD131" t="s">
        <v>273</v>
      </c>
      <c r="BE131">
        <v>18.851216000000001</v>
      </c>
      <c r="BF131">
        <v>19.068276999999998</v>
      </c>
      <c r="BG131">
        <v>454.42486200000002</v>
      </c>
      <c r="BH131" t="s">
        <v>273</v>
      </c>
      <c r="BI131">
        <v>28.685122</v>
      </c>
      <c r="BJ131">
        <v>29.015415000000001</v>
      </c>
      <c r="BK131">
        <v>298.63778400000001</v>
      </c>
      <c r="BL131" t="s">
        <v>273</v>
      </c>
      <c r="BM131">
        <v>28.686553</v>
      </c>
      <c r="BN131">
        <v>29.016863000000001</v>
      </c>
      <c r="BO131">
        <v>298.62288599999999</v>
      </c>
      <c r="BP131" t="s">
        <v>273</v>
      </c>
      <c r="BQ131">
        <v>20.350462</v>
      </c>
      <c r="BR131">
        <v>20.584786000000001</v>
      </c>
      <c r="BS131">
        <v>420.946774</v>
      </c>
      <c r="BT131" t="s">
        <v>273</v>
      </c>
      <c r="BU131">
        <v>4.5868339999999996</v>
      </c>
      <c r="BV131">
        <v>4.6396490000000004</v>
      </c>
      <c r="BW131">
        <v>1867.6195210000001</v>
      </c>
      <c r="BX131" t="s">
        <v>273</v>
      </c>
      <c r="BY131">
        <v>18.866385999999999</v>
      </c>
      <c r="BZ131">
        <v>17.525974999999999</v>
      </c>
      <c r="CA131">
        <v>21.981736999999999</v>
      </c>
      <c r="CB131">
        <v>28.686553</v>
      </c>
      <c r="CC131">
        <v>13.494673000000001</v>
      </c>
      <c r="CD131">
        <v>23.851917</v>
      </c>
      <c r="CE131" t="s">
        <v>273</v>
      </c>
      <c r="CF131">
        <v>19.083621000000001</v>
      </c>
      <c r="CG131">
        <v>17.727777</v>
      </c>
      <c r="CH131">
        <v>22.234843999999999</v>
      </c>
      <c r="CI131">
        <v>29.016863000000001</v>
      </c>
      <c r="CJ131">
        <v>13.650057</v>
      </c>
      <c r="CK131">
        <v>24.126557999999999</v>
      </c>
      <c r="CL131" t="s">
        <v>273</v>
      </c>
      <c r="CM131">
        <v>454.05948100000001</v>
      </c>
      <c r="CN131">
        <v>488.78656899999999</v>
      </c>
      <c r="CO131">
        <v>389.70811700000002</v>
      </c>
      <c r="CP131">
        <v>298.62288599999999</v>
      </c>
      <c r="CQ131">
        <v>634.80316200000004</v>
      </c>
      <c r="CR131">
        <v>359.15189600000002</v>
      </c>
      <c r="CS131" t="s">
        <v>273</v>
      </c>
      <c r="CT131">
        <v>541.49896699999999</v>
      </c>
      <c r="CU131">
        <v>628.37319100000002</v>
      </c>
      <c r="CV131">
        <v>464.68885599999999</v>
      </c>
      <c r="CW131">
        <v>1011.681125</v>
      </c>
      <c r="CX131">
        <v>378.08071200000001</v>
      </c>
      <c r="CY131">
        <v>740.27545999999995</v>
      </c>
      <c r="CZ131" t="s">
        <v>273</v>
      </c>
      <c r="DA131">
        <v>3.615148</v>
      </c>
      <c r="DB131">
        <v>510.01</v>
      </c>
      <c r="DC131">
        <v>3.8970820000000002</v>
      </c>
      <c r="DD131">
        <v>864</v>
      </c>
      <c r="DE131">
        <v>3.6146310000000001</v>
      </c>
      <c r="DF131">
        <v>505</v>
      </c>
      <c r="DG131">
        <v>10.269793</v>
      </c>
      <c r="DH131">
        <v>765</v>
      </c>
      <c r="DI131">
        <v>1.805455</v>
      </c>
      <c r="DJ131">
        <v>235</v>
      </c>
      <c r="DK131">
        <v>6.2482199999999999</v>
      </c>
      <c r="DL131">
        <v>365</v>
      </c>
      <c r="DM131" t="s">
        <v>273</v>
      </c>
      <c r="DN131">
        <v>2.5003359999999999</v>
      </c>
      <c r="DO131">
        <v>4.7947749999999996</v>
      </c>
      <c r="DP131">
        <v>2.8682349999999999</v>
      </c>
      <c r="DQ131" t="s">
        <v>282</v>
      </c>
      <c r="DR131">
        <v>2.9803989999999998</v>
      </c>
      <c r="DS131">
        <v>13.166371</v>
      </c>
      <c r="DT131">
        <v>23.809781000000001</v>
      </c>
      <c r="DU131">
        <v>113.975065</v>
      </c>
      <c r="DV131">
        <v>177.707357</v>
      </c>
      <c r="DW131" t="s">
        <v>283</v>
      </c>
      <c r="DX131" t="s">
        <v>273</v>
      </c>
      <c r="DY131">
        <v>19.916360000000001</v>
      </c>
      <c r="DZ131">
        <v>1.8029E-2</v>
      </c>
      <c r="EA131">
        <v>1.251833</v>
      </c>
      <c r="EB131">
        <v>1.030084</v>
      </c>
      <c r="EC131">
        <v>82.286090000000002</v>
      </c>
      <c r="ED131">
        <v>15.978311</v>
      </c>
      <c r="EE131">
        <v>621.44167100000004</v>
      </c>
      <c r="EF131">
        <v>7.0891900000000003</v>
      </c>
      <c r="EG131">
        <v>13</v>
      </c>
      <c r="EH131">
        <v>13</v>
      </c>
      <c r="EI131">
        <v>12</v>
      </c>
      <c r="EJ131">
        <v>12</v>
      </c>
      <c r="EK131" t="s">
        <v>273</v>
      </c>
      <c r="EL131" t="s">
        <v>273</v>
      </c>
      <c r="EM131">
        <v>16.661176000000001</v>
      </c>
      <c r="EN131">
        <v>9.5919999999999998E-3</v>
      </c>
      <c r="EO131">
        <v>1.2152400000000001</v>
      </c>
      <c r="EP131">
        <v>0.96099400000000001</v>
      </c>
      <c r="EQ131">
        <v>79.078550000000007</v>
      </c>
      <c r="ER131">
        <v>12.410292</v>
      </c>
      <c r="ES131">
        <v>519.585329</v>
      </c>
      <c r="ET131">
        <v>3.7716509999999999</v>
      </c>
      <c r="EU131">
        <v>19</v>
      </c>
      <c r="EV131">
        <v>19</v>
      </c>
      <c r="EW131">
        <v>19</v>
      </c>
      <c r="EX131">
        <v>19</v>
      </c>
      <c r="EY131" t="s">
        <v>273</v>
      </c>
      <c r="EZ131" t="s">
        <v>273</v>
      </c>
      <c r="FA131">
        <v>23.182077</v>
      </c>
      <c r="FB131">
        <v>1.8207000000000001E-2</v>
      </c>
      <c r="FC131">
        <v>1.2504120000000001</v>
      </c>
      <c r="FD131">
        <v>1.0300309999999999</v>
      </c>
      <c r="FE131">
        <v>82.375333999999995</v>
      </c>
      <c r="FF131">
        <v>18.618185</v>
      </c>
      <c r="FG131">
        <v>621.49186499999996</v>
      </c>
      <c r="FH131">
        <v>7.1590749999999996</v>
      </c>
      <c r="FI131">
        <v>13</v>
      </c>
      <c r="FJ131">
        <v>13</v>
      </c>
      <c r="FK131">
        <v>12</v>
      </c>
      <c r="FL131">
        <v>12</v>
      </c>
      <c r="FM131" t="s">
        <v>273</v>
      </c>
      <c r="FN131" t="s">
        <v>273</v>
      </c>
      <c r="FO131">
        <v>24.857839999999999</v>
      </c>
      <c r="FP131">
        <v>3.0424E-2</v>
      </c>
      <c r="FQ131">
        <v>2.9190779999999998</v>
      </c>
      <c r="FR131">
        <v>2.5636429999999999</v>
      </c>
      <c r="FS131">
        <v>87.823701</v>
      </c>
      <c r="FT131">
        <v>21.647998999999999</v>
      </c>
      <c r="FU131">
        <v>553.72243400000002</v>
      </c>
      <c r="FV131">
        <v>11.963032</v>
      </c>
      <c r="FW131">
        <v>5</v>
      </c>
      <c r="FX131">
        <v>5</v>
      </c>
      <c r="FY131">
        <v>5</v>
      </c>
      <c r="FZ131">
        <v>5</v>
      </c>
      <c r="GA131" t="s">
        <v>273</v>
      </c>
      <c r="GB131" t="s">
        <v>273</v>
      </c>
      <c r="GC131">
        <v>29.390007000000001</v>
      </c>
      <c r="GD131">
        <v>3.8690000000000002E-2</v>
      </c>
      <c r="GE131">
        <v>1.2898019999999999</v>
      </c>
      <c r="GF131">
        <v>1.0338270000000001</v>
      </c>
      <c r="GG131">
        <v>80.153988999999996</v>
      </c>
      <c r="GH131">
        <v>22.628639</v>
      </c>
      <c r="GI131">
        <v>1230.4188819999999</v>
      </c>
      <c r="GJ131">
        <v>15.213201</v>
      </c>
      <c r="GK131">
        <v>21</v>
      </c>
      <c r="GL131">
        <v>21</v>
      </c>
      <c r="GM131">
        <v>20</v>
      </c>
      <c r="GN131">
        <v>21</v>
      </c>
      <c r="GO131" t="s">
        <v>273</v>
      </c>
      <c r="GP131" t="s">
        <v>273</v>
      </c>
      <c r="GQ131">
        <v>30.477546</v>
      </c>
      <c r="GR131">
        <v>5.6866E-2</v>
      </c>
      <c r="GS131">
        <v>2.618859</v>
      </c>
      <c r="GT131">
        <v>2.2947340000000001</v>
      </c>
      <c r="GU131">
        <v>87.623429999999999</v>
      </c>
      <c r="GV131">
        <v>26.383873000000001</v>
      </c>
      <c r="GW131">
        <v>811.64897399999995</v>
      </c>
      <c r="GX131">
        <v>22.360453</v>
      </c>
      <c r="GY131">
        <v>22</v>
      </c>
      <c r="GZ131">
        <v>22</v>
      </c>
      <c r="HA131">
        <v>11</v>
      </c>
      <c r="HB131">
        <v>13</v>
      </c>
      <c r="HC131" t="s">
        <v>273</v>
      </c>
      <c r="HD131" t="s">
        <v>273</v>
      </c>
      <c r="HE131">
        <v>9</v>
      </c>
      <c r="HF131">
        <v>5.0000000000000001E-4</v>
      </c>
      <c r="HG131">
        <v>4.7499999999999999E-3</v>
      </c>
      <c r="HH131">
        <v>0.111111</v>
      </c>
      <c r="HI131">
        <v>4750</v>
      </c>
    </row>
    <row r="132" spans="1:217" x14ac:dyDescent="0.3">
      <c r="A132">
        <v>733</v>
      </c>
      <c r="B132" t="s">
        <v>269</v>
      </c>
      <c r="F132" t="s">
        <v>270</v>
      </c>
      <c r="G132" t="s">
        <v>293</v>
      </c>
      <c r="H132" t="s">
        <v>294</v>
      </c>
      <c r="I132">
        <v>5500</v>
      </c>
      <c r="J132">
        <v>1</v>
      </c>
      <c r="K132">
        <v>34.297656000000003</v>
      </c>
      <c r="L132">
        <v>0.22</v>
      </c>
      <c r="M132">
        <v>3.2162000000000003E-2</v>
      </c>
      <c r="N132">
        <v>0</v>
      </c>
      <c r="O132">
        <v>0</v>
      </c>
      <c r="P132">
        <v>0</v>
      </c>
      <c r="Q132">
        <v>16.760000000000002</v>
      </c>
      <c r="R132">
        <v>1</v>
      </c>
      <c r="S132">
        <v>1</v>
      </c>
      <c r="T132">
        <v>1</v>
      </c>
      <c r="U132">
        <v>1</v>
      </c>
      <c r="V132">
        <v>100</v>
      </c>
      <c r="W132" t="s">
        <v>273</v>
      </c>
      <c r="X132" t="s">
        <v>274</v>
      </c>
      <c r="Y132" t="s">
        <v>274</v>
      </c>
      <c r="Z132" t="s">
        <v>273</v>
      </c>
      <c r="AA132" t="s">
        <v>275</v>
      </c>
      <c r="AB132" t="s">
        <v>276</v>
      </c>
      <c r="AC132">
        <v>469</v>
      </c>
      <c r="AD132">
        <v>5</v>
      </c>
      <c r="AE132" t="s">
        <v>277</v>
      </c>
      <c r="AF132">
        <v>2.962364</v>
      </c>
      <c r="AG132">
        <v>100</v>
      </c>
      <c r="AH132">
        <v>26.7</v>
      </c>
      <c r="AI132">
        <v>1600</v>
      </c>
      <c r="AJ132">
        <v>800</v>
      </c>
      <c r="AK132">
        <v>1200</v>
      </c>
      <c r="AL132">
        <v>150</v>
      </c>
      <c r="AM132">
        <v>2.2000000000000002</v>
      </c>
      <c r="AN132" t="s">
        <v>273</v>
      </c>
      <c r="AO132" t="s">
        <v>278</v>
      </c>
      <c r="AP132" t="s">
        <v>295</v>
      </c>
      <c r="AQ132">
        <v>4</v>
      </c>
      <c r="AR132">
        <v>8</v>
      </c>
      <c r="AS132">
        <v>224.3</v>
      </c>
      <c r="AT132">
        <v>408</v>
      </c>
      <c r="AU132">
        <v>0.23255999999999999</v>
      </c>
      <c r="AV132">
        <v>36.299999999999997</v>
      </c>
      <c r="AW132">
        <v>237</v>
      </c>
      <c r="AX132" t="s">
        <v>280</v>
      </c>
      <c r="AY132">
        <v>0</v>
      </c>
      <c r="AZ132" t="s">
        <v>281</v>
      </c>
      <c r="BA132">
        <v>0.2</v>
      </c>
      <c r="BB132">
        <v>0.5</v>
      </c>
      <c r="BC132" t="s">
        <v>273</v>
      </c>
      <c r="BD132" t="s">
        <v>273</v>
      </c>
      <c r="BE132">
        <v>21.117051</v>
      </c>
      <c r="BF132">
        <v>21.360202000000001</v>
      </c>
      <c r="BG132">
        <v>405.66560700000002</v>
      </c>
      <c r="BH132" t="s">
        <v>273</v>
      </c>
      <c r="BI132">
        <v>29.632781000000001</v>
      </c>
      <c r="BJ132">
        <v>29.973986</v>
      </c>
      <c r="BK132">
        <v>289.08731699999998</v>
      </c>
      <c r="BL132" t="s">
        <v>273</v>
      </c>
      <c r="BM132">
        <v>29.634377000000001</v>
      </c>
      <c r="BN132">
        <v>29.9756</v>
      </c>
      <c r="BO132">
        <v>289.07174800000001</v>
      </c>
      <c r="BP132" t="s">
        <v>273</v>
      </c>
      <c r="BQ132">
        <v>18.394352999999999</v>
      </c>
      <c r="BR132">
        <v>18.606152999999999</v>
      </c>
      <c r="BS132">
        <v>465.71148099999999</v>
      </c>
      <c r="BT132" t="s">
        <v>273</v>
      </c>
      <c r="BU132">
        <v>6.1033970000000002</v>
      </c>
      <c r="BV132">
        <v>6.1736740000000001</v>
      </c>
      <c r="BW132">
        <v>1403.556339</v>
      </c>
      <c r="BX132" t="s">
        <v>273</v>
      </c>
      <c r="BY132">
        <v>19.822385000000001</v>
      </c>
      <c r="BZ132">
        <v>20.762062</v>
      </c>
      <c r="CA132">
        <v>22.992961000000001</v>
      </c>
      <c r="CB132">
        <v>29.634377000000001</v>
      </c>
      <c r="CC132">
        <v>12.423532</v>
      </c>
      <c r="CD132">
        <v>21.347318000000001</v>
      </c>
      <c r="CE132" t="s">
        <v>273</v>
      </c>
      <c r="CF132">
        <v>20.050629000000001</v>
      </c>
      <c r="CG132">
        <v>21.001125999999999</v>
      </c>
      <c r="CH132">
        <v>23.257712000000001</v>
      </c>
      <c r="CI132">
        <v>29.9756</v>
      </c>
      <c r="CJ132">
        <v>12.566582</v>
      </c>
      <c r="CK132">
        <v>21.593119999999999</v>
      </c>
      <c r="CL132" t="s">
        <v>273</v>
      </c>
      <c r="CM132">
        <v>432.16097200000002</v>
      </c>
      <c r="CN132">
        <v>412.60165899999998</v>
      </c>
      <c r="CO132">
        <v>372.56885399999999</v>
      </c>
      <c r="CP132">
        <v>289.07174800000001</v>
      </c>
      <c r="CQ132">
        <v>689.53508299999999</v>
      </c>
      <c r="CR132">
        <v>401.28982000000002</v>
      </c>
      <c r="CS132" t="s">
        <v>273</v>
      </c>
      <c r="CT132">
        <v>514.86117400000001</v>
      </c>
      <c r="CU132">
        <v>529.42218300000002</v>
      </c>
      <c r="CV132">
        <v>443.796695</v>
      </c>
      <c r="CW132">
        <v>979.26677299999994</v>
      </c>
      <c r="CX132">
        <v>408.90412099999998</v>
      </c>
      <c r="CY132">
        <v>826.793814</v>
      </c>
      <c r="CZ132" t="s">
        <v>273</v>
      </c>
      <c r="DA132">
        <v>3.6114839999999999</v>
      </c>
      <c r="DB132">
        <v>510.01</v>
      </c>
      <c r="DC132">
        <v>3.8896660000000001</v>
      </c>
      <c r="DD132">
        <v>864</v>
      </c>
      <c r="DE132">
        <v>3.6109270000000002</v>
      </c>
      <c r="DF132">
        <v>505</v>
      </c>
      <c r="DG132">
        <v>10.269197999999999</v>
      </c>
      <c r="DH132">
        <v>765</v>
      </c>
      <c r="DI132">
        <v>1.797655</v>
      </c>
      <c r="DJ132">
        <v>235</v>
      </c>
      <c r="DK132">
        <v>6.2456870000000002</v>
      </c>
      <c r="DL132">
        <v>365</v>
      </c>
      <c r="DM132" t="s">
        <v>273</v>
      </c>
      <c r="DN132">
        <v>3.5578620000000001</v>
      </c>
      <c r="DO132">
        <v>8.1836490000000008</v>
      </c>
      <c r="DP132">
        <v>4.3230510000000004</v>
      </c>
      <c r="DQ132" t="s">
        <v>282</v>
      </c>
      <c r="DR132">
        <v>4.806934</v>
      </c>
      <c r="DS132">
        <v>16.462817999999999</v>
      </c>
      <c r="DT132">
        <v>33.776451999999999</v>
      </c>
      <c r="DU132">
        <v>89.368381999999997</v>
      </c>
      <c r="DV132">
        <v>136.57045400000001</v>
      </c>
      <c r="DW132" t="s">
        <v>283</v>
      </c>
      <c r="DX132" t="s">
        <v>273</v>
      </c>
      <c r="DY132">
        <v>23.907764</v>
      </c>
      <c r="DZ132">
        <v>3.6606E-2</v>
      </c>
      <c r="EA132">
        <v>1.4287879999999999</v>
      </c>
      <c r="EB132">
        <v>1.1845060000000001</v>
      </c>
      <c r="EC132">
        <v>82.902884</v>
      </c>
      <c r="ED132">
        <v>19.459634999999999</v>
      </c>
      <c r="EE132">
        <v>720.33901200000003</v>
      </c>
      <c r="EF132">
        <v>8.2090490000000003</v>
      </c>
      <c r="EG132">
        <v>26</v>
      </c>
      <c r="EH132">
        <v>26</v>
      </c>
      <c r="EI132">
        <v>22</v>
      </c>
      <c r="EJ132">
        <v>24</v>
      </c>
      <c r="EK132" t="s">
        <v>273</v>
      </c>
      <c r="EL132" t="s">
        <v>273</v>
      </c>
      <c r="EM132">
        <v>22.436921000000002</v>
      </c>
      <c r="EN132">
        <v>1.9467000000000002E-2</v>
      </c>
      <c r="EO132">
        <v>1.378809</v>
      </c>
      <c r="EP132">
        <v>1.082543</v>
      </c>
      <c r="EQ132">
        <v>78.512936999999994</v>
      </c>
      <c r="ER132">
        <v>17.049527999999999</v>
      </c>
      <c r="ES132">
        <v>602.557998</v>
      </c>
      <c r="ET132">
        <v>4.3656240000000004</v>
      </c>
      <c r="EU132">
        <v>25</v>
      </c>
      <c r="EV132">
        <v>25</v>
      </c>
      <c r="EW132">
        <v>25</v>
      </c>
      <c r="EX132">
        <v>25</v>
      </c>
      <c r="EY132" t="s">
        <v>273</v>
      </c>
      <c r="EZ132" t="s">
        <v>273</v>
      </c>
      <c r="FA132">
        <v>27.722836999999998</v>
      </c>
      <c r="FB132">
        <v>3.6967E-2</v>
      </c>
      <c r="FC132">
        <v>1.4281060000000001</v>
      </c>
      <c r="FD132">
        <v>1.1844479999999999</v>
      </c>
      <c r="FE132">
        <v>82.938361</v>
      </c>
      <c r="FF132">
        <v>22.574142999999999</v>
      </c>
      <c r="FG132">
        <v>720.40383399999996</v>
      </c>
      <c r="FH132">
        <v>8.2899550000000009</v>
      </c>
      <c r="FI132">
        <v>26</v>
      </c>
      <c r="FJ132">
        <v>26</v>
      </c>
      <c r="FK132">
        <v>22</v>
      </c>
      <c r="FL132">
        <v>24</v>
      </c>
      <c r="FM132" t="s">
        <v>273</v>
      </c>
      <c r="FN132" t="s">
        <v>273</v>
      </c>
      <c r="FO132">
        <v>29.660879000000001</v>
      </c>
      <c r="FP132">
        <v>6.1706999999999998E-2</v>
      </c>
      <c r="FQ132">
        <v>3.3715039999999998</v>
      </c>
      <c r="FR132">
        <v>2.9604759999999999</v>
      </c>
      <c r="FS132">
        <v>87.808740999999998</v>
      </c>
      <c r="FT132">
        <v>25.869775000000001</v>
      </c>
      <c r="FU132">
        <v>640.54486699999995</v>
      </c>
      <c r="FV132">
        <v>13.838006</v>
      </c>
      <c r="FW132">
        <v>8</v>
      </c>
      <c r="FX132">
        <v>8</v>
      </c>
      <c r="FY132">
        <v>8</v>
      </c>
      <c r="FZ132">
        <v>8</v>
      </c>
      <c r="GA132" t="s">
        <v>273</v>
      </c>
      <c r="GB132" t="s">
        <v>273</v>
      </c>
      <c r="GC132">
        <v>30.578807999999999</v>
      </c>
      <c r="GD132">
        <v>7.8531000000000004E-2</v>
      </c>
      <c r="GE132">
        <v>1.451379</v>
      </c>
      <c r="GF132">
        <v>1.1877120000000001</v>
      </c>
      <c r="GG132">
        <v>81.833363000000006</v>
      </c>
      <c r="GH132">
        <v>24.220637</v>
      </c>
      <c r="GI132">
        <v>1430.5332619999999</v>
      </c>
      <c r="GJ132">
        <v>17.611049999999999</v>
      </c>
      <c r="GK132">
        <v>30</v>
      </c>
      <c r="GL132">
        <v>30</v>
      </c>
      <c r="GM132">
        <v>17</v>
      </c>
      <c r="GN132">
        <v>27</v>
      </c>
      <c r="GO132" t="s">
        <v>273</v>
      </c>
      <c r="GP132" t="s">
        <v>273</v>
      </c>
      <c r="GQ132">
        <v>31.550196</v>
      </c>
      <c r="GR132">
        <v>0.11526500000000001</v>
      </c>
      <c r="GS132">
        <v>3.0278749999999999</v>
      </c>
      <c r="GT132">
        <v>2.6451280000000001</v>
      </c>
      <c r="GU132">
        <v>87.359222000000003</v>
      </c>
      <c r="GV132">
        <v>27.308271999999999</v>
      </c>
      <c r="GW132">
        <v>938.650397</v>
      </c>
      <c r="GX132">
        <v>25.848783000000001</v>
      </c>
      <c r="GY132">
        <v>43</v>
      </c>
      <c r="GZ132">
        <v>43</v>
      </c>
      <c r="HA132">
        <v>26</v>
      </c>
      <c r="HB132">
        <v>27</v>
      </c>
      <c r="HC132" t="s">
        <v>273</v>
      </c>
      <c r="HD132" t="s">
        <v>273</v>
      </c>
      <c r="HE132">
        <v>18</v>
      </c>
      <c r="HF132">
        <v>5.0000000000000001E-4</v>
      </c>
      <c r="HG132">
        <v>4.7499999999999999E-3</v>
      </c>
      <c r="HH132">
        <v>5.5556000000000001E-2</v>
      </c>
      <c r="HI132">
        <v>5500</v>
      </c>
    </row>
    <row r="133" spans="1:217" x14ac:dyDescent="0.3">
      <c r="A133">
        <v>734</v>
      </c>
      <c r="B133" t="s">
        <v>269</v>
      </c>
      <c r="F133" t="s">
        <v>270</v>
      </c>
      <c r="G133" t="s">
        <v>293</v>
      </c>
      <c r="H133" t="s">
        <v>294</v>
      </c>
      <c r="I133">
        <v>7500</v>
      </c>
      <c r="J133">
        <v>1</v>
      </c>
      <c r="K133">
        <v>47.969531000000003</v>
      </c>
      <c r="L133">
        <v>0.22</v>
      </c>
      <c r="M133">
        <v>4.4857000000000001E-2</v>
      </c>
      <c r="N133">
        <v>0</v>
      </c>
      <c r="O133">
        <v>0</v>
      </c>
      <c r="P133">
        <v>0</v>
      </c>
      <c r="Q133">
        <v>22.82</v>
      </c>
      <c r="R133">
        <v>1</v>
      </c>
      <c r="S133">
        <v>1</v>
      </c>
      <c r="T133">
        <v>1</v>
      </c>
      <c r="U133">
        <v>1</v>
      </c>
      <c r="V133">
        <v>100</v>
      </c>
      <c r="W133" t="s">
        <v>273</v>
      </c>
      <c r="X133" t="s">
        <v>274</v>
      </c>
      <c r="Y133" t="s">
        <v>274</v>
      </c>
      <c r="Z133" t="s">
        <v>273</v>
      </c>
      <c r="AA133" t="s">
        <v>275</v>
      </c>
      <c r="AB133" t="s">
        <v>276</v>
      </c>
      <c r="AC133">
        <v>646</v>
      </c>
      <c r="AD133">
        <v>5</v>
      </c>
      <c r="AE133" t="s">
        <v>277</v>
      </c>
      <c r="AF133">
        <v>2.7309290000000002</v>
      </c>
      <c r="AG133">
        <v>100</v>
      </c>
      <c r="AH133">
        <v>24.6</v>
      </c>
      <c r="AI133">
        <v>1475</v>
      </c>
      <c r="AJ133">
        <v>800</v>
      </c>
      <c r="AK133">
        <v>1200</v>
      </c>
      <c r="AL133">
        <v>127.9</v>
      </c>
      <c r="AM133">
        <v>2.2000000000000002</v>
      </c>
      <c r="AN133" t="s">
        <v>273</v>
      </c>
      <c r="AO133" t="s">
        <v>278</v>
      </c>
      <c r="AP133" t="s">
        <v>296</v>
      </c>
      <c r="AQ133">
        <v>5.5</v>
      </c>
      <c r="AR133">
        <v>8</v>
      </c>
      <c r="AS133">
        <v>308.7</v>
      </c>
      <c r="AT133">
        <v>561.70000000000005</v>
      </c>
      <c r="AU133">
        <v>0.31977</v>
      </c>
      <c r="AV133">
        <v>36.799999999999997</v>
      </c>
      <c r="AW133">
        <v>233.9</v>
      </c>
      <c r="AX133" t="s">
        <v>280</v>
      </c>
      <c r="AY133">
        <v>0</v>
      </c>
      <c r="AZ133" t="s">
        <v>281</v>
      </c>
      <c r="BA133">
        <v>0.2</v>
      </c>
      <c r="BB133">
        <v>0.5</v>
      </c>
      <c r="BC133" t="s">
        <v>273</v>
      </c>
      <c r="BD133" t="s">
        <v>273</v>
      </c>
      <c r="BE133">
        <v>16.005642000000002</v>
      </c>
      <c r="BF133">
        <v>16.189938000000001</v>
      </c>
      <c r="BG133">
        <v>535.21508400000005</v>
      </c>
      <c r="BH133" t="s">
        <v>273</v>
      </c>
      <c r="BI133">
        <v>22.421112999999998</v>
      </c>
      <c r="BJ133">
        <v>22.679279000000001</v>
      </c>
      <c r="BK133">
        <v>382.07119599999999</v>
      </c>
      <c r="BL133" t="s">
        <v>273</v>
      </c>
      <c r="BM133">
        <v>22.422083000000001</v>
      </c>
      <c r="BN133">
        <v>22.680260000000001</v>
      </c>
      <c r="BO133">
        <v>382.054665</v>
      </c>
      <c r="BP133" t="s">
        <v>273</v>
      </c>
      <c r="BQ133">
        <v>13.656107</v>
      </c>
      <c r="BR133">
        <v>13.813349000000001</v>
      </c>
      <c r="BS133">
        <v>627.29892900000004</v>
      </c>
      <c r="BT133" t="s">
        <v>273</v>
      </c>
      <c r="BU133">
        <v>4.562227</v>
      </c>
      <c r="BV133">
        <v>4.6147580000000001</v>
      </c>
      <c r="BW133">
        <v>1877.6931059999999</v>
      </c>
      <c r="BX133" t="s">
        <v>273</v>
      </c>
      <c r="BY133">
        <v>15.019587</v>
      </c>
      <c r="BZ133">
        <v>15.742899</v>
      </c>
      <c r="CA133">
        <v>17.417755</v>
      </c>
      <c r="CB133">
        <v>22.422083000000001</v>
      </c>
      <c r="CC133">
        <v>9.2905639999999998</v>
      </c>
      <c r="CD133">
        <v>15.791974</v>
      </c>
      <c r="CE133" t="s">
        <v>273</v>
      </c>
      <c r="CF133">
        <v>15.192529</v>
      </c>
      <c r="CG133">
        <v>15.924168999999999</v>
      </c>
      <c r="CH133">
        <v>17.618310000000001</v>
      </c>
      <c r="CI133">
        <v>22.680260000000001</v>
      </c>
      <c r="CJ133">
        <v>9.3975399999999993</v>
      </c>
      <c r="CK133">
        <v>15.973808999999999</v>
      </c>
      <c r="CL133" t="s">
        <v>273</v>
      </c>
      <c r="CM133">
        <v>570.35266100000001</v>
      </c>
      <c r="CN133">
        <v>544.14764700000001</v>
      </c>
      <c r="CO133">
        <v>491.82351499999999</v>
      </c>
      <c r="CP133">
        <v>382.054665</v>
      </c>
      <c r="CQ133">
        <v>922.06036700000004</v>
      </c>
      <c r="CR133">
        <v>542.45666300000005</v>
      </c>
      <c r="CS133" t="s">
        <v>273</v>
      </c>
      <c r="CT133">
        <v>679.5385</v>
      </c>
      <c r="CU133">
        <v>698.32887000000005</v>
      </c>
      <c r="CV133">
        <v>585.88498400000003</v>
      </c>
      <c r="CW133">
        <v>1294.2488880000001</v>
      </c>
      <c r="CX133">
        <v>546.77010800000005</v>
      </c>
      <c r="CY133">
        <v>1117.554897</v>
      </c>
      <c r="CZ133" t="s">
        <v>273</v>
      </c>
      <c r="DA133">
        <v>3.6117010000000001</v>
      </c>
      <c r="DB133">
        <v>510.01</v>
      </c>
      <c r="DC133">
        <v>3.8903120000000002</v>
      </c>
      <c r="DD133">
        <v>864</v>
      </c>
      <c r="DE133">
        <v>3.6111390000000001</v>
      </c>
      <c r="DF133">
        <v>505</v>
      </c>
      <c r="DG133">
        <v>10.269125000000001</v>
      </c>
      <c r="DH133">
        <v>765</v>
      </c>
      <c r="DI133">
        <v>1.7975730000000001</v>
      </c>
      <c r="DJ133">
        <v>235</v>
      </c>
      <c r="DK133">
        <v>6.2451800000000004</v>
      </c>
      <c r="DL133">
        <v>365</v>
      </c>
      <c r="DM133" t="s">
        <v>273</v>
      </c>
      <c r="DN133">
        <v>3.67496</v>
      </c>
      <c r="DO133">
        <v>8.4289260000000006</v>
      </c>
      <c r="DP133">
        <v>4.6275709999999997</v>
      </c>
      <c r="DQ133" t="s">
        <v>282</v>
      </c>
      <c r="DR133">
        <v>4.8624419999999997</v>
      </c>
      <c r="DS133">
        <v>16.589072999999999</v>
      </c>
      <c r="DT133">
        <v>34.508012000000001</v>
      </c>
      <c r="DU133">
        <v>89.215187999999998</v>
      </c>
      <c r="DV133">
        <v>132.583617</v>
      </c>
      <c r="DW133" t="s">
        <v>283</v>
      </c>
      <c r="DX133" t="s">
        <v>273</v>
      </c>
      <c r="DY133">
        <v>24.839939000000001</v>
      </c>
      <c r="DZ133">
        <v>3.6209999999999999E-2</v>
      </c>
      <c r="EA133">
        <v>1.959311</v>
      </c>
      <c r="EB133">
        <v>1.613829</v>
      </c>
      <c r="EC133">
        <v>82.367172999999994</v>
      </c>
      <c r="ED133">
        <v>20.078299000000001</v>
      </c>
      <c r="EE133">
        <v>980.90677300000004</v>
      </c>
      <c r="EF133">
        <v>11.179173</v>
      </c>
      <c r="EG133">
        <v>22</v>
      </c>
      <c r="EH133">
        <v>22</v>
      </c>
      <c r="EI133">
        <v>19</v>
      </c>
      <c r="EJ133">
        <v>20</v>
      </c>
      <c r="EK133" t="s">
        <v>273</v>
      </c>
      <c r="EL133" t="s">
        <v>273</v>
      </c>
      <c r="EM133">
        <v>23.329067999999999</v>
      </c>
      <c r="EN133">
        <v>1.9271E-2</v>
      </c>
      <c r="EO133">
        <v>1.8910199999999999</v>
      </c>
      <c r="EP133">
        <v>1.4772160000000001</v>
      </c>
      <c r="EQ133">
        <v>78.117429999999999</v>
      </c>
      <c r="ER133">
        <v>17.615290000000002</v>
      </c>
      <c r="ES133">
        <v>821.03632200000004</v>
      </c>
      <c r="ET133">
        <v>5.9495199999999997</v>
      </c>
      <c r="EU133">
        <v>23</v>
      </c>
      <c r="EV133">
        <v>23</v>
      </c>
      <c r="EW133">
        <v>23</v>
      </c>
      <c r="EX133">
        <v>23</v>
      </c>
      <c r="EY133" t="s">
        <v>273</v>
      </c>
      <c r="EZ133" t="s">
        <v>273</v>
      </c>
      <c r="FA133">
        <v>28.798449000000002</v>
      </c>
      <c r="FB133">
        <v>3.6567000000000002E-2</v>
      </c>
      <c r="FC133">
        <v>1.958485</v>
      </c>
      <c r="FD133">
        <v>1.613753</v>
      </c>
      <c r="FE133">
        <v>82.398038999999997</v>
      </c>
      <c r="FF133">
        <v>23.286467999999999</v>
      </c>
      <c r="FG133">
        <v>981.004865</v>
      </c>
      <c r="FH133">
        <v>11.289453</v>
      </c>
      <c r="FI133">
        <v>22</v>
      </c>
      <c r="FJ133">
        <v>22</v>
      </c>
      <c r="FK133">
        <v>19</v>
      </c>
      <c r="FL133">
        <v>20</v>
      </c>
      <c r="FM133" t="s">
        <v>273</v>
      </c>
      <c r="FN133" t="s">
        <v>273</v>
      </c>
      <c r="FO133">
        <v>30.600628</v>
      </c>
      <c r="FP133">
        <v>6.1057E-2</v>
      </c>
      <c r="FQ133">
        <v>4.5971299999999999</v>
      </c>
      <c r="FR133">
        <v>4.0326029999999999</v>
      </c>
      <c r="FS133">
        <v>87.72</v>
      </c>
      <c r="FT133">
        <v>26.663816000000001</v>
      </c>
      <c r="FU133">
        <v>872.56751799999995</v>
      </c>
      <c r="FV133">
        <v>18.850372</v>
      </c>
      <c r="FW133">
        <v>11</v>
      </c>
      <c r="FX133">
        <v>11</v>
      </c>
      <c r="FY133">
        <v>11</v>
      </c>
      <c r="FZ133">
        <v>11</v>
      </c>
      <c r="GA133" t="s">
        <v>273</v>
      </c>
      <c r="GB133" t="s">
        <v>273</v>
      </c>
      <c r="GC133">
        <v>31.573266</v>
      </c>
      <c r="GD133">
        <v>7.7767000000000003E-2</v>
      </c>
      <c r="GE133">
        <v>2.0038399999999998</v>
      </c>
      <c r="GF133">
        <v>1.6189119999999999</v>
      </c>
      <c r="GG133">
        <v>80.790479000000005</v>
      </c>
      <c r="GH133">
        <v>24.694272000000002</v>
      </c>
      <c r="GI133">
        <v>1950.3477399999999</v>
      </c>
      <c r="GJ133">
        <v>24.009307</v>
      </c>
      <c r="GK133">
        <v>27</v>
      </c>
      <c r="GL133">
        <v>27</v>
      </c>
      <c r="GM133">
        <v>17</v>
      </c>
      <c r="GN133">
        <v>25</v>
      </c>
      <c r="GO133" t="s">
        <v>273</v>
      </c>
      <c r="GP133" t="s">
        <v>273</v>
      </c>
      <c r="GQ133">
        <v>31.981466999999999</v>
      </c>
      <c r="GR133">
        <v>0.114256</v>
      </c>
      <c r="GS133">
        <v>4.1486419999999997</v>
      </c>
      <c r="GT133">
        <v>3.6078250000000001</v>
      </c>
      <c r="GU133">
        <v>86.963995999999995</v>
      </c>
      <c r="GV133">
        <v>27.570371999999999</v>
      </c>
      <c r="GW133">
        <v>1281.029479</v>
      </c>
      <c r="GX133">
        <v>35.274438000000004</v>
      </c>
      <c r="GY133">
        <v>58</v>
      </c>
      <c r="GZ133">
        <v>58</v>
      </c>
      <c r="HA133">
        <v>38</v>
      </c>
      <c r="HB133">
        <v>41</v>
      </c>
      <c r="HC133" t="s">
        <v>273</v>
      </c>
      <c r="HD133" t="s">
        <v>273</v>
      </c>
      <c r="HE133">
        <v>18</v>
      </c>
      <c r="HF133">
        <v>5.0000000000000001E-4</v>
      </c>
      <c r="HG133">
        <v>4.7499999999999999E-3</v>
      </c>
      <c r="HH133">
        <v>5.5556000000000001E-2</v>
      </c>
      <c r="HI133">
        <v>7500</v>
      </c>
    </row>
    <row r="134" spans="1:217" x14ac:dyDescent="0.3">
      <c r="A134">
        <v>735</v>
      </c>
      <c r="B134" t="s">
        <v>269</v>
      </c>
      <c r="F134" t="s">
        <v>270</v>
      </c>
      <c r="G134" t="s">
        <v>293</v>
      </c>
      <c r="H134" t="s">
        <v>294</v>
      </c>
      <c r="I134">
        <v>9500</v>
      </c>
      <c r="J134">
        <v>1</v>
      </c>
      <c r="K134">
        <v>61.641406000000003</v>
      </c>
      <c r="L134">
        <v>0.22</v>
      </c>
      <c r="M134">
        <v>5.7553E-2</v>
      </c>
      <c r="N134">
        <v>0</v>
      </c>
      <c r="O134">
        <v>0</v>
      </c>
      <c r="P134">
        <v>0</v>
      </c>
      <c r="Q134">
        <v>28.87</v>
      </c>
      <c r="R134">
        <v>1</v>
      </c>
      <c r="S134">
        <v>1</v>
      </c>
      <c r="T134">
        <v>1</v>
      </c>
      <c r="U134">
        <v>1</v>
      </c>
      <c r="V134">
        <v>100</v>
      </c>
      <c r="W134" t="s">
        <v>273</v>
      </c>
      <c r="X134" t="s">
        <v>274</v>
      </c>
      <c r="Y134" t="s">
        <v>274</v>
      </c>
      <c r="Z134" t="s">
        <v>273</v>
      </c>
      <c r="AA134" t="s">
        <v>275</v>
      </c>
      <c r="AB134" t="s">
        <v>276</v>
      </c>
      <c r="AC134">
        <v>823</v>
      </c>
      <c r="AD134">
        <v>5</v>
      </c>
      <c r="AE134" t="s">
        <v>277</v>
      </c>
      <c r="AF134">
        <v>2.4069210000000001</v>
      </c>
      <c r="AG134">
        <v>100</v>
      </c>
      <c r="AH134">
        <v>21.7</v>
      </c>
      <c r="AI134">
        <v>1300</v>
      </c>
      <c r="AJ134">
        <v>800</v>
      </c>
      <c r="AK134">
        <v>1200</v>
      </c>
      <c r="AL134">
        <v>113.3</v>
      </c>
      <c r="AM134">
        <v>2.2000000000000002</v>
      </c>
      <c r="AN134" t="s">
        <v>273</v>
      </c>
      <c r="AO134" t="s">
        <v>278</v>
      </c>
      <c r="AP134" t="s">
        <v>297</v>
      </c>
      <c r="AQ134">
        <v>7</v>
      </c>
      <c r="AR134">
        <v>8</v>
      </c>
      <c r="AS134">
        <v>393.2</v>
      </c>
      <c r="AT134">
        <v>715.3</v>
      </c>
      <c r="AU134">
        <v>0.40698000000000001</v>
      </c>
      <c r="AV134">
        <v>37.200000000000003</v>
      </c>
      <c r="AW134">
        <v>231.7</v>
      </c>
      <c r="AX134" t="s">
        <v>280</v>
      </c>
      <c r="AY134">
        <v>0</v>
      </c>
      <c r="AZ134" t="s">
        <v>281</v>
      </c>
      <c r="BA134">
        <v>0.2</v>
      </c>
      <c r="BB134">
        <v>0.5</v>
      </c>
      <c r="BC134" t="s">
        <v>273</v>
      </c>
      <c r="BD134" t="s">
        <v>273</v>
      </c>
      <c r="BE134">
        <v>12.720245999999999</v>
      </c>
      <c r="BF134">
        <v>12.866712</v>
      </c>
      <c r="BG134">
        <v>673.450919</v>
      </c>
      <c r="BH134" t="s">
        <v>273</v>
      </c>
      <c r="BI134">
        <v>17.940206</v>
      </c>
      <c r="BJ134">
        <v>18.146777</v>
      </c>
      <c r="BK134">
        <v>477.50072799999998</v>
      </c>
      <c r="BL134" t="s">
        <v>273</v>
      </c>
      <c r="BM134">
        <v>17.940854999999999</v>
      </c>
      <c r="BN134">
        <v>18.147434000000001</v>
      </c>
      <c r="BO134">
        <v>477.48343999999997</v>
      </c>
      <c r="BP134" t="s">
        <v>273</v>
      </c>
      <c r="BQ134">
        <v>10.954119</v>
      </c>
      <c r="BR134">
        <v>11.080249999999999</v>
      </c>
      <c r="BS134">
        <v>782.03103299999998</v>
      </c>
      <c r="BT134" t="s">
        <v>273</v>
      </c>
      <c r="BU134">
        <v>3.2980480000000001</v>
      </c>
      <c r="BV134">
        <v>3.336023</v>
      </c>
      <c r="BW134">
        <v>2597.4339190000001</v>
      </c>
      <c r="BX134" t="s">
        <v>273</v>
      </c>
      <c r="BY134">
        <v>11.957323000000001</v>
      </c>
      <c r="BZ134">
        <v>12.494668000000001</v>
      </c>
      <c r="CA134">
        <v>13.860355</v>
      </c>
      <c r="CB134">
        <v>17.940854999999999</v>
      </c>
      <c r="CC134">
        <v>7.5673490000000001</v>
      </c>
      <c r="CD134">
        <v>12.573846</v>
      </c>
      <c r="CE134" t="s">
        <v>273</v>
      </c>
      <c r="CF134">
        <v>12.095005</v>
      </c>
      <c r="CG134">
        <v>12.638536999999999</v>
      </c>
      <c r="CH134">
        <v>14.019949</v>
      </c>
      <c r="CI134">
        <v>18.147434000000001</v>
      </c>
      <c r="CJ134">
        <v>7.6544829999999999</v>
      </c>
      <c r="CK134">
        <v>12.718626</v>
      </c>
      <c r="CL134" t="s">
        <v>273</v>
      </c>
      <c r="CM134">
        <v>716.41963399999997</v>
      </c>
      <c r="CN134">
        <v>685.60937999999999</v>
      </c>
      <c r="CO134">
        <v>618.05496500000004</v>
      </c>
      <c r="CP134">
        <v>477.48343999999997</v>
      </c>
      <c r="CQ134">
        <v>1132.0293670000001</v>
      </c>
      <c r="CR134">
        <v>681.29206799999997</v>
      </c>
      <c r="CS134" t="s">
        <v>273</v>
      </c>
      <c r="CT134">
        <v>853.55734500000005</v>
      </c>
      <c r="CU134">
        <v>879.846631</v>
      </c>
      <c r="CV134">
        <v>736.25306899999998</v>
      </c>
      <c r="CW134">
        <v>1617.498566</v>
      </c>
      <c r="CX134">
        <v>671.33483999999999</v>
      </c>
      <c r="CY134">
        <v>1403.729151</v>
      </c>
      <c r="CZ134" t="s">
        <v>273</v>
      </c>
      <c r="DA134">
        <v>3.611656</v>
      </c>
      <c r="DB134">
        <v>510.01</v>
      </c>
      <c r="DC134">
        <v>3.8901949999999998</v>
      </c>
      <c r="DD134">
        <v>864</v>
      </c>
      <c r="DE134">
        <v>3.6111140000000002</v>
      </c>
      <c r="DF134">
        <v>505</v>
      </c>
      <c r="DG134">
        <v>10.268966000000001</v>
      </c>
      <c r="DH134">
        <v>765</v>
      </c>
      <c r="DI134">
        <v>1.797722</v>
      </c>
      <c r="DJ134">
        <v>235</v>
      </c>
      <c r="DK134">
        <v>6.245844</v>
      </c>
      <c r="DL134">
        <v>365</v>
      </c>
      <c r="DM134" t="s">
        <v>273</v>
      </c>
      <c r="DN134">
        <v>3.859283</v>
      </c>
      <c r="DO134">
        <v>8.8554709999999996</v>
      </c>
      <c r="DP134">
        <v>5.1203019999999997</v>
      </c>
      <c r="DQ134" t="s">
        <v>282</v>
      </c>
      <c r="DR134">
        <v>5.3875469999999996</v>
      </c>
      <c r="DS134">
        <v>16.871608999999999</v>
      </c>
      <c r="DT134">
        <v>36.234929000000001</v>
      </c>
      <c r="DU134">
        <v>90.102037999999993</v>
      </c>
      <c r="DV134">
        <v>136.223682</v>
      </c>
      <c r="DW134" t="s">
        <v>283</v>
      </c>
      <c r="DX134" t="s">
        <v>273</v>
      </c>
      <c r="DY134">
        <v>25.292331000000001</v>
      </c>
      <c r="DZ134">
        <v>3.5985999999999997E-2</v>
      </c>
      <c r="EA134">
        <v>2.5058799999999999</v>
      </c>
      <c r="EB134">
        <v>2.042538</v>
      </c>
      <c r="EC134">
        <v>81.509804000000003</v>
      </c>
      <c r="ED134">
        <v>20.232627000000001</v>
      </c>
      <c r="EE134">
        <v>1241.5864309999999</v>
      </c>
      <c r="EF134">
        <v>14.149905</v>
      </c>
      <c r="EG134">
        <v>94</v>
      </c>
      <c r="EH134">
        <v>94</v>
      </c>
      <c r="EI134">
        <v>16</v>
      </c>
      <c r="EJ134">
        <v>17</v>
      </c>
      <c r="EK134" t="s">
        <v>273</v>
      </c>
      <c r="EL134" t="s">
        <v>273</v>
      </c>
      <c r="EM134">
        <v>23.647801000000001</v>
      </c>
      <c r="EN134">
        <v>1.916E-2</v>
      </c>
      <c r="EO134">
        <v>2.4151069999999999</v>
      </c>
      <c r="EP134">
        <v>1.875299</v>
      </c>
      <c r="EQ134">
        <v>77.648690999999999</v>
      </c>
      <c r="ER134">
        <v>17.704460999999998</v>
      </c>
      <c r="ES134">
        <v>1039.719071</v>
      </c>
      <c r="ET134">
        <v>7.5339460000000003</v>
      </c>
      <c r="EU134">
        <v>19</v>
      </c>
      <c r="EV134">
        <v>19</v>
      </c>
      <c r="EW134">
        <v>19</v>
      </c>
      <c r="EX134">
        <v>19</v>
      </c>
      <c r="EY134" t="s">
        <v>273</v>
      </c>
      <c r="EZ134" t="s">
        <v>273</v>
      </c>
      <c r="FA134">
        <v>29.31241</v>
      </c>
      <c r="FB134">
        <v>3.6340999999999998E-2</v>
      </c>
      <c r="FC134">
        <v>2.505055</v>
      </c>
      <c r="FD134">
        <v>2.0424530000000001</v>
      </c>
      <c r="FE134">
        <v>81.533233999999993</v>
      </c>
      <c r="FF134">
        <v>23.455047</v>
      </c>
      <c r="FG134">
        <v>1241.714201</v>
      </c>
      <c r="FH134">
        <v>14.289607999999999</v>
      </c>
      <c r="FI134">
        <v>94</v>
      </c>
      <c r="FJ134">
        <v>94</v>
      </c>
      <c r="FK134">
        <v>16</v>
      </c>
      <c r="FL134">
        <v>17</v>
      </c>
      <c r="FM134" t="s">
        <v>273</v>
      </c>
      <c r="FN134" t="s">
        <v>273</v>
      </c>
      <c r="FO134">
        <v>31.190384999999999</v>
      </c>
      <c r="FP134">
        <v>6.0671000000000003E-2</v>
      </c>
      <c r="FQ134">
        <v>5.8560309999999998</v>
      </c>
      <c r="FR134">
        <v>5.1017530000000004</v>
      </c>
      <c r="FS134">
        <v>87.119636999999997</v>
      </c>
      <c r="FT134">
        <v>27.001334</v>
      </c>
      <c r="FU134">
        <v>1104.319853</v>
      </c>
      <c r="FV134">
        <v>23.856628000000001</v>
      </c>
      <c r="FW134">
        <v>9</v>
      </c>
      <c r="FX134">
        <v>9</v>
      </c>
      <c r="FY134">
        <v>9</v>
      </c>
      <c r="FZ134">
        <v>9</v>
      </c>
      <c r="GA134" t="s">
        <v>273</v>
      </c>
      <c r="GB134" t="s">
        <v>273</v>
      </c>
      <c r="GC134">
        <v>31.870708</v>
      </c>
      <c r="GD134">
        <v>7.7340999999999993E-2</v>
      </c>
      <c r="GE134">
        <v>2.4835310000000002</v>
      </c>
      <c r="GF134">
        <v>2.0495640000000002</v>
      </c>
      <c r="GG134">
        <v>82.526223999999999</v>
      </c>
      <c r="GH134">
        <v>25.475263000000002</v>
      </c>
      <c r="GI134">
        <v>2470.2024339999998</v>
      </c>
      <c r="GJ134">
        <v>30.411384999999999</v>
      </c>
      <c r="GK134">
        <v>30</v>
      </c>
      <c r="GL134">
        <v>30</v>
      </c>
      <c r="GM134">
        <v>16</v>
      </c>
      <c r="GN134">
        <v>23</v>
      </c>
      <c r="GO134" t="s">
        <v>273</v>
      </c>
      <c r="GP134" t="s">
        <v>273</v>
      </c>
      <c r="GQ134">
        <v>32.498627999999997</v>
      </c>
      <c r="GR134">
        <v>0.11373900000000001</v>
      </c>
      <c r="GS134">
        <v>5.2952570000000003</v>
      </c>
      <c r="GT134">
        <v>4.5740970000000001</v>
      </c>
      <c r="GU134">
        <v>86.381023999999996</v>
      </c>
      <c r="GV134">
        <v>27.829328</v>
      </c>
      <c r="GW134">
        <v>1624.0060659999999</v>
      </c>
      <c r="GX134">
        <v>44.723398000000003</v>
      </c>
      <c r="GY134">
        <v>76</v>
      </c>
      <c r="GZ134">
        <v>76</v>
      </c>
      <c r="HA134">
        <v>49</v>
      </c>
      <c r="HB134">
        <v>51</v>
      </c>
      <c r="HC134" t="s">
        <v>273</v>
      </c>
      <c r="HD134" t="s">
        <v>273</v>
      </c>
      <c r="HE134">
        <v>18</v>
      </c>
      <c r="HF134">
        <v>5.0000000000000001E-4</v>
      </c>
      <c r="HG134">
        <v>4.7499999999999999E-3</v>
      </c>
      <c r="HH134">
        <v>5.5556000000000001E-2</v>
      </c>
      <c r="HI134">
        <v>9500</v>
      </c>
    </row>
    <row r="135" spans="1:217" x14ac:dyDescent="0.3">
      <c r="A135">
        <v>736</v>
      </c>
      <c r="B135" t="s">
        <v>269</v>
      </c>
      <c r="F135" t="s">
        <v>270</v>
      </c>
      <c r="G135" t="s">
        <v>293</v>
      </c>
      <c r="H135" t="s">
        <v>294</v>
      </c>
      <c r="I135">
        <v>9500</v>
      </c>
      <c r="J135">
        <v>1</v>
      </c>
      <c r="K135">
        <v>61.641406000000003</v>
      </c>
      <c r="L135">
        <v>0.22</v>
      </c>
      <c r="M135">
        <v>5.7553E-2</v>
      </c>
      <c r="N135">
        <v>0</v>
      </c>
      <c r="O135">
        <v>0</v>
      </c>
      <c r="P135">
        <v>0</v>
      </c>
      <c r="Q135">
        <v>28.87</v>
      </c>
      <c r="R135">
        <v>1</v>
      </c>
      <c r="S135">
        <v>1</v>
      </c>
      <c r="T135">
        <v>1</v>
      </c>
      <c r="U135">
        <v>1</v>
      </c>
      <c r="V135">
        <v>100</v>
      </c>
      <c r="W135" t="s">
        <v>273</v>
      </c>
      <c r="X135" t="s">
        <v>274</v>
      </c>
      <c r="Y135" t="s">
        <v>274</v>
      </c>
      <c r="Z135" t="s">
        <v>273</v>
      </c>
      <c r="AA135" t="s">
        <v>275</v>
      </c>
      <c r="AB135" t="s">
        <v>276</v>
      </c>
      <c r="AC135">
        <v>469</v>
      </c>
      <c r="AD135">
        <v>5</v>
      </c>
      <c r="AE135" t="s">
        <v>277</v>
      </c>
      <c r="AF135">
        <v>2.962364</v>
      </c>
      <c r="AG135">
        <v>100</v>
      </c>
      <c r="AH135">
        <v>26.7</v>
      </c>
      <c r="AI135">
        <v>1600</v>
      </c>
      <c r="AJ135">
        <v>800</v>
      </c>
      <c r="AK135">
        <v>1200</v>
      </c>
      <c r="AL135">
        <v>150</v>
      </c>
      <c r="AM135">
        <v>2.2000000000000002</v>
      </c>
      <c r="AN135" t="s">
        <v>273</v>
      </c>
      <c r="AO135" t="s">
        <v>278</v>
      </c>
      <c r="AP135" t="s">
        <v>295</v>
      </c>
      <c r="AQ135">
        <v>4</v>
      </c>
      <c r="AR135">
        <v>8</v>
      </c>
      <c r="AS135">
        <v>224.3</v>
      </c>
      <c r="AT135">
        <v>408</v>
      </c>
      <c r="AU135">
        <v>0.23255999999999999</v>
      </c>
      <c r="AV135">
        <v>36.299999999999997</v>
      </c>
      <c r="AW135">
        <v>237</v>
      </c>
      <c r="AX135" t="s">
        <v>280</v>
      </c>
      <c r="AY135">
        <v>0</v>
      </c>
      <c r="AZ135" t="s">
        <v>281</v>
      </c>
      <c r="BA135">
        <v>0.2</v>
      </c>
      <c r="BB135">
        <v>0.5</v>
      </c>
      <c r="BC135" t="s">
        <v>273</v>
      </c>
      <c r="BD135" t="s">
        <v>273</v>
      </c>
      <c r="BE135">
        <v>14.098549999999999</v>
      </c>
      <c r="BF135">
        <v>14.260887</v>
      </c>
      <c r="BG135">
        <v>607.61292500000002</v>
      </c>
      <c r="BH135" t="s">
        <v>273</v>
      </c>
      <c r="BI135">
        <v>18.357493999999999</v>
      </c>
      <c r="BJ135">
        <v>18.568871000000001</v>
      </c>
      <c r="BK135">
        <v>466.64654000000002</v>
      </c>
      <c r="BL135" t="s">
        <v>273</v>
      </c>
      <c r="BM135">
        <v>18.358196</v>
      </c>
      <c r="BN135">
        <v>18.569580999999999</v>
      </c>
      <c r="BO135">
        <v>466.62869999999998</v>
      </c>
      <c r="BP135" t="s">
        <v>273</v>
      </c>
      <c r="BQ135">
        <v>10.708583000000001</v>
      </c>
      <c r="BR135">
        <v>10.831886000000001</v>
      </c>
      <c r="BS135">
        <v>799.96218999999996</v>
      </c>
      <c r="BT135" t="s">
        <v>273</v>
      </c>
      <c r="BU135">
        <v>4.6006689999999999</v>
      </c>
      <c r="BV135">
        <v>4.6536429999999998</v>
      </c>
      <c r="BW135">
        <v>1862.003363</v>
      </c>
      <c r="BX135" t="s">
        <v>273</v>
      </c>
      <c r="BY135">
        <v>12.753553999999999</v>
      </c>
      <c r="BZ135">
        <v>14.371008</v>
      </c>
      <c r="CA135">
        <v>14.744002999999999</v>
      </c>
      <c r="CB135">
        <v>18.358196</v>
      </c>
      <c r="CC135">
        <v>7.1197840000000001</v>
      </c>
      <c r="CD135">
        <v>12.514184999999999</v>
      </c>
      <c r="CE135" t="s">
        <v>273</v>
      </c>
      <c r="CF135">
        <v>12.900404</v>
      </c>
      <c r="CG135">
        <v>14.536483</v>
      </c>
      <c r="CH135">
        <v>14.913771000000001</v>
      </c>
      <c r="CI135">
        <v>18.569580999999999</v>
      </c>
      <c r="CJ135">
        <v>7.201765</v>
      </c>
      <c r="CK135">
        <v>12.658277999999999</v>
      </c>
      <c r="CL135" t="s">
        <v>273</v>
      </c>
      <c r="CM135">
        <v>671.69207200000005</v>
      </c>
      <c r="CN135">
        <v>596.09325799999999</v>
      </c>
      <c r="CO135">
        <v>581.01327600000002</v>
      </c>
      <c r="CP135">
        <v>466.62869999999998</v>
      </c>
      <c r="CQ135">
        <v>1203.191106</v>
      </c>
      <c r="CR135">
        <v>684.54010000000005</v>
      </c>
      <c r="CS135" t="s">
        <v>273</v>
      </c>
      <c r="CT135">
        <v>799.27539200000001</v>
      </c>
      <c r="CU135">
        <v>763.088167</v>
      </c>
      <c r="CV135">
        <v>691.26356299999998</v>
      </c>
      <c r="CW135">
        <v>1580.434745</v>
      </c>
      <c r="CX135">
        <v>708.57181200000002</v>
      </c>
      <c r="CY135">
        <v>1408.35094</v>
      </c>
      <c r="CZ135" t="s">
        <v>273</v>
      </c>
      <c r="DA135">
        <v>3.6071759999999999</v>
      </c>
      <c r="DB135">
        <v>510.01</v>
      </c>
      <c r="DC135">
        <v>3.8806250000000002</v>
      </c>
      <c r="DD135">
        <v>864</v>
      </c>
      <c r="DE135">
        <v>3.6066060000000002</v>
      </c>
      <c r="DF135">
        <v>505</v>
      </c>
      <c r="DG135">
        <v>10.267064</v>
      </c>
      <c r="DH135">
        <v>765</v>
      </c>
      <c r="DI135">
        <v>1.7852140000000001</v>
      </c>
      <c r="DJ135">
        <v>235</v>
      </c>
      <c r="DK135">
        <v>6.236675</v>
      </c>
      <c r="DL135">
        <v>365</v>
      </c>
      <c r="DM135" t="s">
        <v>273</v>
      </c>
      <c r="DN135">
        <v>5.2928129999999998</v>
      </c>
      <c r="DO135">
        <v>13.923983</v>
      </c>
      <c r="DP135">
        <v>7.2161929999999996</v>
      </c>
      <c r="DQ135" t="s">
        <v>282</v>
      </c>
      <c r="DR135">
        <v>8.2393780000000003</v>
      </c>
      <c r="DS135">
        <v>20.107337999999999</v>
      </c>
      <c r="DT135">
        <v>49.486891999999997</v>
      </c>
      <c r="DU135">
        <v>74.121666000000005</v>
      </c>
      <c r="DV135">
        <v>110.845691</v>
      </c>
      <c r="DW135" t="s">
        <v>283</v>
      </c>
      <c r="DX135" t="s">
        <v>273</v>
      </c>
      <c r="DY135">
        <v>26.832525</v>
      </c>
      <c r="DZ135">
        <v>6.3127000000000003E-2</v>
      </c>
      <c r="EA135">
        <v>2.489411</v>
      </c>
      <c r="EB135">
        <v>2.0368170000000001</v>
      </c>
      <c r="EC135">
        <v>81.819209999999998</v>
      </c>
      <c r="ED135">
        <v>21.616917000000001</v>
      </c>
      <c r="EE135">
        <v>1243.7155929999999</v>
      </c>
      <c r="EF135">
        <v>14.156589</v>
      </c>
      <c r="EG135">
        <v>26</v>
      </c>
      <c r="EH135">
        <v>26</v>
      </c>
      <c r="EI135">
        <v>25</v>
      </c>
      <c r="EJ135">
        <v>26</v>
      </c>
      <c r="EK135" t="s">
        <v>273</v>
      </c>
      <c r="EL135" t="s">
        <v>273</v>
      </c>
      <c r="EM135">
        <v>26.956996</v>
      </c>
      <c r="EN135">
        <v>3.3531999999999999E-2</v>
      </c>
      <c r="EO135">
        <v>2.3877280000000001</v>
      </c>
      <c r="EP135">
        <v>1.850727</v>
      </c>
      <c r="EQ135">
        <v>77.509962999999999</v>
      </c>
      <c r="ER135">
        <v>20.374555999999998</v>
      </c>
      <c r="ES135">
        <v>1040.3001859999999</v>
      </c>
      <c r="ET135">
        <v>7.5196129999999997</v>
      </c>
      <c r="EU135">
        <v>27</v>
      </c>
      <c r="EV135">
        <v>27</v>
      </c>
      <c r="EW135">
        <v>25</v>
      </c>
      <c r="EX135">
        <v>27</v>
      </c>
      <c r="EY135" t="s">
        <v>273</v>
      </c>
      <c r="EZ135" t="s">
        <v>273</v>
      </c>
      <c r="FA135">
        <v>31.022262999999999</v>
      </c>
      <c r="FB135">
        <v>6.3750000000000001E-2</v>
      </c>
      <c r="FC135">
        <v>2.4891770000000002</v>
      </c>
      <c r="FD135">
        <v>2.0366949999999999</v>
      </c>
      <c r="FE135">
        <v>81.822023000000002</v>
      </c>
      <c r="FF135">
        <v>24.993096000000001</v>
      </c>
      <c r="FG135">
        <v>1243.840807</v>
      </c>
      <c r="FH135">
        <v>14.296215</v>
      </c>
      <c r="FI135">
        <v>26</v>
      </c>
      <c r="FJ135">
        <v>26</v>
      </c>
      <c r="FK135">
        <v>25</v>
      </c>
      <c r="FL135">
        <v>26</v>
      </c>
      <c r="FM135" t="s">
        <v>273</v>
      </c>
      <c r="FN135" t="s">
        <v>273</v>
      </c>
      <c r="FO135">
        <v>32.092697999999999</v>
      </c>
      <c r="FP135">
        <v>0.10632900000000001</v>
      </c>
      <c r="FQ135">
        <v>5.887372</v>
      </c>
      <c r="FR135">
        <v>5.0951690000000003</v>
      </c>
      <c r="FS135">
        <v>86.544032999999999</v>
      </c>
      <c r="FT135">
        <v>27.620788999999998</v>
      </c>
      <c r="FU135">
        <v>1103.973941</v>
      </c>
      <c r="FV135">
        <v>23.844736999999999</v>
      </c>
      <c r="FW135">
        <v>30</v>
      </c>
      <c r="FX135">
        <v>30</v>
      </c>
      <c r="FY135">
        <v>30</v>
      </c>
      <c r="FZ135">
        <v>28</v>
      </c>
      <c r="GA135" t="s">
        <v>273</v>
      </c>
      <c r="GB135" t="s">
        <v>273</v>
      </c>
      <c r="GC135">
        <v>30.546206000000002</v>
      </c>
      <c r="GD135">
        <v>0.135542</v>
      </c>
      <c r="GE135">
        <v>2.5123479999999998</v>
      </c>
      <c r="GF135">
        <v>2.0364740000000001</v>
      </c>
      <c r="GG135">
        <v>81.058575000000005</v>
      </c>
      <c r="GH135">
        <v>24.124175000000001</v>
      </c>
      <c r="GI135">
        <v>2486.2444869999999</v>
      </c>
      <c r="GJ135">
        <v>30.395917000000001</v>
      </c>
      <c r="GK135">
        <v>25</v>
      </c>
      <c r="GL135">
        <v>25</v>
      </c>
      <c r="GM135">
        <v>16</v>
      </c>
      <c r="GN135">
        <v>24</v>
      </c>
      <c r="GO135" t="s">
        <v>273</v>
      </c>
      <c r="GP135" t="s">
        <v>273</v>
      </c>
      <c r="GQ135">
        <v>32.445650999999998</v>
      </c>
      <c r="GR135">
        <v>0.198689</v>
      </c>
      <c r="GS135">
        <v>5.3040310000000002</v>
      </c>
      <c r="GT135">
        <v>4.5521190000000002</v>
      </c>
      <c r="GU135">
        <v>85.823767000000004</v>
      </c>
      <c r="GV135">
        <v>27.634847000000001</v>
      </c>
      <c r="GW135">
        <v>1620.3448000000001</v>
      </c>
      <c r="GX135">
        <v>44.557067000000004</v>
      </c>
      <c r="GY135">
        <v>53</v>
      </c>
      <c r="GZ135">
        <v>53</v>
      </c>
      <c r="HA135">
        <v>47</v>
      </c>
      <c r="HB135">
        <v>43</v>
      </c>
      <c r="HC135" t="s">
        <v>273</v>
      </c>
      <c r="HD135" t="s">
        <v>273</v>
      </c>
      <c r="HE135">
        <v>31</v>
      </c>
      <c r="HF135">
        <v>5.0000000000000001E-4</v>
      </c>
      <c r="HG135">
        <v>4.7499999999999999E-3</v>
      </c>
      <c r="HH135">
        <v>3.2258000000000002E-2</v>
      </c>
      <c r="HI135">
        <v>9500</v>
      </c>
    </row>
    <row r="136" spans="1:217" x14ac:dyDescent="0.3">
      <c r="A136">
        <v>747</v>
      </c>
      <c r="B136" t="s">
        <v>269</v>
      </c>
      <c r="F136" t="s">
        <v>270</v>
      </c>
      <c r="G136" t="s">
        <v>293</v>
      </c>
      <c r="H136" t="s">
        <v>294</v>
      </c>
      <c r="I136">
        <v>4000</v>
      </c>
      <c r="J136">
        <v>1</v>
      </c>
      <c r="K136">
        <v>18.574999999999999</v>
      </c>
      <c r="L136">
        <v>0.22</v>
      </c>
      <c r="M136">
        <v>3.6312999999999998E-2</v>
      </c>
      <c r="N136">
        <v>0</v>
      </c>
      <c r="O136">
        <v>0</v>
      </c>
      <c r="P136">
        <v>0</v>
      </c>
      <c r="Q136">
        <v>16.05</v>
      </c>
      <c r="R136">
        <v>1</v>
      </c>
      <c r="S136">
        <v>1</v>
      </c>
      <c r="T136">
        <v>1</v>
      </c>
      <c r="U136">
        <v>1</v>
      </c>
      <c r="V136">
        <v>100</v>
      </c>
      <c r="W136" t="s">
        <v>273</v>
      </c>
      <c r="X136" t="s">
        <v>274</v>
      </c>
      <c r="Y136" t="s">
        <v>274</v>
      </c>
      <c r="Z136" t="s">
        <v>273</v>
      </c>
      <c r="AA136" t="s">
        <v>275</v>
      </c>
      <c r="AB136" t="s">
        <v>276</v>
      </c>
      <c r="AC136">
        <v>823</v>
      </c>
      <c r="AD136">
        <v>5</v>
      </c>
      <c r="AE136" t="s">
        <v>277</v>
      </c>
      <c r="AF136">
        <v>2.4069210000000001</v>
      </c>
      <c r="AG136">
        <v>100</v>
      </c>
      <c r="AH136">
        <v>21.7</v>
      </c>
      <c r="AI136">
        <v>1300</v>
      </c>
      <c r="AJ136">
        <v>800</v>
      </c>
      <c r="AK136">
        <v>1200</v>
      </c>
      <c r="AL136">
        <v>113.3</v>
      </c>
      <c r="AM136">
        <v>2.2000000000000002</v>
      </c>
      <c r="AN136" t="s">
        <v>273</v>
      </c>
      <c r="AO136" t="s">
        <v>278</v>
      </c>
      <c r="AP136" t="s">
        <v>297</v>
      </c>
      <c r="AQ136">
        <v>7</v>
      </c>
      <c r="AR136">
        <v>8</v>
      </c>
      <c r="AS136">
        <v>393.2</v>
      </c>
      <c r="AT136">
        <v>715.3</v>
      </c>
      <c r="AU136">
        <v>0.40698000000000001</v>
      </c>
      <c r="AV136">
        <v>37.200000000000003</v>
      </c>
      <c r="AW136">
        <v>231.7</v>
      </c>
      <c r="AX136" t="s">
        <v>280</v>
      </c>
      <c r="AY136">
        <v>0</v>
      </c>
      <c r="AZ136" t="s">
        <v>281</v>
      </c>
      <c r="BA136">
        <v>0.2</v>
      </c>
      <c r="BB136">
        <v>0.5</v>
      </c>
      <c r="BC136" t="s">
        <v>273</v>
      </c>
      <c r="BD136" t="s">
        <v>273</v>
      </c>
      <c r="BE136">
        <v>19.661731</v>
      </c>
      <c r="BF136">
        <v>19.888124999999999</v>
      </c>
      <c r="BG136">
        <v>435.692115</v>
      </c>
      <c r="BH136" t="s">
        <v>273</v>
      </c>
      <c r="BI136">
        <v>27.458877999999999</v>
      </c>
      <c r="BJ136">
        <v>27.775051000000001</v>
      </c>
      <c r="BK136">
        <v>311.97419600000001</v>
      </c>
      <c r="BL136" t="s">
        <v>273</v>
      </c>
      <c r="BM136">
        <v>27.460170999999999</v>
      </c>
      <c r="BN136">
        <v>27.776358999999999</v>
      </c>
      <c r="BO136">
        <v>311.95950399999998</v>
      </c>
      <c r="BP136" t="s">
        <v>273</v>
      </c>
      <c r="BQ136">
        <v>19.792083999999999</v>
      </c>
      <c r="BR136">
        <v>20.019978999999999</v>
      </c>
      <c r="BS136">
        <v>432.82260100000002</v>
      </c>
      <c r="BT136" t="s">
        <v>273</v>
      </c>
      <c r="BU136">
        <v>4.5671049999999997</v>
      </c>
      <c r="BV136">
        <v>4.6196919999999997</v>
      </c>
      <c r="BW136">
        <v>1875.687488</v>
      </c>
      <c r="BX136" t="s">
        <v>273</v>
      </c>
      <c r="BY136">
        <v>19.455304999999999</v>
      </c>
      <c r="BZ136">
        <v>18.444723</v>
      </c>
      <c r="CA136">
        <v>22.673705999999999</v>
      </c>
      <c r="CB136">
        <v>27.460170999999999</v>
      </c>
      <c r="CC136">
        <v>14.769958000000001</v>
      </c>
      <c r="CD136">
        <v>21.949394000000002</v>
      </c>
      <c r="CE136" t="s">
        <v>273</v>
      </c>
      <c r="CF136">
        <v>19.679321000000002</v>
      </c>
      <c r="CG136">
        <v>18.657104</v>
      </c>
      <c r="CH136">
        <v>22.934781000000001</v>
      </c>
      <c r="CI136">
        <v>27.776358999999999</v>
      </c>
      <c r="CJ136">
        <v>14.940026</v>
      </c>
      <c r="CK136">
        <v>22.202128999999999</v>
      </c>
      <c r="CL136" t="s">
        <v>273</v>
      </c>
      <c r="CM136">
        <v>440.31494099999998</v>
      </c>
      <c r="CN136">
        <v>464.43966999999998</v>
      </c>
      <c r="CO136">
        <v>377.81478600000003</v>
      </c>
      <c r="CP136">
        <v>311.95950399999998</v>
      </c>
      <c r="CQ136">
        <v>579.99223800000004</v>
      </c>
      <c r="CR136">
        <v>390.28236500000003</v>
      </c>
      <c r="CS136" t="s">
        <v>273</v>
      </c>
      <c r="CT136">
        <v>525.11717599999997</v>
      </c>
      <c r="CU136">
        <v>597.26102200000003</v>
      </c>
      <c r="CV136">
        <v>450.516569</v>
      </c>
      <c r="CW136">
        <v>1056.841707</v>
      </c>
      <c r="CX136">
        <v>345.54097400000001</v>
      </c>
      <c r="CY136">
        <v>804.40472999999997</v>
      </c>
      <c r="CZ136" t="s">
        <v>273</v>
      </c>
      <c r="DA136">
        <v>3.6152129999999998</v>
      </c>
      <c r="DB136">
        <v>510.01</v>
      </c>
      <c r="DC136">
        <v>3.898307</v>
      </c>
      <c r="DD136">
        <v>864</v>
      </c>
      <c r="DE136">
        <v>3.614706</v>
      </c>
      <c r="DF136">
        <v>505</v>
      </c>
      <c r="DG136">
        <v>10.269584</v>
      </c>
      <c r="DH136">
        <v>765</v>
      </c>
      <c r="DI136">
        <v>1.806003</v>
      </c>
      <c r="DJ136">
        <v>235</v>
      </c>
      <c r="DK136">
        <v>6.2479399999999998</v>
      </c>
      <c r="DL136">
        <v>365</v>
      </c>
      <c r="DM136" t="s">
        <v>273</v>
      </c>
      <c r="DN136">
        <v>2.2812190000000001</v>
      </c>
      <c r="DO136">
        <v>4.1797940000000002</v>
      </c>
      <c r="DP136">
        <v>2.5409410000000001</v>
      </c>
      <c r="DQ136" t="s">
        <v>282</v>
      </c>
      <c r="DR136">
        <v>2.6770010000000002</v>
      </c>
      <c r="DS136">
        <v>12.519659000000001</v>
      </c>
      <c r="DT136">
        <v>21.917394999999999</v>
      </c>
      <c r="DU136">
        <v>117.89258700000001</v>
      </c>
      <c r="DV136">
        <v>160.23538300000001</v>
      </c>
      <c r="DW136" t="s">
        <v>283</v>
      </c>
      <c r="DX136" t="s">
        <v>273</v>
      </c>
      <c r="DY136">
        <v>19.332616999999999</v>
      </c>
      <c r="DZ136">
        <v>1.7156999999999999E-2</v>
      </c>
      <c r="EA136">
        <v>1.1783809999999999</v>
      </c>
      <c r="EB136">
        <v>0.97970100000000004</v>
      </c>
      <c r="EC136">
        <v>83.139593000000005</v>
      </c>
      <c r="ED136">
        <v>15.679881999999999</v>
      </c>
      <c r="EE136">
        <v>591.37491799999998</v>
      </c>
      <c r="EF136">
        <v>6.7463220000000002</v>
      </c>
      <c r="EG136">
        <v>11</v>
      </c>
      <c r="EH136">
        <v>11</v>
      </c>
      <c r="EI136">
        <v>11</v>
      </c>
      <c r="EJ136">
        <v>11</v>
      </c>
      <c r="EK136" t="s">
        <v>273</v>
      </c>
      <c r="EL136" t="s">
        <v>273</v>
      </c>
      <c r="EM136">
        <v>15.200424</v>
      </c>
      <c r="EN136">
        <v>8.2310000000000005E-3</v>
      </c>
      <c r="EO136">
        <v>1.053801</v>
      </c>
      <c r="EP136">
        <v>0.832426</v>
      </c>
      <c r="EQ136">
        <v>78.992684999999994</v>
      </c>
      <c r="ER136">
        <v>11.203811</v>
      </c>
      <c r="ES136">
        <v>445.70881500000002</v>
      </c>
      <c r="ET136">
        <v>3.2364009999999999</v>
      </c>
      <c r="EU136">
        <v>19</v>
      </c>
      <c r="EV136">
        <v>19</v>
      </c>
      <c r="EW136">
        <v>19</v>
      </c>
      <c r="EX136">
        <v>19</v>
      </c>
      <c r="EY136" t="s">
        <v>273</v>
      </c>
      <c r="EZ136" t="s">
        <v>273</v>
      </c>
      <c r="FA136">
        <v>22.509077999999999</v>
      </c>
      <c r="FB136">
        <v>1.7326000000000001E-2</v>
      </c>
      <c r="FC136">
        <v>1.1770830000000001</v>
      </c>
      <c r="FD136">
        <v>0.97983500000000001</v>
      </c>
      <c r="FE136">
        <v>83.242587999999998</v>
      </c>
      <c r="FF136">
        <v>18.275154000000001</v>
      </c>
      <c r="FG136">
        <v>591.42405900000006</v>
      </c>
      <c r="FH136">
        <v>6.8128599999999997</v>
      </c>
      <c r="FI136">
        <v>11</v>
      </c>
      <c r="FJ136">
        <v>11</v>
      </c>
      <c r="FK136">
        <v>11</v>
      </c>
      <c r="FL136">
        <v>11</v>
      </c>
      <c r="FM136" t="s">
        <v>273</v>
      </c>
      <c r="FN136" t="s">
        <v>273</v>
      </c>
      <c r="FO136">
        <v>25.396671000000001</v>
      </c>
      <c r="FP136">
        <v>3.2586999999999998E-2</v>
      </c>
      <c r="FQ136">
        <v>3.1154829999999998</v>
      </c>
      <c r="FR136">
        <v>2.7415240000000001</v>
      </c>
      <c r="FS136">
        <v>87.996761000000006</v>
      </c>
      <c r="FT136">
        <v>22.196536999999999</v>
      </c>
      <c r="FU136">
        <v>593.10929799999997</v>
      </c>
      <c r="FV136">
        <v>12.813715</v>
      </c>
      <c r="FW136">
        <v>5</v>
      </c>
      <c r="FX136">
        <v>5</v>
      </c>
      <c r="FY136">
        <v>5</v>
      </c>
      <c r="FZ136">
        <v>5</v>
      </c>
      <c r="GA136" t="s">
        <v>273</v>
      </c>
      <c r="GB136" t="s">
        <v>273</v>
      </c>
      <c r="GC136">
        <v>28.711592</v>
      </c>
      <c r="GD136">
        <v>3.4755000000000001E-2</v>
      </c>
      <c r="GE136">
        <v>1.1515839999999999</v>
      </c>
      <c r="GF136">
        <v>0.92797399999999997</v>
      </c>
      <c r="GG136">
        <v>80.582436000000001</v>
      </c>
      <c r="GH136">
        <v>22.241271000000001</v>
      </c>
      <c r="GI136">
        <v>1104.9385030000001</v>
      </c>
      <c r="GJ136">
        <v>13.665881000000001</v>
      </c>
      <c r="GK136">
        <v>21</v>
      </c>
      <c r="GL136">
        <v>21</v>
      </c>
      <c r="GM136">
        <v>20</v>
      </c>
      <c r="GN136">
        <v>21</v>
      </c>
      <c r="GO136" t="s">
        <v>273</v>
      </c>
      <c r="GP136" t="s">
        <v>273</v>
      </c>
      <c r="GQ136">
        <v>31.285274999999999</v>
      </c>
      <c r="GR136">
        <v>6.3436000000000006E-2</v>
      </c>
      <c r="GS136">
        <v>2.9211459999999998</v>
      </c>
      <c r="GT136">
        <v>2.5514009999999998</v>
      </c>
      <c r="GU136">
        <v>87.342449000000002</v>
      </c>
      <c r="GV136">
        <v>27.085511</v>
      </c>
      <c r="GW136">
        <v>905.45601799999997</v>
      </c>
      <c r="GX136">
        <v>24.943662</v>
      </c>
      <c r="GY136">
        <v>24</v>
      </c>
      <c r="GZ136">
        <v>24</v>
      </c>
      <c r="HA136">
        <v>10</v>
      </c>
      <c r="HB136">
        <v>11</v>
      </c>
      <c r="HC136" t="s">
        <v>273</v>
      </c>
      <c r="HD136" t="s">
        <v>273</v>
      </c>
      <c r="HE136">
        <v>7.5</v>
      </c>
      <c r="HF136">
        <v>5.0000000000000001E-4</v>
      </c>
      <c r="HG136">
        <v>6.4999999999999997E-3</v>
      </c>
      <c r="HH136">
        <v>0.13333300000000001</v>
      </c>
      <c r="HI136">
        <v>4000</v>
      </c>
    </row>
    <row r="137" spans="1:217" x14ac:dyDescent="0.3">
      <c r="A137">
        <v>749</v>
      </c>
      <c r="B137" t="s">
        <v>269</v>
      </c>
      <c r="F137" t="s">
        <v>270</v>
      </c>
      <c r="G137" t="s">
        <v>293</v>
      </c>
      <c r="H137" t="s">
        <v>294</v>
      </c>
      <c r="I137">
        <v>3750</v>
      </c>
      <c r="J137">
        <v>1</v>
      </c>
      <c r="K137">
        <v>17.207812000000001</v>
      </c>
      <c r="L137">
        <v>0.22</v>
      </c>
      <c r="M137">
        <v>3.3870999999999998E-2</v>
      </c>
      <c r="N137">
        <v>0</v>
      </c>
      <c r="O137">
        <v>0</v>
      </c>
      <c r="P137">
        <v>0</v>
      </c>
      <c r="Q137">
        <v>15.05</v>
      </c>
      <c r="R137">
        <v>1</v>
      </c>
      <c r="S137">
        <v>1</v>
      </c>
      <c r="T137">
        <v>1</v>
      </c>
      <c r="U137">
        <v>1</v>
      </c>
      <c r="V137">
        <v>100</v>
      </c>
      <c r="W137" t="s">
        <v>273</v>
      </c>
      <c r="X137" t="s">
        <v>274</v>
      </c>
      <c r="Y137" t="s">
        <v>274</v>
      </c>
      <c r="Z137" t="s">
        <v>273</v>
      </c>
      <c r="AA137" t="s">
        <v>275</v>
      </c>
      <c r="AB137" t="s">
        <v>276</v>
      </c>
      <c r="AC137">
        <v>646</v>
      </c>
      <c r="AD137">
        <v>5</v>
      </c>
      <c r="AE137" t="s">
        <v>277</v>
      </c>
      <c r="AF137">
        <v>2.7309290000000002</v>
      </c>
      <c r="AG137">
        <v>100</v>
      </c>
      <c r="AH137">
        <v>24.6</v>
      </c>
      <c r="AI137">
        <v>1475</v>
      </c>
      <c r="AJ137">
        <v>800</v>
      </c>
      <c r="AK137">
        <v>1200</v>
      </c>
      <c r="AL137">
        <v>127.9</v>
      </c>
      <c r="AM137">
        <v>2.2000000000000002</v>
      </c>
      <c r="AN137" t="s">
        <v>273</v>
      </c>
      <c r="AO137" t="s">
        <v>278</v>
      </c>
      <c r="AP137" t="s">
        <v>296</v>
      </c>
      <c r="AQ137">
        <v>5.5</v>
      </c>
      <c r="AR137">
        <v>8</v>
      </c>
      <c r="AS137">
        <v>308.7</v>
      </c>
      <c r="AT137">
        <v>561.70000000000005</v>
      </c>
      <c r="AU137">
        <v>0.31977</v>
      </c>
      <c r="AV137">
        <v>36.799999999999997</v>
      </c>
      <c r="AW137">
        <v>233.9</v>
      </c>
      <c r="AX137" t="s">
        <v>280</v>
      </c>
      <c r="AY137">
        <v>0</v>
      </c>
      <c r="AZ137" t="s">
        <v>281</v>
      </c>
      <c r="BA137">
        <v>0.2</v>
      </c>
      <c r="BB137">
        <v>0.5</v>
      </c>
      <c r="BC137" t="s">
        <v>273</v>
      </c>
      <c r="BD137" t="s">
        <v>273</v>
      </c>
      <c r="BE137">
        <v>23.003958999999998</v>
      </c>
      <c r="BF137">
        <v>23.268837000000001</v>
      </c>
      <c r="BG137">
        <v>372.390738</v>
      </c>
      <c r="BH137" t="s">
        <v>273</v>
      </c>
      <c r="BI137">
        <v>30.893649</v>
      </c>
      <c r="BJ137">
        <v>31.249372000000001</v>
      </c>
      <c r="BK137">
        <v>277.28875099999999</v>
      </c>
      <c r="BL137" t="s">
        <v>273</v>
      </c>
      <c r="BM137">
        <v>30.895164999999999</v>
      </c>
      <c r="BN137">
        <v>31.250906000000001</v>
      </c>
      <c r="BO137">
        <v>277.27513800000003</v>
      </c>
      <c r="BP137" t="s">
        <v>273</v>
      </c>
      <c r="BQ137">
        <v>21.202300000000001</v>
      </c>
      <c r="BR137">
        <v>21.446432000000001</v>
      </c>
      <c r="BS137">
        <v>404.03453100000002</v>
      </c>
      <c r="BT137" t="s">
        <v>273</v>
      </c>
      <c r="BU137">
        <v>5.2301010000000003</v>
      </c>
      <c r="BV137">
        <v>5.2903229999999999</v>
      </c>
      <c r="BW137">
        <v>1637.914994</v>
      </c>
      <c r="BX137" t="s">
        <v>273</v>
      </c>
      <c r="BY137">
        <v>22.366023999999999</v>
      </c>
      <c r="BZ137">
        <v>21.900366999999999</v>
      </c>
      <c r="CA137">
        <v>26.047781000000001</v>
      </c>
      <c r="CB137">
        <v>30.895164999999999</v>
      </c>
      <c r="CC137">
        <v>16.147821</v>
      </c>
      <c r="CD137">
        <v>23.309968000000001</v>
      </c>
      <c r="CE137" t="s">
        <v>273</v>
      </c>
      <c r="CF137">
        <v>22.623556000000001</v>
      </c>
      <c r="CG137">
        <v>22.152538</v>
      </c>
      <c r="CH137">
        <v>26.347705999999999</v>
      </c>
      <c r="CI137">
        <v>31.250906000000001</v>
      </c>
      <c r="CJ137">
        <v>16.333753999999999</v>
      </c>
      <c r="CK137">
        <v>23.578368999999999</v>
      </c>
      <c r="CL137" t="s">
        <v>273</v>
      </c>
      <c r="CM137">
        <v>383.01226200000002</v>
      </c>
      <c r="CN137">
        <v>391.15605499999998</v>
      </c>
      <c r="CO137">
        <v>328.87489599999998</v>
      </c>
      <c r="CP137">
        <v>277.27513800000003</v>
      </c>
      <c r="CQ137">
        <v>530.50262599999996</v>
      </c>
      <c r="CR137">
        <v>367.50205599999998</v>
      </c>
      <c r="CS137" t="s">
        <v>273</v>
      </c>
      <c r="CT137">
        <v>456.68240100000003</v>
      </c>
      <c r="CU137">
        <v>502.89738799999998</v>
      </c>
      <c r="CV137">
        <v>392.07484399999998</v>
      </c>
      <c r="CW137">
        <v>939.32474500000001</v>
      </c>
      <c r="CX137">
        <v>315.79929199999998</v>
      </c>
      <c r="CY137">
        <v>757.330198</v>
      </c>
      <c r="CZ137" t="s">
        <v>273</v>
      </c>
      <c r="DA137">
        <v>3.6144539999999998</v>
      </c>
      <c r="DB137">
        <v>510.01</v>
      </c>
      <c r="DC137">
        <v>3.8973589999999998</v>
      </c>
      <c r="DD137">
        <v>864</v>
      </c>
      <c r="DE137">
        <v>3.6139269999999999</v>
      </c>
      <c r="DF137">
        <v>505</v>
      </c>
      <c r="DG137">
        <v>10.269420999999999</v>
      </c>
      <c r="DH137">
        <v>765</v>
      </c>
      <c r="DI137">
        <v>1.8045329999999999</v>
      </c>
      <c r="DJ137">
        <v>235</v>
      </c>
      <c r="DK137">
        <v>6.2469299999999999</v>
      </c>
      <c r="DL137">
        <v>365</v>
      </c>
      <c r="DM137" t="s">
        <v>273</v>
      </c>
      <c r="DN137">
        <v>2.422901</v>
      </c>
      <c r="DO137">
        <v>4.6306789999999998</v>
      </c>
      <c r="DP137">
        <v>2.6395249999999999</v>
      </c>
      <c r="DQ137" t="s">
        <v>282</v>
      </c>
      <c r="DR137">
        <v>2.8059750000000001</v>
      </c>
      <c r="DS137">
        <v>13.116676999999999</v>
      </c>
      <c r="DT137">
        <v>23.192855999999999</v>
      </c>
      <c r="DU137">
        <v>111.83239399999999</v>
      </c>
      <c r="DV137">
        <v>153.38394500000001</v>
      </c>
      <c r="DW137" t="s">
        <v>283</v>
      </c>
      <c r="DX137" t="s">
        <v>273</v>
      </c>
      <c r="DY137">
        <v>20.764991999999999</v>
      </c>
      <c r="DZ137">
        <v>2.051E-2</v>
      </c>
      <c r="EA137">
        <v>1.1007400000000001</v>
      </c>
      <c r="EB137">
        <v>0.91741700000000004</v>
      </c>
      <c r="EC137">
        <v>83.345472999999998</v>
      </c>
      <c r="ED137">
        <v>16.922304</v>
      </c>
      <c r="EE137">
        <v>555.17361900000003</v>
      </c>
      <c r="EF137">
        <v>6.3320119999999998</v>
      </c>
      <c r="EG137">
        <v>16</v>
      </c>
      <c r="EH137">
        <v>16</v>
      </c>
      <c r="EI137">
        <v>16</v>
      </c>
      <c r="EJ137">
        <v>16</v>
      </c>
      <c r="EK137" t="s">
        <v>273</v>
      </c>
      <c r="EL137" t="s">
        <v>273</v>
      </c>
      <c r="EM137">
        <v>16.571929000000001</v>
      </c>
      <c r="EN137">
        <v>9.8320000000000005E-3</v>
      </c>
      <c r="EO137">
        <v>0.96736699999999998</v>
      </c>
      <c r="EP137">
        <v>0.76952299999999996</v>
      </c>
      <c r="EQ137">
        <v>79.548244999999994</v>
      </c>
      <c r="ER137">
        <v>12.479815</v>
      </c>
      <c r="ES137">
        <v>418.13301999999999</v>
      </c>
      <c r="ET137">
        <v>3.0354290000000002</v>
      </c>
      <c r="EU137">
        <v>23</v>
      </c>
      <c r="EV137">
        <v>23</v>
      </c>
      <c r="EW137">
        <v>23</v>
      </c>
      <c r="EX137">
        <v>23</v>
      </c>
      <c r="EY137" t="s">
        <v>273</v>
      </c>
      <c r="EZ137" t="s">
        <v>273</v>
      </c>
      <c r="FA137">
        <v>24.163796000000001</v>
      </c>
      <c r="FB137">
        <v>2.0712999999999999E-2</v>
      </c>
      <c r="FC137">
        <v>1.099696</v>
      </c>
      <c r="FD137">
        <v>0.91749199999999997</v>
      </c>
      <c r="FE137">
        <v>83.431370000000001</v>
      </c>
      <c r="FF137">
        <v>19.710229000000002</v>
      </c>
      <c r="FG137">
        <v>555.240452</v>
      </c>
      <c r="FH137">
        <v>6.3946680000000002</v>
      </c>
      <c r="FI137">
        <v>16</v>
      </c>
      <c r="FJ137">
        <v>16</v>
      </c>
      <c r="FK137">
        <v>16</v>
      </c>
      <c r="FL137">
        <v>16</v>
      </c>
      <c r="FM137" t="s">
        <v>273</v>
      </c>
      <c r="FN137" t="s">
        <v>273</v>
      </c>
      <c r="FO137">
        <v>26.783110000000001</v>
      </c>
      <c r="FP137">
        <v>3.8924E-2</v>
      </c>
      <c r="FQ137">
        <v>2.9202189999999999</v>
      </c>
      <c r="FR137">
        <v>2.5708449999999998</v>
      </c>
      <c r="FS137">
        <v>88.036013999999994</v>
      </c>
      <c r="FT137">
        <v>23.421095000000001</v>
      </c>
      <c r="FU137">
        <v>556.24920399999996</v>
      </c>
      <c r="FV137">
        <v>12.017187</v>
      </c>
      <c r="FW137">
        <v>7</v>
      </c>
      <c r="FX137">
        <v>7</v>
      </c>
      <c r="FY137">
        <v>7</v>
      </c>
      <c r="FZ137">
        <v>7</v>
      </c>
      <c r="GA137" t="s">
        <v>273</v>
      </c>
      <c r="GB137" t="s">
        <v>273</v>
      </c>
      <c r="GC137">
        <v>29.084910000000001</v>
      </c>
      <c r="GD137">
        <v>4.1459999999999997E-2</v>
      </c>
      <c r="GE137">
        <v>1.0661480000000001</v>
      </c>
      <c r="GF137">
        <v>0.866004</v>
      </c>
      <c r="GG137">
        <v>81.227380999999994</v>
      </c>
      <c r="GH137">
        <v>22.794398999999999</v>
      </c>
      <c r="GI137">
        <v>1035.788037</v>
      </c>
      <c r="GJ137">
        <v>12.800197000000001</v>
      </c>
      <c r="GK137">
        <v>26</v>
      </c>
      <c r="GL137">
        <v>26</v>
      </c>
      <c r="GM137">
        <v>23</v>
      </c>
      <c r="GN137">
        <v>23</v>
      </c>
      <c r="GO137" t="s">
        <v>273</v>
      </c>
      <c r="GP137" t="s">
        <v>273</v>
      </c>
      <c r="GQ137">
        <v>31.067907000000002</v>
      </c>
      <c r="GR137">
        <v>7.5688000000000005E-2</v>
      </c>
      <c r="GS137">
        <v>2.73109</v>
      </c>
      <c r="GT137">
        <v>2.389567</v>
      </c>
      <c r="GU137">
        <v>87.494985999999997</v>
      </c>
      <c r="GV137">
        <v>26.950958</v>
      </c>
      <c r="GW137">
        <v>848.37013999999999</v>
      </c>
      <c r="GX137">
        <v>23.367273000000001</v>
      </c>
      <c r="GY137">
        <v>24</v>
      </c>
      <c r="GZ137">
        <v>24</v>
      </c>
      <c r="HA137">
        <v>14</v>
      </c>
      <c r="HB137">
        <v>14</v>
      </c>
      <c r="HC137" t="s">
        <v>273</v>
      </c>
      <c r="HD137" t="s">
        <v>273</v>
      </c>
      <c r="HE137">
        <v>9</v>
      </c>
      <c r="HF137">
        <v>5.0000000000000001E-4</v>
      </c>
      <c r="HG137">
        <v>6.4999999999999997E-3</v>
      </c>
      <c r="HH137">
        <v>0.111111</v>
      </c>
      <c r="HI137">
        <v>3750</v>
      </c>
    </row>
    <row r="138" spans="1:217" x14ac:dyDescent="0.3">
      <c r="A138">
        <v>750</v>
      </c>
      <c r="B138" t="s">
        <v>269</v>
      </c>
      <c r="F138" t="s">
        <v>270</v>
      </c>
      <c r="G138" t="s">
        <v>293</v>
      </c>
      <c r="H138" t="s">
        <v>294</v>
      </c>
      <c r="I138">
        <v>4750</v>
      </c>
      <c r="J138">
        <v>1</v>
      </c>
      <c r="K138">
        <v>22.676562000000001</v>
      </c>
      <c r="L138">
        <v>0.22</v>
      </c>
      <c r="M138">
        <v>4.3637000000000002E-2</v>
      </c>
      <c r="N138">
        <v>0</v>
      </c>
      <c r="O138">
        <v>0</v>
      </c>
      <c r="P138">
        <v>0</v>
      </c>
      <c r="Q138">
        <v>19.04</v>
      </c>
      <c r="R138">
        <v>1</v>
      </c>
      <c r="S138">
        <v>1</v>
      </c>
      <c r="T138">
        <v>1</v>
      </c>
      <c r="U138">
        <v>1</v>
      </c>
      <c r="V138">
        <v>100</v>
      </c>
      <c r="W138" t="s">
        <v>273</v>
      </c>
      <c r="X138" t="s">
        <v>274</v>
      </c>
      <c r="Y138" t="s">
        <v>274</v>
      </c>
      <c r="Z138" t="s">
        <v>273</v>
      </c>
      <c r="AA138" t="s">
        <v>275</v>
      </c>
      <c r="AB138" t="s">
        <v>276</v>
      </c>
      <c r="AC138">
        <v>823</v>
      </c>
      <c r="AD138">
        <v>5</v>
      </c>
      <c r="AE138" t="s">
        <v>277</v>
      </c>
      <c r="AF138">
        <v>2.4069210000000001</v>
      </c>
      <c r="AG138">
        <v>100</v>
      </c>
      <c r="AH138">
        <v>21.7</v>
      </c>
      <c r="AI138">
        <v>1300</v>
      </c>
      <c r="AJ138">
        <v>800</v>
      </c>
      <c r="AK138">
        <v>1200</v>
      </c>
      <c r="AL138">
        <v>113.3</v>
      </c>
      <c r="AM138">
        <v>2.2000000000000002</v>
      </c>
      <c r="AN138" t="s">
        <v>273</v>
      </c>
      <c r="AO138" t="s">
        <v>278</v>
      </c>
      <c r="AP138" t="s">
        <v>297</v>
      </c>
      <c r="AQ138">
        <v>7</v>
      </c>
      <c r="AR138">
        <v>8</v>
      </c>
      <c r="AS138">
        <v>393.2</v>
      </c>
      <c r="AT138">
        <v>715.3</v>
      </c>
      <c r="AU138">
        <v>0.40698000000000001</v>
      </c>
      <c r="AV138">
        <v>37.200000000000003</v>
      </c>
      <c r="AW138">
        <v>231.7</v>
      </c>
      <c r="AX138" t="s">
        <v>280</v>
      </c>
      <c r="AY138">
        <v>0</v>
      </c>
      <c r="AZ138" t="s">
        <v>281</v>
      </c>
      <c r="BA138">
        <v>0.2</v>
      </c>
      <c r="BB138">
        <v>0.5</v>
      </c>
      <c r="BC138" t="s">
        <v>273</v>
      </c>
      <c r="BD138" t="s">
        <v>273</v>
      </c>
      <c r="BE138">
        <v>18.196847999999999</v>
      </c>
      <c r="BF138">
        <v>18.406374</v>
      </c>
      <c r="BG138">
        <v>470.76621599999999</v>
      </c>
      <c r="BH138" t="s">
        <v>273</v>
      </c>
      <c r="BI138">
        <v>24.822555999999999</v>
      </c>
      <c r="BJ138">
        <v>25.108373</v>
      </c>
      <c r="BK138">
        <v>345.10794800000002</v>
      </c>
      <c r="BL138" t="s">
        <v>273</v>
      </c>
      <c r="BM138">
        <v>24.823656</v>
      </c>
      <c r="BN138">
        <v>25.109486</v>
      </c>
      <c r="BO138">
        <v>345.09265399999998</v>
      </c>
      <c r="BP138" t="s">
        <v>273</v>
      </c>
      <c r="BQ138">
        <v>17.061237999999999</v>
      </c>
      <c r="BR138">
        <v>17.257688999999999</v>
      </c>
      <c r="BS138">
        <v>502.10079500000001</v>
      </c>
      <c r="BT138" t="s">
        <v>273</v>
      </c>
      <c r="BU138">
        <v>4.4129769999999997</v>
      </c>
      <c r="BV138">
        <v>4.4637900000000004</v>
      </c>
      <c r="BW138">
        <v>1941.19796</v>
      </c>
      <c r="BX138" t="s">
        <v>273</v>
      </c>
      <c r="BY138">
        <v>17.639250000000001</v>
      </c>
      <c r="BZ138">
        <v>17.370531</v>
      </c>
      <c r="CA138">
        <v>20.534420000000001</v>
      </c>
      <c r="CB138">
        <v>24.823656</v>
      </c>
      <c r="CC138">
        <v>12.821453</v>
      </c>
      <c r="CD138">
        <v>18.863298</v>
      </c>
      <c r="CE138" t="s">
        <v>273</v>
      </c>
      <c r="CF138">
        <v>17.842355999999999</v>
      </c>
      <c r="CG138">
        <v>17.570543000000001</v>
      </c>
      <c r="CH138">
        <v>20.770862999999999</v>
      </c>
      <c r="CI138">
        <v>25.109486</v>
      </c>
      <c r="CJ138">
        <v>12.969085</v>
      </c>
      <c r="CK138">
        <v>19.080497999999999</v>
      </c>
      <c r="CL138" t="s">
        <v>273</v>
      </c>
      <c r="CM138">
        <v>485.64771400000001</v>
      </c>
      <c r="CN138">
        <v>493.16058099999998</v>
      </c>
      <c r="CO138">
        <v>417.175703</v>
      </c>
      <c r="CP138">
        <v>345.09265399999998</v>
      </c>
      <c r="CQ138">
        <v>668.13498400000003</v>
      </c>
      <c r="CR138">
        <v>454.133803</v>
      </c>
      <c r="CS138" t="s">
        <v>273</v>
      </c>
      <c r="CT138">
        <v>579.10409100000004</v>
      </c>
      <c r="CU138">
        <v>634.015939</v>
      </c>
      <c r="CV138">
        <v>497.38450699999999</v>
      </c>
      <c r="CW138">
        <v>1169.0748269999999</v>
      </c>
      <c r="CX138">
        <v>397.789289</v>
      </c>
      <c r="CY138">
        <v>935.89631299999996</v>
      </c>
      <c r="CZ138" t="s">
        <v>273</v>
      </c>
      <c r="DA138">
        <v>3.614735</v>
      </c>
      <c r="DB138">
        <v>510.01</v>
      </c>
      <c r="DC138">
        <v>3.8972020000000001</v>
      </c>
      <c r="DD138">
        <v>864</v>
      </c>
      <c r="DE138">
        <v>3.6142180000000002</v>
      </c>
      <c r="DF138">
        <v>505</v>
      </c>
      <c r="DG138">
        <v>10.269463</v>
      </c>
      <c r="DH138">
        <v>765</v>
      </c>
      <c r="DI138">
        <v>1.8048040000000001</v>
      </c>
      <c r="DJ138">
        <v>235</v>
      </c>
      <c r="DK138">
        <v>6.2471949999999996</v>
      </c>
      <c r="DL138">
        <v>365</v>
      </c>
      <c r="DM138" t="s">
        <v>273</v>
      </c>
      <c r="DN138">
        <v>2.4999750000000001</v>
      </c>
      <c r="DO138">
        <v>4.8260769999999997</v>
      </c>
      <c r="DP138">
        <v>2.891648</v>
      </c>
      <c r="DQ138" t="s">
        <v>282</v>
      </c>
      <c r="DR138">
        <v>3.0475989999999999</v>
      </c>
      <c r="DS138">
        <v>13.301584999999999</v>
      </c>
      <c r="DT138">
        <v>24.066908999999999</v>
      </c>
      <c r="DU138">
        <v>110.551314</v>
      </c>
      <c r="DV138">
        <v>146.629796</v>
      </c>
      <c r="DW138" t="s">
        <v>283</v>
      </c>
      <c r="DX138" t="s">
        <v>273</v>
      </c>
      <c r="DY138">
        <v>20.844809000000001</v>
      </c>
      <c r="DZ138">
        <v>2.0364E-2</v>
      </c>
      <c r="EA138">
        <v>1.401178</v>
      </c>
      <c r="EB138">
        <v>1.1597489999999999</v>
      </c>
      <c r="EC138">
        <v>82.769605999999996</v>
      </c>
      <c r="ED138">
        <v>16.876071</v>
      </c>
      <c r="EE138">
        <v>702.01945999999998</v>
      </c>
      <c r="EF138">
        <v>8.0074780000000008</v>
      </c>
      <c r="EG138">
        <v>12</v>
      </c>
      <c r="EH138">
        <v>12</v>
      </c>
      <c r="EI138">
        <v>12</v>
      </c>
      <c r="EJ138">
        <v>12</v>
      </c>
      <c r="EK138" t="s">
        <v>273</v>
      </c>
      <c r="EL138" t="s">
        <v>273</v>
      </c>
      <c r="EM138">
        <v>16.781934</v>
      </c>
      <c r="EN138">
        <v>9.7719999999999994E-3</v>
      </c>
      <c r="EO138">
        <v>1.2350399999999999</v>
      </c>
      <c r="EP138">
        <v>0.97782999999999998</v>
      </c>
      <c r="EQ138">
        <v>79.173984000000004</v>
      </c>
      <c r="ER138">
        <v>12.530981000000001</v>
      </c>
      <c r="ES138">
        <v>529.33372999999995</v>
      </c>
      <c r="ET138">
        <v>3.8425340000000001</v>
      </c>
      <c r="EU138">
        <v>19</v>
      </c>
      <c r="EV138">
        <v>19</v>
      </c>
      <c r="EW138">
        <v>19</v>
      </c>
      <c r="EX138">
        <v>19</v>
      </c>
      <c r="EY138" t="s">
        <v>273</v>
      </c>
      <c r="EZ138" t="s">
        <v>273</v>
      </c>
      <c r="FA138">
        <v>24.244599999999998</v>
      </c>
      <c r="FB138">
        <v>2.0565E-2</v>
      </c>
      <c r="FC138">
        <v>1.399735</v>
      </c>
      <c r="FD138">
        <v>1.159697</v>
      </c>
      <c r="FE138">
        <v>82.851184000000003</v>
      </c>
      <c r="FF138">
        <v>19.647722999999999</v>
      </c>
      <c r="FG138">
        <v>702.08559300000002</v>
      </c>
      <c r="FH138">
        <v>8.086525</v>
      </c>
      <c r="FI138">
        <v>12</v>
      </c>
      <c r="FJ138">
        <v>12</v>
      </c>
      <c r="FK138">
        <v>12</v>
      </c>
      <c r="FL138">
        <v>12</v>
      </c>
      <c r="FM138" t="s">
        <v>273</v>
      </c>
      <c r="FN138" t="s">
        <v>273</v>
      </c>
      <c r="FO138">
        <v>27.243258000000001</v>
      </c>
      <c r="FP138">
        <v>3.8670000000000003E-2</v>
      </c>
      <c r="FQ138">
        <v>3.69692</v>
      </c>
      <c r="FR138">
        <v>3.2516690000000001</v>
      </c>
      <c r="FS138">
        <v>87.956163000000004</v>
      </c>
      <c r="FT138">
        <v>23.810784999999999</v>
      </c>
      <c r="FU138">
        <v>703.81855599999994</v>
      </c>
      <c r="FV138">
        <v>15.205332</v>
      </c>
      <c r="FW138">
        <v>5</v>
      </c>
      <c r="FX138">
        <v>5</v>
      </c>
      <c r="FY138">
        <v>5</v>
      </c>
      <c r="FZ138">
        <v>5</v>
      </c>
      <c r="GA138" t="s">
        <v>273</v>
      </c>
      <c r="GB138" t="s">
        <v>273</v>
      </c>
      <c r="GC138">
        <v>29.588785999999999</v>
      </c>
      <c r="GD138">
        <v>4.1263000000000001E-2</v>
      </c>
      <c r="GE138">
        <v>1.366215</v>
      </c>
      <c r="GF138">
        <v>1.099407</v>
      </c>
      <c r="GG138">
        <v>80.471044000000006</v>
      </c>
      <c r="GH138">
        <v>22.938212</v>
      </c>
      <c r="GI138">
        <v>1312.7407659999999</v>
      </c>
      <c r="GJ138">
        <v>16.225197999999999</v>
      </c>
      <c r="GK138">
        <v>23</v>
      </c>
      <c r="GL138">
        <v>23</v>
      </c>
      <c r="GM138">
        <v>20</v>
      </c>
      <c r="GN138">
        <v>21</v>
      </c>
      <c r="GO138" t="s">
        <v>273</v>
      </c>
      <c r="GP138" t="s">
        <v>273</v>
      </c>
      <c r="GQ138">
        <v>31.842998999999999</v>
      </c>
      <c r="GR138">
        <v>7.5348999999999999E-2</v>
      </c>
      <c r="GS138">
        <v>3.459238</v>
      </c>
      <c r="GT138">
        <v>3.0277050000000001</v>
      </c>
      <c r="GU138">
        <v>87.525217999999995</v>
      </c>
      <c r="GV138">
        <v>27.651880999999999</v>
      </c>
      <c r="GW138">
        <v>1075.6229310000001</v>
      </c>
      <c r="GX138">
        <v>29.627917</v>
      </c>
      <c r="GY138">
        <v>54</v>
      </c>
      <c r="GZ138">
        <v>54</v>
      </c>
      <c r="HA138">
        <v>21</v>
      </c>
      <c r="HB138">
        <v>23</v>
      </c>
      <c r="HC138" t="s">
        <v>273</v>
      </c>
      <c r="HD138" t="s">
        <v>273</v>
      </c>
      <c r="HE138">
        <v>9</v>
      </c>
      <c r="HF138">
        <v>5.0000000000000001E-4</v>
      </c>
      <c r="HG138">
        <v>6.4999999999999997E-3</v>
      </c>
      <c r="HH138">
        <v>0.111111</v>
      </c>
      <c r="HI138">
        <v>4750</v>
      </c>
    </row>
    <row r="139" spans="1:217" x14ac:dyDescent="0.3">
      <c r="A139">
        <v>751</v>
      </c>
      <c r="B139" t="s">
        <v>269</v>
      </c>
      <c r="F139" t="s">
        <v>270</v>
      </c>
      <c r="G139" t="s">
        <v>293</v>
      </c>
      <c r="H139" t="s">
        <v>294</v>
      </c>
      <c r="I139">
        <v>5500</v>
      </c>
      <c r="J139">
        <v>1</v>
      </c>
      <c r="K139">
        <v>26.778124999999999</v>
      </c>
      <c r="L139">
        <v>0.22</v>
      </c>
      <c r="M139">
        <v>5.0960999999999999E-2</v>
      </c>
      <c r="N139">
        <v>0</v>
      </c>
      <c r="O139">
        <v>0</v>
      </c>
      <c r="P139">
        <v>0</v>
      </c>
      <c r="Q139">
        <v>22.02</v>
      </c>
      <c r="R139">
        <v>1</v>
      </c>
      <c r="S139">
        <v>1</v>
      </c>
      <c r="T139">
        <v>1</v>
      </c>
      <c r="U139">
        <v>1</v>
      </c>
      <c r="V139">
        <v>100</v>
      </c>
      <c r="W139" t="s">
        <v>273</v>
      </c>
      <c r="X139" t="s">
        <v>274</v>
      </c>
      <c r="Y139" t="s">
        <v>274</v>
      </c>
      <c r="Z139" t="s">
        <v>273</v>
      </c>
      <c r="AA139" t="s">
        <v>275</v>
      </c>
      <c r="AB139" t="s">
        <v>276</v>
      </c>
      <c r="AC139">
        <v>469</v>
      </c>
      <c r="AD139">
        <v>5</v>
      </c>
      <c r="AE139" t="s">
        <v>277</v>
      </c>
      <c r="AF139">
        <v>2.962364</v>
      </c>
      <c r="AG139">
        <v>100</v>
      </c>
      <c r="AH139">
        <v>26.7</v>
      </c>
      <c r="AI139">
        <v>1600</v>
      </c>
      <c r="AJ139">
        <v>800</v>
      </c>
      <c r="AK139">
        <v>1200</v>
      </c>
      <c r="AL139">
        <v>150</v>
      </c>
      <c r="AM139">
        <v>2.2000000000000002</v>
      </c>
      <c r="AN139" t="s">
        <v>273</v>
      </c>
      <c r="AO139" t="s">
        <v>278</v>
      </c>
      <c r="AP139" t="s">
        <v>295</v>
      </c>
      <c r="AQ139">
        <v>4</v>
      </c>
      <c r="AR139">
        <v>8</v>
      </c>
      <c r="AS139">
        <v>224.3</v>
      </c>
      <c r="AT139">
        <v>408</v>
      </c>
      <c r="AU139">
        <v>0.23255999999999999</v>
      </c>
      <c r="AV139">
        <v>36.299999999999997</v>
      </c>
      <c r="AW139">
        <v>237</v>
      </c>
      <c r="AX139" t="s">
        <v>280</v>
      </c>
      <c r="AY139">
        <v>0</v>
      </c>
      <c r="AZ139" t="s">
        <v>281</v>
      </c>
      <c r="BA139">
        <v>0.2</v>
      </c>
      <c r="BB139">
        <v>0.5</v>
      </c>
      <c r="BC139" t="s">
        <v>273</v>
      </c>
      <c r="BD139" t="s">
        <v>273</v>
      </c>
      <c r="BE139">
        <v>20.124041999999999</v>
      </c>
      <c r="BF139">
        <v>20.355758999999999</v>
      </c>
      <c r="BG139">
        <v>425.68294100000003</v>
      </c>
      <c r="BH139" t="s">
        <v>273</v>
      </c>
      <c r="BI139">
        <v>24.480101000000001</v>
      </c>
      <c r="BJ139">
        <v>24.761975</v>
      </c>
      <c r="BK139">
        <v>349.93570399999999</v>
      </c>
      <c r="BL139" t="s">
        <v>273</v>
      </c>
      <c r="BM139">
        <v>24.481180999999999</v>
      </c>
      <c r="BN139">
        <v>24.763068000000001</v>
      </c>
      <c r="BO139">
        <v>349.92025799999999</v>
      </c>
      <c r="BP139" t="s">
        <v>273</v>
      </c>
      <c r="BQ139">
        <v>15.126885</v>
      </c>
      <c r="BR139">
        <v>15.301062</v>
      </c>
      <c r="BS139">
        <v>566.30704500000002</v>
      </c>
      <c r="BT139" t="s">
        <v>273</v>
      </c>
      <c r="BU139">
        <v>5.7681690000000003</v>
      </c>
      <c r="BV139">
        <v>5.8345859999999998</v>
      </c>
      <c r="BW139">
        <v>1485.1266270000001</v>
      </c>
      <c r="BX139" t="s">
        <v>273</v>
      </c>
      <c r="BY139">
        <v>18.183602</v>
      </c>
      <c r="BZ139">
        <v>20.507572</v>
      </c>
      <c r="CA139">
        <v>21.075839999999999</v>
      </c>
      <c r="CB139">
        <v>24.481180999999999</v>
      </c>
      <c r="CC139">
        <v>11.741904</v>
      </c>
      <c r="CD139">
        <v>16.495301000000001</v>
      </c>
      <c r="CE139" t="s">
        <v>273</v>
      </c>
      <c r="CF139">
        <v>18.392976000000001</v>
      </c>
      <c r="CG139">
        <v>20.743704999999999</v>
      </c>
      <c r="CH139">
        <v>21.318517</v>
      </c>
      <c r="CI139">
        <v>24.763068000000001</v>
      </c>
      <c r="CJ139">
        <v>11.877105999999999</v>
      </c>
      <c r="CK139">
        <v>16.685234999999999</v>
      </c>
      <c r="CL139" t="s">
        <v>273</v>
      </c>
      <c r="CM139">
        <v>471.10915499999999</v>
      </c>
      <c r="CN139">
        <v>417.72186399999998</v>
      </c>
      <c r="CO139">
        <v>406.458822</v>
      </c>
      <c r="CP139">
        <v>349.92025799999999</v>
      </c>
      <c r="CQ139">
        <v>729.56320700000003</v>
      </c>
      <c r="CR139">
        <v>519.32737199999997</v>
      </c>
      <c r="CS139" t="s">
        <v>273</v>
      </c>
      <c r="CT139">
        <v>561.15548999999999</v>
      </c>
      <c r="CU139">
        <v>535.99872800000003</v>
      </c>
      <c r="CV139">
        <v>484.07350500000001</v>
      </c>
      <c r="CW139">
        <v>1185.3234560000001</v>
      </c>
      <c r="CX139">
        <v>432.445491</v>
      </c>
      <c r="CY139">
        <v>1069.7178590000001</v>
      </c>
      <c r="CZ139" t="s">
        <v>273</v>
      </c>
      <c r="DA139">
        <v>3.610795</v>
      </c>
      <c r="DB139">
        <v>510.01</v>
      </c>
      <c r="DC139">
        <v>3.8897140000000001</v>
      </c>
      <c r="DD139">
        <v>864</v>
      </c>
      <c r="DE139">
        <v>3.610239</v>
      </c>
      <c r="DF139">
        <v>505</v>
      </c>
      <c r="DG139">
        <v>10.268546000000001</v>
      </c>
      <c r="DH139">
        <v>765</v>
      </c>
      <c r="DI139">
        <v>1.7968409999999999</v>
      </c>
      <c r="DJ139">
        <v>235</v>
      </c>
      <c r="DK139">
        <v>6.2440899999999999</v>
      </c>
      <c r="DL139">
        <v>365</v>
      </c>
      <c r="DM139" t="s">
        <v>273</v>
      </c>
      <c r="DN139">
        <v>3.55701</v>
      </c>
      <c r="DO139">
        <v>8.2976530000000004</v>
      </c>
      <c r="DP139">
        <v>4.3870680000000002</v>
      </c>
      <c r="DQ139" t="s">
        <v>282</v>
      </c>
      <c r="DR139">
        <v>5.0240359999999997</v>
      </c>
      <c r="DS139">
        <v>16.624324000000001</v>
      </c>
      <c r="DT139">
        <v>34.333081999999997</v>
      </c>
      <c r="DU139">
        <v>86.741895</v>
      </c>
      <c r="DV139">
        <v>111.123142</v>
      </c>
      <c r="DW139" t="s">
        <v>283</v>
      </c>
      <c r="DX139" t="s">
        <v>273</v>
      </c>
      <c r="DY139">
        <v>24.564938000000001</v>
      </c>
      <c r="DZ139">
        <v>4.1340000000000002E-2</v>
      </c>
      <c r="EA139">
        <v>1.6000650000000001</v>
      </c>
      <c r="EB139">
        <v>1.334873</v>
      </c>
      <c r="EC139">
        <v>83.426208000000003</v>
      </c>
      <c r="ED139">
        <v>20.163160000000001</v>
      </c>
      <c r="EE139">
        <v>813.64809000000002</v>
      </c>
      <c r="EF139">
        <v>9.2706379999999999</v>
      </c>
      <c r="EG139">
        <v>26</v>
      </c>
      <c r="EH139">
        <v>26</v>
      </c>
      <c r="EI139">
        <v>22</v>
      </c>
      <c r="EJ139">
        <v>23</v>
      </c>
      <c r="EK139" t="s">
        <v>273</v>
      </c>
      <c r="EL139" t="s">
        <v>273</v>
      </c>
      <c r="EM139">
        <v>22.542994</v>
      </c>
      <c r="EN139">
        <v>1.9831999999999999E-2</v>
      </c>
      <c r="EO139">
        <v>1.402536</v>
      </c>
      <c r="EP139">
        <v>1.1019909999999999</v>
      </c>
      <c r="EQ139">
        <v>78.571314000000001</v>
      </c>
      <c r="ER139">
        <v>17.156286000000001</v>
      </c>
      <c r="ES139">
        <v>613.85542299999997</v>
      </c>
      <c r="ET139">
        <v>4.4475300000000004</v>
      </c>
      <c r="EU139">
        <v>25</v>
      </c>
      <c r="EV139">
        <v>25</v>
      </c>
      <c r="EW139">
        <v>25</v>
      </c>
      <c r="EX139">
        <v>25</v>
      </c>
      <c r="EY139" t="s">
        <v>273</v>
      </c>
      <c r="EZ139" t="s">
        <v>273</v>
      </c>
      <c r="FA139">
        <v>28.465098000000001</v>
      </c>
      <c r="FB139">
        <v>4.1748E-2</v>
      </c>
      <c r="FC139">
        <v>1.599421</v>
      </c>
      <c r="FD139">
        <v>1.3348139999999999</v>
      </c>
      <c r="FE139">
        <v>83.456085000000002</v>
      </c>
      <c r="FF139">
        <v>23.372653</v>
      </c>
      <c r="FG139">
        <v>813.73500899999999</v>
      </c>
      <c r="FH139">
        <v>9.3621669999999995</v>
      </c>
      <c r="FI139">
        <v>26</v>
      </c>
      <c r="FJ139">
        <v>26</v>
      </c>
      <c r="FK139">
        <v>22</v>
      </c>
      <c r="FL139">
        <v>23</v>
      </c>
      <c r="FM139" t="s">
        <v>273</v>
      </c>
      <c r="FN139" t="s">
        <v>273</v>
      </c>
      <c r="FO139">
        <v>31.063904999999998</v>
      </c>
      <c r="FP139">
        <v>7.8449000000000005E-2</v>
      </c>
      <c r="FQ139">
        <v>4.2739719999999997</v>
      </c>
      <c r="FR139">
        <v>3.7583950000000002</v>
      </c>
      <c r="FS139">
        <v>87.936822000000006</v>
      </c>
      <c r="FT139">
        <v>27.171347000000001</v>
      </c>
      <c r="FU139">
        <v>814.38831400000004</v>
      </c>
      <c r="FV139">
        <v>17.592514000000001</v>
      </c>
      <c r="FW139">
        <v>12</v>
      </c>
      <c r="FX139">
        <v>12</v>
      </c>
      <c r="FY139">
        <v>12</v>
      </c>
      <c r="FZ139">
        <v>12</v>
      </c>
      <c r="GA139" t="s">
        <v>273</v>
      </c>
      <c r="GB139" t="s">
        <v>273</v>
      </c>
      <c r="GC139">
        <v>30.794837000000001</v>
      </c>
      <c r="GD139">
        <v>8.3659999999999998E-2</v>
      </c>
      <c r="GE139">
        <v>1.5457810000000001</v>
      </c>
      <c r="GF139">
        <v>1.2618819999999999</v>
      </c>
      <c r="GG139">
        <v>81.633931000000004</v>
      </c>
      <c r="GH139">
        <v>24.397825999999998</v>
      </c>
      <c r="GI139">
        <v>1524.647753</v>
      </c>
      <c r="GJ139">
        <v>18.761178999999998</v>
      </c>
      <c r="GK139">
        <v>29</v>
      </c>
      <c r="GL139">
        <v>29</v>
      </c>
      <c r="GM139">
        <v>19</v>
      </c>
      <c r="GN139">
        <v>26</v>
      </c>
      <c r="GO139" t="s">
        <v>273</v>
      </c>
      <c r="GP139" t="s">
        <v>273</v>
      </c>
      <c r="GQ139">
        <v>32.301744999999997</v>
      </c>
      <c r="GR139">
        <v>0.15281900000000001</v>
      </c>
      <c r="GS139">
        <v>4.0108269999999999</v>
      </c>
      <c r="GT139">
        <v>3.4980120000000001</v>
      </c>
      <c r="GU139">
        <v>87.214242999999996</v>
      </c>
      <c r="GV139">
        <v>27.983360999999999</v>
      </c>
      <c r="GW139">
        <v>1244.7796109999999</v>
      </c>
      <c r="GX139">
        <v>34.270280999999997</v>
      </c>
      <c r="GY139">
        <v>52</v>
      </c>
      <c r="GZ139">
        <v>52</v>
      </c>
      <c r="HA139">
        <v>42</v>
      </c>
      <c r="HB139">
        <v>43</v>
      </c>
      <c r="HC139" t="s">
        <v>273</v>
      </c>
      <c r="HD139" t="s">
        <v>273</v>
      </c>
      <c r="HE139">
        <v>18</v>
      </c>
      <c r="HF139">
        <v>5.0000000000000001E-4</v>
      </c>
      <c r="HG139">
        <v>6.4999999999999997E-3</v>
      </c>
      <c r="HH139">
        <v>5.5556000000000001E-2</v>
      </c>
      <c r="HI139">
        <v>5500</v>
      </c>
    </row>
    <row r="140" spans="1:217" x14ac:dyDescent="0.3">
      <c r="A140">
        <v>765</v>
      </c>
      <c r="B140" t="s">
        <v>269</v>
      </c>
      <c r="F140" t="s">
        <v>270</v>
      </c>
      <c r="G140" t="s">
        <v>293</v>
      </c>
      <c r="H140" t="s">
        <v>294</v>
      </c>
      <c r="I140">
        <v>4000</v>
      </c>
      <c r="J140">
        <v>1</v>
      </c>
      <c r="K140">
        <v>47.481250000000003</v>
      </c>
      <c r="L140">
        <v>0.22</v>
      </c>
      <c r="M140">
        <v>1.0921999999999999E-2</v>
      </c>
      <c r="N140">
        <v>0</v>
      </c>
      <c r="O140">
        <v>0</v>
      </c>
      <c r="P140">
        <v>0</v>
      </c>
      <c r="Q140">
        <v>11.44</v>
      </c>
      <c r="R140">
        <v>1</v>
      </c>
      <c r="S140">
        <v>1</v>
      </c>
      <c r="T140">
        <v>1</v>
      </c>
      <c r="U140">
        <v>1</v>
      </c>
      <c r="V140">
        <v>100</v>
      </c>
      <c r="W140" t="s">
        <v>273</v>
      </c>
      <c r="X140" t="s">
        <v>274</v>
      </c>
      <c r="Y140" t="s">
        <v>274</v>
      </c>
      <c r="Z140" t="s">
        <v>273</v>
      </c>
      <c r="AA140" t="s">
        <v>275</v>
      </c>
      <c r="AB140" t="s">
        <v>276</v>
      </c>
      <c r="AC140">
        <v>823</v>
      </c>
      <c r="AD140">
        <v>5</v>
      </c>
      <c r="AE140" t="s">
        <v>277</v>
      </c>
      <c r="AF140">
        <v>2.4069210000000001</v>
      </c>
      <c r="AG140">
        <v>100</v>
      </c>
      <c r="AH140">
        <v>21.7</v>
      </c>
      <c r="AI140">
        <v>1300</v>
      </c>
      <c r="AJ140">
        <v>800</v>
      </c>
      <c r="AK140">
        <v>1200</v>
      </c>
      <c r="AL140">
        <v>113.3</v>
      </c>
      <c r="AM140">
        <v>2.2000000000000002</v>
      </c>
      <c r="AN140" t="s">
        <v>273</v>
      </c>
      <c r="AO140" t="s">
        <v>278</v>
      </c>
      <c r="AP140" t="s">
        <v>297</v>
      </c>
      <c r="AQ140">
        <v>7</v>
      </c>
      <c r="AR140">
        <v>8</v>
      </c>
      <c r="AS140">
        <v>393.2</v>
      </c>
      <c r="AT140">
        <v>715.3</v>
      </c>
      <c r="AU140">
        <v>0.40698000000000001</v>
      </c>
      <c r="AV140">
        <v>37.200000000000003</v>
      </c>
      <c r="AW140">
        <v>231.7</v>
      </c>
      <c r="AX140" t="s">
        <v>280</v>
      </c>
      <c r="AY140">
        <v>0</v>
      </c>
      <c r="AZ140" t="s">
        <v>281</v>
      </c>
      <c r="BA140">
        <v>0.2</v>
      </c>
      <c r="BB140">
        <v>0.5</v>
      </c>
      <c r="BC140" t="s">
        <v>273</v>
      </c>
      <c r="BD140" t="s">
        <v>273</v>
      </c>
      <c r="BE140">
        <v>19.648896000000001</v>
      </c>
      <c r="BF140">
        <v>19.875142</v>
      </c>
      <c r="BG140">
        <v>435.97672599999999</v>
      </c>
      <c r="BH140" t="s">
        <v>273</v>
      </c>
      <c r="BI140">
        <v>32.530853</v>
      </c>
      <c r="BJ140">
        <v>32.905427000000003</v>
      </c>
      <c r="BK140">
        <v>263.333439</v>
      </c>
      <c r="BL140" t="s">
        <v>273</v>
      </c>
      <c r="BM140">
        <v>32.532834999999999</v>
      </c>
      <c r="BN140">
        <v>32.907432</v>
      </c>
      <c r="BO140">
        <v>263.31739199999998</v>
      </c>
      <c r="BP140" t="s">
        <v>273</v>
      </c>
      <c r="BQ140">
        <v>25.146795999999998</v>
      </c>
      <c r="BR140">
        <v>25.436347000000001</v>
      </c>
      <c r="BS140">
        <v>340.65815800000001</v>
      </c>
      <c r="BT140" t="s">
        <v>273</v>
      </c>
      <c r="BU140">
        <v>5.6948970000000001</v>
      </c>
      <c r="BV140">
        <v>5.7604699999999998</v>
      </c>
      <c r="BW140">
        <v>1504.2347500000001</v>
      </c>
      <c r="BX140" t="s">
        <v>273</v>
      </c>
      <c r="BY140">
        <v>20.438891999999999</v>
      </c>
      <c r="BZ140">
        <v>17.727913000000001</v>
      </c>
      <c r="CA140">
        <v>23.838569</v>
      </c>
      <c r="CB140">
        <v>32.532834999999999</v>
      </c>
      <c r="CC140">
        <v>15.504113</v>
      </c>
      <c r="CD140">
        <v>30.657626</v>
      </c>
      <c r="CE140" t="s">
        <v>273</v>
      </c>
      <c r="CF140">
        <v>20.674233999999998</v>
      </c>
      <c r="CG140">
        <v>17.932040000000001</v>
      </c>
      <c r="CH140">
        <v>24.113057000000001</v>
      </c>
      <c r="CI140">
        <v>32.907432</v>
      </c>
      <c r="CJ140">
        <v>15.682634</v>
      </c>
      <c r="CK140">
        <v>31.010632000000001</v>
      </c>
      <c r="CL140" t="s">
        <v>273</v>
      </c>
      <c r="CM140">
        <v>419.12552399999998</v>
      </c>
      <c r="CN140">
        <v>483.21882399999998</v>
      </c>
      <c r="CO140">
        <v>359.35299199999997</v>
      </c>
      <c r="CP140">
        <v>263.31739199999998</v>
      </c>
      <c r="CQ140">
        <v>552.52830300000005</v>
      </c>
      <c r="CR140">
        <v>279.42349899999999</v>
      </c>
      <c r="CS140" t="s">
        <v>273</v>
      </c>
      <c r="CT140">
        <v>499.78236399999997</v>
      </c>
      <c r="CU140">
        <v>621.02495799999997</v>
      </c>
      <c r="CV140">
        <v>428.44678399999998</v>
      </c>
      <c r="CW140">
        <v>892.06652699999995</v>
      </c>
      <c r="CX140">
        <v>329.19849099999999</v>
      </c>
      <c r="CY140">
        <v>576.02149599999996</v>
      </c>
      <c r="CZ140" t="s">
        <v>273</v>
      </c>
      <c r="DA140">
        <v>3.6147469999999999</v>
      </c>
      <c r="DB140">
        <v>510.01</v>
      </c>
      <c r="DC140">
        <v>3.8958870000000001</v>
      </c>
      <c r="DD140">
        <v>864</v>
      </c>
      <c r="DE140">
        <v>3.6142379999999998</v>
      </c>
      <c r="DF140">
        <v>505</v>
      </c>
      <c r="DG140">
        <v>10.269726</v>
      </c>
      <c r="DH140">
        <v>765</v>
      </c>
      <c r="DI140">
        <v>1.806111</v>
      </c>
      <c r="DJ140">
        <v>235</v>
      </c>
      <c r="DK140">
        <v>6.2490920000000001</v>
      </c>
      <c r="DL140">
        <v>365</v>
      </c>
      <c r="DM140" t="s">
        <v>273</v>
      </c>
      <c r="DN140">
        <v>2.290543</v>
      </c>
      <c r="DO140">
        <v>4.1633649999999998</v>
      </c>
      <c r="DP140">
        <v>2.528</v>
      </c>
      <c r="DQ140" t="s">
        <v>282</v>
      </c>
      <c r="DR140">
        <v>2.6092019999999998</v>
      </c>
      <c r="DS140">
        <v>12.317062</v>
      </c>
      <c r="DT140">
        <v>21.617629000000001</v>
      </c>
      <c r="DU140">
        <v>124.274366</v>
      </c>
      <c r="DV140">
        <v>222.81911700000001</v>
      </c>
      <c r="DW140" t="s">
        <v>283</v>
      </c>
      <c r="DX140" t="s">
        <v>273</v>
      </c>
      <c r="DY140">
        <v>18.483616999999999</v>
      </c>
      <c r="DZ140">
        <v>1.5419E-2</v>
      </c>
      <c r="EA140">
        <v>1.072276</v>
      </c>
      <c r="EB140">
        <v>0.88333499999999998</v>
      </c>
      <c r="EC140">
        <v>82.379439000000005</v>
      </c>
      <c r="ED140">
        <v>14.806101</v>
      </c>
      <c r="EE140">
        <v>531.54639399999996</v>
      </c>
      <c r="EF140">
        <v>6.0630249999999997</v>
      </c>
      <c r="EG140">
        <v>11</v>
      </c>
      <c r="EH140">
        <v>11</v>
      </c>
      <c r="EI140">
        <v>11</v>
      </c>
      <c r="EJ140">
        <v>11</v>
      </c>
      <c r="EK140" t="s">
        <v>273</v>
      </c>
      <c r="EL140" t="s">
        <v>273</v>
      </c>
      <c r="EM140">
        <v>15.867411000000001</v>
      </c>
      <c r="EN140">
        <v>9.0399999999999994E-3</v>
      </c>
      <c r="EO140">
        <v>1.14381</v>
      </c>
      <c r="EP140">
        <v>0.907474</v>
      </c>
      <c r="EQ140">
        <v>79.337818999999996</v>
      </c>
      <c r="ER140">
        <v>11.834595</v>
      </c>
      <c r="ES140">
        <v>489.83828799999998</v>
      </c>
      <c r="ET140">
        <v>3.5546289999999998</v>
      </c>
      <c r="EU140">
        <v>19</v>
      </c>
      <c r="EV140">
        <v>19</v>
      </c>
      <c r="EW140">
        <v>19</v>
      </c>
      <c r="EX140">
        <v>19</v>
      </c>
      <c r="EY140" t="s">
        <v>273</v>
      </c>
      <c r="EZ140" t="s">
        <v>273</v>
      </c>
      <c r="FA140">
        <v>21.533895999999999</v>
      </c>
      <c r="FB140">
        <v>1.5571E-2</v>
      </c>
      <c r="FC140">
        <v>1.0709230000000001</v>
      </c>
      <c r="FD140">
        <v>0.88344100000000003</v>
      </c>
      <c r="FE140">
        <v>82.493437</v>
      </c>
      <c r="FF140">
        <v>17.269912000000001</v>
      </c>
      <c r="FG140">
        <v>531.58098199999995</v>
      </c>
      <c r="FH140">
        <v>6.1227099999999997</v>
      </c>
      <c r="FI140">
        <v>11</v>
      </c>
      <c r="FJ140">
        <v>11</v>
      </c>
      <c r="FK140">
        <v>11</v>
      </c>
      <c r="FL140">
        <v>11</v>
      </c>
      <c r="FM140" t="s">
        <v>273</v>
      </c>
      <c r="FN140" t="s">
        <v>273</v>
      </c>
      <c r="FO140">
        <v>22.226626</v>
      </c>
      <c r="FP140">
        <v>2.3941E-2</v>
      </c>
      <c r="FQ140">
        <v>2.3014920000000001</v>
      </c>
      <c r="FR140">
        <v>2.0200900000000002</v>
      </c>
      <c r="FS140">
        <v>87.773059000000003</v>
      </c>
      <c r="FT140">
        <v>19.319232</v>
      </c>
      <c r="FU140">
        <v>435.73327699999999</v>
      </c>
      <c r="FV140">
        <v>9.4138439999999992</v>
      </c>
      <c r="FW140">
        <v>5</v>
      </c>
      <c r="FX140">
        <v>5</v>
      </c>
      <c r="FY140">
        <v>5</v>
      </c>
      <c r="FZ140">
        <v>5</v>
      </c>
      <c r="GA140" t="s">
        <v>273</v>
      </c>
      <c r="GB140" t="s">
        <v>273</v>
      </c>
      <c r="GC140">
        <v>28.352081999999999</v>
      </c>
      <c r="GD140">
        <v>3.2273999999999997E-2</v>
      </c>
      <c r="GE140">
        <v>1.0833820000000001</v>
      </c>
      <c r="GF140">
        <v>0.86579300000000003</v>
      </c>
      <c r="GG140">
        <v>79.915741999999995</v>
      </c>
      <c r="GH140">
        <v>21.679393999999998</v>
      </c>
      <c r="GI140">
        <v>1026.0257810000001</v>
      </c>
      <c r="GJ140">
        <v>12.690645999999999</v>
      </c>
      <c r="GK140">
        <v>22</v>
      </c>
      <c r="GL140">
        <v>22</v>
      </c>
      <c r="GM140">
        <v>20</v>
      </c>
      <c r="GN140">
        <v>21</v>
      </c>
      <c r="GO140" t="s">
        <v>273</v>
      </c>
      <c r="GP140" t="s">
        <v>273</v>
      </c>
      <c r="GQ140">
        <v>28.015546000000001</v>
      </c>
      <c r="GR140">
        <v>4.0127000000000003E-2</v>
      </c>
      <c r="GS140">
        <v>1.873167</v>
      </c>
      <c r="GT140">
        <v>1.6295820000000001</v>
      </c>
      <c r="GU140">
        <v>86.996110000000002</v>
      </c>
      <c r="GV140">
        <v>23.926511999999999</v>
      </c>
      <c r="GW140">
        <v>572.65594999999996</v>
      </c>
      <c r="GX140">
        <v>15.778536000000001</v>
      </c>
      <c r="GY140">
        <v>14</v>
      </c>
      <c r="GZ140">
        <v>14</v>
      </c>
      <c r="HA140">
        <v>8</v>
      </c>
      <c r="HB140">
        <v>8</v>
      </c>
      <c r="HC140" t="s">
        <v>273</v>
      </c>
      <c r="HD140" t="s">
        <v>273</v>
      </c>
      <c r="HE140">
        <v>7.5</v>
      </c>
      <c r="HF140">
        <v>7.5000000000000002E-4</v>
      </c>
      <c r="HG140">
        <v>4.0000000000000001E-3</v>
      </c>
      <c r="HH140">
        <v>0.13333300000000001</v>
      </c>
      <c r="HI140">
        <v>4000</v>
      </c>
    </row>
    <row r="141" spans="1:217" x14ac:dyDescent="0.3">
      <c r="A141">
        <v>767</v>
      </c>
      <c r="B141" t="s">
        <v>269</v>
      </c>
      <c r="F141" t="s">
        <v>270</v>
      </c>
      <c r="G141" t="s">
        <v>293</v>
      </c>
      <c r="H141" t="s">
        <v>294</v>
      </c>
      <c r="I141">
        <v>3750</v>
      </c>
      <c r="J141">
        <v>1</v>
      </c>
      <c r="K141">
        <v>44.307422000000003</v>
      </c>
      <c r="L141">
        <v>0.22</v>
      </c>
      <c r="M141">
        <v>1.0067E-2</v>
      </c>
      <c r="N141">
        <v>0</v>
      </c>
      <c r="O141">
        <v>0</v>
      </c>
      <c r="P141">
        <v>0</v>
      </c>
      <c r="Q141">
        <v>10.73</v>
      </c>
      <c r="R141">
        <v>1</v>
      </c>
      <c r="S141">
        <v>1</v>
      </c>
      <c r="T141">
        <v>1</v>
      </c>
      <c r="U141">
        <v>1</v>
      </c>
      <c r="V141">
        <v>100</v>
      </c>
      <c r="W141" t="s">
        <v>273</v>
      </c>
      <c r="X141" t="s">
        <v>274</v>
      </c>
      <c r="Y141" t="s">
        <v>274</v>
      </c>
      <c r="Z141" t="s">
        <v>273</v>
      </c>
      <c r="AA141" t="s">
        <v>275</v>
      </c>
      <c r="AB141" t="s">
        <v>276</v>
      </c>
      <c r="AC141">
        <v>646</v>
      </c>
      <c r="AD141">
        <v>5</v>
      </c>
      <c r="AE141" t="s">
        <v>277</v>
      </c>
      <c r="AF141">
        <v>2.7309290000000002</v>
      </c>
      <c r="AG141">
        <v>100</v>
      </c>
      <c r="AH141">
        <v>24.6</v>
      </c>
      <c r="AI141">
        <v>1475</v>
      </c>
      <c r="AJ141">
        <v>800</v>
      </c>
      <c r="AK141">
        <v>1200</v>
      </c>
      <c r="AL141">
        <v>127.9</v>
      </c>
      <c r="AM141">
        <v>2.2000000000000002</v>
      </c>
      <c r="AN141" t="s">
        <v>273</v>
      </c>
      <c r="AO141" t="s">
        <v>278</v>
      </c>
      <c r="AP141" t="s">
        <v>296</v>
      </c>
      <c r="AQ141">
        <v>5.5</v>
      </c>
      <c r="AR141">
        <v>8</v>
      </c>
      <c r="AS141">
        <v>308.7</v>
      </c>
      <c r="AT141">
        <v>561.70000000000005</v>
      </c>
      <c r="AU141">
        <v>0.31977</v>
      </c>
      <c r="AV141">
        <v>36.799999999999997</v>
      </c>
      <c r="AW141">
        <v>233.9</v>
      </c>
      <c r="AX141" t="s">
        <v>280</v>
      </c>
      <c r="AY141">
        <v>0</v>
      </c>
      <c r="AZ141" t="s">
        <v>281</v>
      </c>
      <c r="BA141">
        <v>0.2</v>
      </c>
      <c r="BB141">
        <v>0.5</v>
      </c>
      <c r="BC141" t="s">
        <v>273</v>
      </c>
      <c r="BD141" t="s">
        <v>273</v>
      </c>
      <c r="BE141">
        <v>22.982903</v>
      </c>
      <c r="BF141">
        <v>23.247537999999999</v>
      </c>
      <c r="BG141">
        <v>372.73190599999998</v>
      </c>
      <c r="BH141" t="s">
        <v>273</v>
      </c>
      <c r="BI141">
        <v>37.043961000000003</v>
      </c>
      <c r="BJ141">
        <v>37.470500999999999</v>
      </c>
      <c r="BK141">
        <v>231.25122200000001</v>
      </c>
      <c r="BL141" t="s">
        <v>273</v>
      </c>
      <c r="BM141">
        <v>37.046284999999997</v>
      </c>
      <c r="BN141">
        <v>37.472853000000001</v>
      </c>
      <c r="BO141">
        <v>231.23671300000001</v>
      </c>
      <c r="BP141" t="s">
        <v>273</v>
      </c>
      <c r="BQ141">
        <v>27.226064999999998</v>
      </c>
      <c r="BR141">
        <v>27.539558</v>
      </c>
      <c r="BS141">
        <v>314.64191599999998</v>
      </c>
      <c r="BT141" t="s">
        <v>273</v>
      </c>
      <c r="BU141">
        <v>6.5422840000000004</v>
      </c>
      <c r="BV141">
        <v>6.6176149999999998</v>
      </c>
      <c r="BW141">
        <v>1309.3991430000001</v>
      </c>
      <c r="BX141" t="s">
        <v>273</v>
      </c>
      <c r="BY141">
        <v>23.610938000000001</v>
      </c>
      <c r="BZ141">
        <v>20.935185000000001</v>
      </c>
      <c r="CA141">
        <v>27.520620999999998</v>
      </c>
      <c r="CB141">
        <v>37.046284999999997</v>
      </c>
      <c r="CC141">
        <v>17.090805</v>
      </c>
      <c r="CD141">
        <v>32.853332999999999</v>
      </c>
      <c r="CE141" t="s">
        <v>273</v>
      </c>
      <c r="CF141">
        <v>23.882804</v>
      </c>
      <c r="CG141">
        <v>21.176241999999998</v>
      </c>
      <c r="CH141">
        <v>27.837505</v>
      </c>
      <c r="CI141">
        <v>37.472853000000001</v>
      </c>
      <c r="CJ141">
        <v>17.287595</v>
      </c>
      <c r="CK141">
        <v>33.231619999999999</v>
      </c>
      <c r="CL141" t="s">
        <v>273</v>
      </c>
      <c r="CM141">
        <v>362.817498</v>
      </c>
      <c r="CN141">
        <v>409.18966499999999</v>
      </c>
      <c r="CO141">
        <v>311.274272</v>
      </c>
      <c r="CP141">
        <v>231.23671300000001</v>
      </c>
      <c r="CQ141">
        <v>501.23218400000002</v>
      </c>
      <c r="CR141">
        <v>260.74862400000001</v>
      </c>
      <c r="CS141" t="s">
        <v>273</v>
      </c>
      <c r="CT141">
        <v>432.56028600000002</v>
      </c>
      <c r="CU141">
        <v>525.74255100000005</v>
      </c>
      <c r="CV141">
        <v>371.054936</v>
      </c>
      <c r="CW141">
        <v>783.38104199999998</v>
      </c>
      <c r="CX141">
        <v>298.410573</v>
      </c>
      <c r="CY141">
        <v>537.46668899999997</v>
      </c>
      <c r="CZ141" t="s">
        <v>273</v>
      </c>
      <c r="DA141">
        <v>3.6140949999999998</v>
      </c>
      <c r="DB141">
        <v>510.01</v>
      </c>
      <c r="DC141">
        <v>3.8948399999999999</v>
      </c>
      <c r="DD141">
        <v>864</v>
      </c>
      <c r="DE141">
        <v>3.6135670000000002</v>
      </c>
      <c r="DF141">
        <v>505</v>
      </c>
      <c r="DG141">
        <v>10.269691999999999</v>
      </c>
      <c r="DH141">
        <v>765</v>
      </c>
      <c r="DI141">
        <v>1.8047470000000001</v>
      </c>
      <c r="DJ141">
        <v>235</v>
      </c>
      <c r="DK141">
        <v>6.2484270000000004</v>
      </c>
      <c r="DL141">
        <v>365</v>
      </c>
      <c r="DM141" t="s">
        <v>273</v>
      </c>
      <c r="DN141">
        <v>2.4339390000000001</v>
      </c>
      <c r="DO141">
        <v>4.6064109999999996</v>
      </c>
      <c r="DP141">
        <v>2.6260080000000001</v>
      </c>
      <c r="DQ141" t="s">
        <v>282</v>
      </c>
      <c r="DR141">
        <v>2.7283330000000001</v>
      </c>
      <c r="DS141">
        <v>12.906611</v>
      </c>
      <c r="DT141">
        <v>22.867362</v>
      </c>
      <c r="DU141">
        <v>117.67993</v>
      </c>
      <c r="DV141">
        <v>216.69531900000001</v>
      </c>
      <c r="DW141" t="s">
        <v>283</v>
      </c>
      <c r="DX141" t="s">
        <v>273</v>
      </c>
      <c r="DY141">
        <v>19.909967000000002</v>
      </c>
      <c r="DZ141">
        <v>1.8419999999999999E-2</v>
      </c>
      <c r="EA141">
        <v>0.999668</v>
      </c>
      <c r="EB141">
        <v>0.82619699999999996</v>
      </c>
      <c r="EC141">
        <v>82.647170000000003</v>
      </c>
      <c r="ED141">
        <v>16.045475</v>
      </c>
      <c r="EE141">
        <v>498.651477</v>
      </c>
      <c r="EF141">
        <v>5.6867859999999997</v>
      </c>
      <c r="EG141">
        <v>16</v>
      </c>
      <c r="EH141">
        <v>16</v>
      </c>
      <c r="EI141">
        <v>16</v>
      </c>
      <c r="EJ141">
        <v>16</v>
      </c>
      <c r="EK141" t="s">
        <v>273</v>
      </c>
      <c r="EL141" t="s">
        <v>273</v>
      </c>
      <c r="EM141">
        <v>17.262847000000001</v>
      </c>
      <c r="EN141">
        <v>1.0796E-2</v>
      </c>
      <c r="EO141">
        <v>1.0534749999999999</v>
      </c>
      <c r="EP141">
        <v>0.83976200000000001</v>
      </c>
      <c r="EQ141">
        <v>79.713504999999998</v>
      </c>
      <c r="ER141">
        <v>13.107548</v>
      </c>
      <c r="ES141">
        <v>459.41167300000001</v>
      </c>
      <c r="ET141">
        <v>3.332935</v>
      </c>
      <c r="EU141">
        <v>23</v>
      </c>
      <c r="EV141">
        <v>23</v>
      </c>
      <c r="EW141">
        <v>23</v>
      </c>
      <c r="EX141">
        <v>23</v>
      </c>
      <c r="EY141" t="s">
        <v>273</v>
      </c>
      <c r="EZ141" t="s">
        <v>273</v>
      </c>
      <c r="FA141">
        <v>23.184179</v>
      </c>
      <c r="FB141">
        <v>1.8600999999999999E-2</v>
      </c>
      <c r="FC141">
        <v>0.99854699999999996</v>
      </c>
      <c r="FD141">
        <v>0.82622700000000004</v>
      </c>
      <c r="FE141">
        <v>82.742920999999996</v>
      </c>
      <c r="FF141">
        <v>18.703565999999999</v>
      </c>
      <c r="FG141">
        <v>498.68422199999998</v>
      </c>
      <c r="FH141">
        <v>5.7427409999999997</v>
      </c>
      <c r="FI141">
        <v>16</v>
      </c>
      <c r="FJ141">
        <v>16</v>
      </c>
      <c r="FK141">
        <v>16</v>
      </c>
      <c r="FL141">
        <v>16</v>
      </c>
      <c r="FM141" t="s">
        <v>273</v>
      </c>
      <c r="FN141" t="s">
        <v>273</v>
      </c>
      <c r="FO141">
        <v>23.695588999999998</v>
      </c>
      <c r="FP141">
        <v>2.8603E-2</v>
      </c>
      <c r="FQ141">
        <v>2.1546630000000002</v>
      </c>
      <c r="FR141">
        <v>1.894012</v>
      </c>
      <c r="FS141">
        <v>87.902967000000004</v>
      </c>
      <c r="FT141">
        <v>20.636399000000001</v>
      </c>
      <c r="FU141">
        <v>408.73517199999998</v>
      </c>
      <c r="FV141">
        <v>8.8305319999999998</v>
      </c>
      <c r="FW141">
        <v>7</v>
      </c>
      <c r="FX141">
        <v>7</v>
      </c>
      <c r="FY141">
        <v>7</v>
      </c>
      <c r="FZ141">
        <v>7</v>
      </c>
      <c r="GA141" t="s">
        <v>273</v>
      </c>
      <c r="GB141" t="s">
        <v>273</v>
      </c>
      <c r="GC141">
        <v>28.732887999999999</v>
      </c>
      <c r="GD141">
        <v>3.8512999999999999E-2</v>
      </c>
      <c r="GE141">
        <v>0.99524999999999997</v>
      </c>
      <c r="GF141">
        <v>0.80696400000000001</v>
      </c>
      <c r="GG141">
        <v>81.081496000000001</v>
      </c>
      <c r="GH141">
        <v>22.407920000000001</v>
      </c>
      <c r="GI141">
        <v>962.04697899999996</v>
      </c>
      <c r="GJ141">
        <v>11.890324</v>
      </c>
      <c r="GK141">
        <v>24</v>
      </c>
      <c r="GL141">
        <v>24</v>
      </c>
      <c r="GM141">
        <v>22</v>
      </c>
      <c r="GN141">
        <v>23</v>
      </c>
      <c r="GO141" t="s">
        <v>273</v>
      </c>
      <c r="GP141" t="s">
        <v>273</v>
      </c>
      <c r="GQ141">
        <v>28.047466</v>
      </c>
      <c r="GR141">
        <v>4.7865999999999999E-2</v>
      </c>
      <c r="GS141">
        <v>1.7497819999999999</v>
      </c>
      <c r="GT141">
        <v>1.5252220000000001</v>
      </c>
      <c r="GU141">
        <v>87.166443000000001</v>
      </c>
      <c r="GV141">
        <v>24.016739999999999</v>
      </c>
      <c r="GW141">
        <v>536.39844300000004</v>
      </c>
      <c r="GX141">
        <v>14.777950000000001</v>
      </c>
      <c r="GY141">
        <v>24</v>
      </c>
      <c r="GZ141">
        <v>24</v>
      </c>
      <c r="HA141">
        <v>8</v>
      </c>
      <c r="HB141">
        <v>9</v>
      </c>
      <c r="HC141" t="s">
        <v>273</v>
      </c>
      <c r="HD141" t="s">
        <v>273</v>
      </c>
      <c r="HE141">
        <v>9</v>
      </c>
      <c r="HF141">
        <v>7.5000000000000002E-4</v>
      </c>
      <c r="HG141">
        <v>4.0000000000000001E-3</v>
      </c>
      <c r="HH141">
        <v>0.111111</v>
      </c>
      <c r="HI141">
        <v>3750</v>
      </c>
    </row>
    <row r="142" spans="1:217" x14ac:dyDescent="0.3">
      <c r="A142">
        <v>768</v>
      </c>
      <c r="B142" t="s">
        <v>269</v>
      </c>
      <c r="F142" t="s">
        <v>270</v>
      </c>
      <c r="G142" t="s">
        <v>293</v>
      </c>
      <c r="H142" t="s">
        <v>294</v>
      </c>
      <c r="I142">
        <v>4750</v>
      </c>
      <c r="J142">
        <v>1</v>
      </c>
      <c r="K142">
        <v>57.002733999999997</v>
      </c>
      <c r="L142">
        <v>0.22</v>
      </c>
      <c r="M142">
        <v>1.3485E-2</v>
      </c>
      <c r="N142">
        <v>0</v>
      </c>
      <c r="O142">
        <v>0</v>
      </c>
      <c r="P142">
        <v>0</v>
      </c>
      <c r="Q142">
        <v>13.56</v>
      </c>
      <c r="R142">
        <v>1</v>
      </c>
      <c r="S142">
        <v>1</v>
      </c>
      <c r="T142">
        <v>1</v>
      </c>
      <c r="U142">
        <v>1</v>
      </c>
      <c r="V142">
        <v>100</v>
      </c>
      <c r="W142" t="s">
        <v>273</v>
      </c>
      <c r="X142" t="s">
        <v>274</v>
      </c>
      <c r="Y142" t="s">
        <v>274</v>
      </c>
      <c r="Z142" t="s">
        <v>273</v>
      </c>
      <c r="AA142" t="s">
        <v>275</v>
      </c>
      <c r="AB142" t="s">
        <v>276</v>
      </c>
      <c r="AC142">
        <v>823</v>
      </c>
      <c r="AD142">
        <v>5</v>
      </c>
      <c r="AE142" t="s">
        <v>277</v>
      </c>
      <c r="AF142">
        <v>2.4069210000000001</v>
      </c>
      <c r="AG142">
        <v>100</v>
      </c>
      <c r="AH142">
        <v>21.7</v>
      </c>
      <c r="AI142">
        <v>1300</v>
      </c>
      <c r="AJ142">
        <v>800</v>
      </c>
      <c r="AK142">
        <v>1200</v>
      </c>
      <c r="AL142">
        <v>113.3</v>
      </c>
      <c r="AM142">
        <v>2.2000000000000002</v>
      </c>
      <c r="AN142" t="s">
        <v>273</v>
      </c>
      <c r="AO142" t="s">
        <v>278</v>
      </c>
      <c r="AP142" t="s">
        <v>297</v>
      </c>
      <c r="AQ142">
        <v>7</v>
      </c>
      <c r="AR142">
        <v>8</v>
      </c>
      <c r="AS142">
        <v>393.2</v>
      </c>
      <c r="AT142">
        <v>715.3</v>
      </c>
      <c r="AU142">
        <v>0.40698000000000001</v>
      </c>
      <c r="AV142">
        <v>37.200000000000003</v>
      </c>
      <c r="AW142">
        <v>231.7</v>
      </c>
      <c r="AX142" t="s">
        <v>280</v>
      </c>
      <c r="AY142">
        <v>0</v>
      </c>
      <c r="AZ142" t="s">
        <v>281</v>
      </c>
      <c r="BA142">
        <v>0.2</v>
      </c>
      <c r="BB142">
        <v>0.5</v>
      </c>
      <c r="BC142" t="s">
        <v>273</v>
      </c>
      <c r="BD142" t="s">
        <v>273</v>
      </c>
      <c r="BE142">
        <v>18.182404999999999</v>
      </c>
      <c r="BF142">
        <v>18.391764999999999</v>
      </c>
      <c r="BG142">
        <v>471.14015999999998</v>
      </c>
      <c r="BH142" t="s">
        <v>273</v>
      </c>
      <c r="BI142">
        <v>29.773244999999999</v>
      </c>
      <c r="BJ142">
        <v>30.116067000000001</v>
      </c>
      <c r="BK142">
        <v>287.72346900000002</v>
      </c>
      <c r="BL142" t="s">
        <v>273</v>
      </c>
      <c r="BM142">
        <v>29.774778999999999</v>
      </c>
      <c r="BN142">
        <v>30.117619000000001</v>
      </c>
      <c r="BO142">
        <v>287.70864399999999</v>
      </c>
      <c r="BP142" t="s">
        <v>273</v>
      </c>
      <c r="BQ142">
        <v>22.128919</v>
      </c>
      <c r="BR142">
        <v>22.383721000000001</v>
      </c>
      <c r="BS142">
        <v>387.11611900000003</v>
      </c>
      <c r="BT142" t="s">
        <v>273</v>
      </c>
      <c r="BU142">
        <v>5.2051540000000003</v>
      </c>
      <c r="BV142">
        <v>5.2650889999999997</v>
      </c>
      <c r="BW142">
        <v>1645.765136</v>
      </c>
      <c r="BX142" t="s">
        <v>273</v>
      </c>
      <c r="BY142">
        <v>18.609977000000001</v>
      </c>
      <c r="BZ142">
        <v>16.612289000000001</v>
      </c>
      <c r="CA142">
        <v>21.680961</v>
      </c>
      <c r="CB142">
        <v>29.774778999999999</v>
      </c>
      <c r="CC142">
        <v>13.559075999999999</v>
      </c>
      <c r="CD142">
        <v>27.071251</v>
      </c>
      <c r="CE142" t="s">
        <v>273</v>
      </c>
      <c r="CF142">
        <v>18.824261</v>
      </c>
      <c r="CG142">
        <v>16.803570000000001</v>
      </c>
      <c r="CH142">
        <v>21.930605</v>
      </c>
      <c r="CI142">
        <v>30.117619000000001</v>
      </c>
      <c r="CJ142">
        <v>13.715201</v>
      </c>
      <c r="CK142">
        <v>27.382961000000002</v>
      </c>
      <c r="CL142" t="s">
        <v>273</v>
      </c>
      <c r="CM142">
        <v>460.31551200000001</v>
      </c>
      <c r="CN142">
        <v>515.67014600000005</v>
      </c>
      <c r="CO142">
        <v>395.114465</v>
      </c>
      <c r="CP142">
        <v>287.70864399999999</v>
      </c>
      <c r="CQ142">
        <v>631.78796599999998</v>
      </c>
      <c r="CR142">
        <v>316.441282</v>
      </c>
      <c r="CS142" t="s">
        <v>273</v>
      </c>
      <c r="CT142">
        <v>548.82917599999996</v>
      </c>
      <c r="CU142">
        <v>662.51952500000004</v>
      </c>
      <c r="CV142">
        <v>471.02314200000001</v>
      </c>
      <c r="CW142">
        <v>974.70153700000003</v>
      </c>
      <c r="CX142">
        <v>376.170411</v>
      </c>
      <c r="CY142">
        <v>652.26729399999999</v>
      </c>
      <c r="CZ142" t="s">
        <v>273</v>
      </c>
      <c r="DA142">
        <v>3.6142880000000002</v>
      </c>
      <c r="DB142">
        <v>510.01</v>
      </c>
      <c r="DC142">
        <v>3.8946450000000001</v>
      </c>
      <c r="DD142">
        <v>864</v>
      </c>
      <c r="DE142">
        <v>3.6137700000000001</v>
      </c>
      <c r="DF142">
        <v>505</v>
      </c>
      <c r="DG142">
        <v>10.26975</v>
      </c>
      <c r="DH142">
        <v>765</v>
      </c>
      <c r="DI142">
        <v>1.804905</v>
      </c>
      <c r="DJ142">
        <v>235</v>
      </c>
      <c r="DK142">
        <v>6.2484690000000001</v>
      </c>
      <c r="DL142">
        <v>365</v>
      </c>
      <c r="DM142" t="s">
        <v>273</v>
      </c>
      <c r="DN142">
        <v>2.511625</v>
      </c>
      <c r="DO142">
        <v>4.8046030000000002</v>
      </c>
      <c r="DP142">
        <v>2.8735849999999998</v>
      </c>
      <c r="DQ142" t="s">
        <v>282</v>
      </c>
      <c r="DR142">
        <v>2.9538449999999998</v>
      </c>
      <c r="DS142">
        <v>13.097372</v>
      </c>
      <c r="DT142">
        <v>23.729405</v>
      </c>
      <c r="DU142">
        <v>116.48209900000001</v>
      </c>
      <c r="DV142">
        <v>208.18021100000001</v>
      </c>
      <c r="DW142" t="s">
        <v>283</v>
      </c>
      <c r="DX142" t="s">
        <v>273</v>
      </c>
      <c r="DY142">
        <v>19.988250000000001</v>
      </c>
      <c r="DZ142">
        <v>1.8287999999999999E-2</v>
      </c>
      <c r="EA142">
        <v>1.273358</v>
      </c>
      <c r="EB142">
        <v>1.044457</v>
      </c>
      <c r="EC142">
        <v>82.023774000000003</v>
      </c>
      <c r="ED142">
        <v>15.991529999999999</v>
      </c>
      <c r="EE142">
        <v>630.52406699999995</v>
      </c>
      <c r="EF142">
        <v>7.1910879999999997</v>
      </c>
      <c r="EG142">
        <v>13</v>
      </c>
      <c r="EH142">
        <v>13</v>
      </c>
      <c r="EI142">
        <v>12</v>
      </c>
      <c r="EJ142">
        <v>12</v>
      </c>
      <c r="EK142" t="s">
        <v>273</v>
      </c>
      <c r="EL142" t="s">
        <v>273</v>
      </c>
      <c r="EM142">
        <v>17.473002999999999</v>
      </c>
      <c r="EN142">
        <v>1.0730999999999999E-2</v>
      </c>
      <c r="EO142">
        <v>1.3437079999999999</v>
      </c>
      <c r="EP142">
        <v>1.0671660000000001</v>
      </c>
      <c r="EQ142">
        <v>79.419504000000003</v>
      </c>
      <c r="ER142">
        <v>13.168018</v>
      </c>
      <c r="ES142">
        <v>581.63231399999995</v>
      </c>
      <c r="ET142">
        <v>4.2194079999999996</v>
      </c>
      <c r="EU142">
        <v>19</v>
      </c>
      <c r="EV142">
        <v>19</v>
      </c>
      <c r="EW142">
        <v>19</v>
      </c>
      <c r="EX142">
        <v>19</v>
      </c>
      <c r="EY142" t="s">
        <v>273</v>
      </c>
      <c r="EZ142" t="s">
        <v>273</v>
      </c>
      <c r="FA142">
        <v>23.262142000000001</v>
      </c>
      <c r="FB142">
        <v>1.8467999999999998E-2</v>
      </c>
      <c r="FC142">
        <v>1.271835</v>
      </c>
      <c r="FD142">
        <v>1.0443830000000001</v>
      </c>
      <c r="FE142">
        <v>82.116285000000005</v>
      </c>
      <c r="FF142">
        <v>18.631442</v>
      </c>
      <c r="FG142">
        <v>630.56117600000005</v>
      </c>
      <c r="FH142">
        <v>7.2618150000000004</v>
      </c>
      <c r="FI142">
        <v>13</v>
      </c>
      <c r="FJ142">
        <v>13</v>
      </c>
      <c r="FK142">
        <v>12</v>
      </c>
      <c r="FL142">
        <v>12</v>
      </c>
      <c r="FM142" t="s">
        <v>273</v>
      </c>
      <c r="FN142" t="s">
        <v>273</v>
      </c>
      <c r="FO142">
        <v>24.132394000000001</v>
      </c>
      <c r="FP142">
        <v>2.8403000000000001E-2</v>
      </c>
      <c r="FQ142">
        <v>2.730302</v>
      </c>
      <c r="FR142">
        <v>2.3949240000000001</v>
      </c>
      <c r="FS142">
        <v>87.716425000000001</v>
      </c>
      <c r="FT142">
        <v>20.976458999999998</v>
      </c>
      <c r="FU142">
        <v>516.93554200000005</v>
      </c>
      <c r="FV142">
        <v>11.168214000000001</v>
      </c>
      <c r="FW142">
        <v>5</v>
      </c>
      <c r="FX142">
        <v>5</v>
      </c>
      <c r="FY142">
        <v>5</v>
      </c>
      <c r="FZ142">
        <v>5</v>
      </c>
      <c r="GA142" t="s">
        <v>273</v>
      </c>
      <c r="GB142" t="s">
        <v>273</v>
      </c>
      <c r="GC142">
        <v>29.329055</v>
      </c>
      <c r="GD142">
        <v>3.832E-2</v>
      </c>
      <c r="GE142">
        <v>1.2806230000000001</v>
      </c>
      <c r="GF142">
        <v>1.024249</v>
      </c>
      <c r="GG142">
        <v>79.980520999999996</v>
      </c>
      <c r="GH142">
        <v>22.526444000000001</v>
      </c>
      <c r="GI142">
        <v>1219.0450450000001</v>
      </c>
      <c r="GJ142">
        <v>15.067985999999999</v>
      </c>
      <c r="GK142">
        <v>21</v>
      </c>
      <c r="GL142">
        <v>21</v>
      </c>
      <c r="GM142">
        <v>20</v>
      </c>
      <c r="GN142">
        <v>21</v>
      </c>
      <c r="GO142" t="s">
        <v>273</v>
      </c>
      <c r="GP142" t="s">
        <v>273</v>
      </c>
      <c r="GQ142">
        <v>29.296503999999999</v>
      </c>
      <c r="GR142">
        <v>4.7669000000000003E-2</v>
      </c>
      <c r="GS142">
        <v>2.2180949999999999</v>
      </c>
      <c r="GT142">
        <v>1.9318949999999999</v>
      </c>
      <c r="GU142">
        <v>87.097055999999995</v>
      </c>
      <c r="GV142">
        <v>25.100722000000001</v>
      </c>
      <c r="GW142">
        <v>680.34754599999997</v>
      </c>
      <c r="GX142">
        <v>18.743921</v>
      </c>
      <c r="GY142">
        <v>19</v>
      </c>
      <c r="GZ142">
        <v>19</v>
      </c>
      <c r="HA142">
        <v>11</v>
      </c>
      <c r="HB142">
        <v>12</v>
      </c>
      <c r="HC142" t="s">
        <v>273</v>
      </c>
      <c r="HD142" t="s">
        <v>273</v>
      </c>
      <c r="HE142">
        <v>9</v>
      </c>
      <c r="HF142">
        <v>7.5000000000000002E-4</v>
      </c>
      <c r="HG142">
        <v>4.0000000000000001E-3</v>
      </c>
      <c r="HH142">
        <v>0.111111</v>
      </c>
      <c r="HI142">
        <v>4750</v>
      </c>
    </row>
    <row r="143" spans="1:217" x14ac:dyDescent="0.3">
      <c r="A143">
        <v>769</v>
      </c>
      <c r="B143" t="s">
        <v>269</v>
      </c>
      <c r="F143" t="s">
        <v>270</v>
      </c>
      <c r="G143" t="s">
        <v>293</v>
      </c>
      <c r="H143" t="s">
        <v>294</v>
      </c>
      <c r="I143">
        <v>5500</v>
      </c>
      <c r="J143">
        <v>1</v>
      </c>
      <c r="K143">
        <v>66.524219000000002</v>
      </c>
      <c r="L143">
        <v>0.22</v>
      </c>
      <c r="M143">
        <v>1.6049000000000001E-2</v>
      </c>
      <c r="N143">
        <v>0</v>
      </c>
      <c r="O143">
        <v>0</v>
      </c>
      <c r="P143">
        <v>0</v>
      </c>
      <c r="Q143">
        <v>15.69</v>
      </c>
      <c r="R143">
        <v>1</v>
      </c>
      <c r="S143">
        <v>1</v>
      </c>
      <c r="T143">
        <v>1</v>
      </c>
      <c r="U143">
        <v>1</v>
      </c>
      <c r="V143">
        <v>100</v>
      </c>
      <c r="W143" t="s">
        <v>273</v>
      </c>
      <c r="X143" t="s">
        <v>274</v>
      </c>
      <c r="Y143" t="s">
        <v>274</v>
      </c>
      <c r="Z143" t="s">
        <v>273</v>
      </c>
      <c r="AA143" t="s">
        <v>275</v>
      </c>
      <c r="AB143" t="s">
        <v>276</v>
      </c>
      <c r="AC143">
        <v>469</v>
      </c>
      <c r="AD143">
        <v>5</v>
      </c>
      <c r="AE143" t="s">
        <v>277</v>
      </c>
      <c r="AF143">
        <v>2.962364</v>
      </c>
      <c r="AG143">
        <v>100</v>
      </c>
      <c r="AH143">
        <v>26.7</v>
      </c>
      <c r="AI143">
        <v>1600</v>
      </c>
      <c r="AJ143">
        <v>800</v>
      </c>
      <c r="AK143">
        <v>1200</v>
      </c>
      <c r="AL143">
        <v>150</v>
      </c>
      <c r="AM143">
        <v>2.2000000000000002</v>
      </c>
      <c r="AN143" t="s">
        <v>273</v>
      </c>
      <c r="AO143" t="s">
        <v>278</v>
      </c>
      <c r="AP143" t="s">
        <v>295</v>
      </c>
      <c r="AQ143">
        <v>4</v>
      </c>
      <c r="AR143">
        <v>8</v>
      </c>
      <c r="AS143">
        <v>224.3</v>
      </c>
      <c r="AT143">
        <v>408</v>
      </c>
      <c r="AU143">
        <v>0.23255999999999999</v>
      </c>
      <c r="AV143">
        <v>36.299999999999997</v>
      </c>
      <c r="AW143">
        <v>237</v>
      </c>
      <c r="AX143" t="s">
        <v>280</v>
      </c>
      <c r="AY143">
        <v>0</v>
      </c>
      <c r="AZ143" t="s">
        <v>281</v>
      </c>
      <c r="BA143">
        <v>0.2</v>
      </c>
      <c r="BB143">
        <v>0.5</v>
      </c>
      <c r="BC143" t="s">
        <v>273</v>
      </c>
      <c r="BD143" t="s">
        <v>273</v>
      </c>
      <c r="BE143">
        <v>20.187577000000001</v>
      </c>
      <c r="BF143">
        <v>20.420026</v>
      </c>
      <c r="BG143">
        <v>424.343211</v>
      </c>
      <c r="BH143" t="s">
        <v>273</v>
      </c>
      <c r="BI143">
        <v>31.192641999999999</v>
      </c>
      <c r="BJ143">
        <v>31.551807</v>
      </c>
      <c r="BK143">
        <v>274.63083499999999</v>
      </c>
      <c r="BL143" t="s">
        <v>273</v>
      </c>
      <c r="BM143">
        <v>31.194182000000001</v>
      </c>
      <c r="BN143">
        <v>31.553366</v>
      </c>
      <c r="BO143">
        <v>274.61727200000001</v>
      </c>
      <c r="BP143" t="s">
        <v>273</v>
      </c>
      <c r="BQ143">
        <v>20.635535999999998</v>
      </c>
      <c r="BR143">
        <v>20.873142000000001</v>
      </c>
      <c r="BS143">
        <v>415.13152100000002</v>
      </c>
      <c r="BT143" t="s">
        <v>273</v>
      </c>
      <c r="BU143">
        <v>6.5163349999999998</v>
      </c>
      <c r="BV143">
        <v>6.591367</v>
      </c>
      <c r="BW143">
        <v>1314.613386</v>
      </c>
      <c r="BX143" t="s">
        <v>273</v>
      </c>
      <c r="BY143">
        <v>19.613634999999999</v>
      </c>
      <c r="BZ143">
        <v>19.264735999999999</v>
      </c>
      <c r="CA143">
        <v>22.747881</v>
      </c>
      <c r="CB143">
        <v>31.194182000000001</v>
      </c>
      <c r="CC143">
        <v>13.058951</v>
      </c>
      <c r="CD143">
        <v>24.771180999999999</v>
      </c>
      <c r="CE143" t="s">
        <v>273</v>
      </c>
      <c r="CF143">
        <v>19.839475</v>
      </c>
      <c r="CG143">
        <v>19.486557999999999</v>
      </c>
      <c r="CH143">
        <v>23.009810000000002</v>
      </c>
      <c r="CI143">
        <v>31.553366</v>
      </c>
      <c r="CJ143">
        <v>13.209318</v>
      </c>
      <c r="CK143">
        <v>25.056407</v>
      </c>
      <c r="CL143" t="s">
        <v>273</v>
      </c>
      <c r="CM143">
        <v>436.76051000000001</v>
      </c>
      <c r="CN143">
        <v>444.67058400000002</v>
      </c>
      <c r="CO143">
        <v>376.58281699999998</v>
      </c>
      <c r="CP143">
        <v>274.61727200000001</v>
      </c>
      <c r="CQ143">
        <v>655.98385399999995</v>
      </c>
      <c r="CR143">
        <v>345.82369599999998</v>
      </c>
      <c r="CS143" t="s">
        <v>273</v>
      </c>
      <c r="CT143">
        <v>520.21422600000005</v>
      </c>
      <c r="CU143">
        <v>570.11252200000001</v>
      </c>
      <c r="CV143">
        <v>448.46862399999998</v>
      </c>
      <c r="CW143">
        <v>930.29894400000001</v>
      </c>
      <c r="CX143">
        <v>388.95822199999998</v>
      </c>
      <c r="CY143">
        <v>712.57920799999999</v>
      </c>
      <c r="CZ143" t="s">
        <v>273</v>
      </c>
      <c r="DA143">
        <v>3.6106050000000001</v>
      </c>
      <c r="DB143">
        <v>510.01</v>
      </c>
      <c r="DC143">
        <v>3.8865419999999999</v>
      </c>
      <c r="DD143">
        <v>864</v>
      </c>
      <c r="DE143">
        <v>3.6100460000000001</v>
      </c>
      <c r="DF143">
        <v>505</v>
      </c>
      <c r="DG143">
        <v>10.269181</v>
      </c>
      <c r="DH143">
        <v>765</v>
      </c>
      <c r="DI143">
        <v>1.797426</v>
      </c>
      <c r="DJ143">
        <v>235</v>
      </c>
      <c r="DK143">
        <v>6.2462530000000003</v>
      </c>
      <c r="DL143">
        <v>365</v>
      </c>
      <c r="DM143" t="s">
        <v>273</v>
      </c>
      <c r="DN143">
        <v>3.585499</v>
      </c>
      <c r="DO143">
        <v>8.1928400000000003</v>
      </c>
      <c r="DP143">
        <v>4.3415679999999996</v>
      </c>
      <c r="DQ143" t="s">
        <v>282</v>
      </c>
      <c r="DR143">
        <v>4.7212730000000001</v>
      </c>
      <c r="DS143">
        <v>16.413473</v>
      </c>
      <c r="DT143">
        <v>33.669153000000001</v>
      </c>
      <c r="DU143">
        <v>90.999834000000007</v>
      </c>
      <c r="DV143">
        <v>160.543249</v>
      </c>
      <c r="DW143" t="s">
        <v>283</v>
      </c>
      <c r="DX143" t="s">
        <v>273</v>
      </c>
      <c r="DY143">
        <v>24.011465000000001</v>
      </c>
      <c r="DZ143">
        <v>3.7141E-2</v>
      </c>
      <c r="EA143">
        <v>1.449905</v>
      </c>
      <c r="EB143">
        <v>1.2013400000000001</v>
      </c>
      <c r="EC143">
        <v>82.856430000000003</v>
      </c>
      <c r="ED143">
        <v>19.54072</v>
      </c>
      <c r="EE143">
        <v>731.03956700000003</v>
      </c>
      <c r="EF143">
        <v>8.3289659999999994</v>
      </c>
      <c r="EG143">
        <v>27</v>
      </c>
      <c r="EH143">
        <v>27</v>
      </c>
      <c r="EI143">
        <v>21</v>
      </c>
      <c r="EJ143">
        <v>24</v>
      </c>
      <c r="EK143" t="s">
        <v>273</v>
      </c>
      <c r="EL143" t="s">
        <v>273</v>
      </c>
      <c r="EM143">
        <v>23.190083999999999</v>
      </c>
      <c r="EN143">
        <v>2.1770000000000001E-2</v>
      </c>
      <c r="EO143">
        <v>1.5346230000000001</v>
      </c>
      <c r="EP143">
        <v>1.205689</v>
      </c>
      <c r="EQ143">
        <v>78.565855999999997</v>
      </c>
      <c r="ER143">
        <v>17.705469999999998</v>
      </c>
      <c r="ES143">
        <v>674.37575100000004</v>
      </c>
      <c r="ET143">
        <v>4.8820300000000003</v>
      </c>
      <c r="EU143">
        <v>25</v>
      </c>
      <c r="EV143">
        <v>25</v>
      </c>
      <c r="EW143">
        <v>25</v>
      </c>
      <c r="EX143">
        <v>25</v>
      </c>
      <c r="EY143" t="s">
        <v>273</v>
      </c>
      <c r="EZ143" t="s">
        <v>273</v>
      </c>
      <c r="FA143">
        <v>27.838768999999999</v>
      </c>
      <c r="FB143">
        <v>3.7505999999999998E-2</v>
      </c>
      <c r="FC143">
        <v>1.4491750000000001</v>
      </c>
      <c r="FD143">
        <v>1.2012499999999999</v>
      </c>
      <c r="FE143">
        <v>82.891976999999997</v>
      </c>
      <c r="FF143">
        <v>22.664860999999998</v>
      </c>
      <c r="FG143">
        <v>731.09056199999998</v>
      </c>
      <c r="FH143">
        <v>8.4108789999999996</v>
      </c>
      <c r="FI143">
        <v>27</v>
      </c>
      <c r="FJ143">
        <v>27</v>
      </c>
      <c r="FK143">
        <v>21</v>
      </c>
      <c r="FL143">
        <v>24</v>
      </c>
      <c r="FM143" t="s">
        <v>273</v>
      </c>
      <c r="FN143" t="s">
        <v>273</v>
      </c>
      <c r="FO143">
        <v>29.182176999999999</v>
      </c>
      <c r="FP143">
        <v>5.7605999999999997E-2</v>
      </c>
      <c r="FQ143">
        <v>3.151221</v>
      </c>
      <c r="FR143">
        <v>2.7649620000000001</v>
      </c>
      <c r="FS143">
        <v>87.742551000000006</v>
      </c>
      <c r="FT143">
        <v>25.421745999999999</v>
      </c>
      <c r="FU143">
        <v>597.97705499999995</v>
      </c>
      <c r="FV143">
        <v>12.918372</v>
      </c>
      <c r="FW143">
        <v>8</v>
      </c>
      <c r="FX143">
        <v>8</v>
      </c>
      <c r="FY143">
        <v>8</v>
      </c>
      <c r="FZ143">
        <v>8</v>
      </c>
      <c r="GA143" t="s">
        <v>273</v>
      </c>
      <c r="GB143" t="s">
        <v>273</v>
      </c>
      <c r="GC143">
        <v>30.550272</v>
      </c>
      <c r="GD143">
        <v>7.7807000000000001E-2</v>
      </c>
      <c r="GE143">
        <v>1.379294</v>
      </c>
      <c r="GF143">
        <v>1.1769940000000001</v>
      </c>
      <c r="GG143">
        <v>85.333118999999996</v>
      </c>
      <c r="GH143">
        <v>25.227730999999999</v>
      </c>
      <c r="GI143">
        <v>1417.515048</v>
      </c>
      <c r="GJ143">
        <v>17.448561999999999</v>
      </c>
      <c r="GK143">
        <v>35</v>
      </c>
      <c r="GL143">
        <v>35</v>
      </c>
      <c r="GM143">
        <v>16</v>
      </c>
      <c r="GN143">
        <v>25</v>
      </c>
      <c r="GO143" t="s">
        <v>273</v>
      </c>
      <c r="GP143" t="s">
        <v>273</v>
      </c>
      <c r="GQ143">
        <v>30.821974999999998</v>
      </c>
      <c r="GR143">
        <v>9.6591999999999997E-2</v>
      </c>
      <c r="GS143">
        <v>2.5493670000000002</v>
      </c>
      <c r="GT143">
        <v>2.2233860000000001</v>
      </c>
      <c r="GU143">
        <v>87.213277000000005</v>
      </c>
      <c r="GV143">
        <v>26.552340000000001</v>
      </c>
      <c r="GW143">
        <v>786.51901299999997</v>
      </c>
      <c r="GX143">
        <v>21.661313</v>
      </c>
      <c r="GY143">
        <v>28</v>
      </c>
      <c r="GZ143">
        <v>28</v>
      </c>
      <c r="HA143">
        <v>16</v>
      </c>
      <c r="HB143">
        <v>17</v>
      </c>
      <c r="HC143" t="s">
        <v>273</v>
      </c>
      <c r="HD143" t="s">
        <v>273</v>
      </c>
      <c r="HE143">
        <v>18</v>
      </c>
      <c r="HF143">
        <v>7.5000000000000002E-4</v>
      </c>
      <c r="HG143">
        <v>4.0000000000000001E-3</v>
      </c>
      <c r="HH143">
        <v>5.5556000000000001E-2</v>
      </c>
      <c r="HI143">
        <v>5500</v>
      </c>
    </row>
    <row r="144" spans="1:217" x14ac:dyDescent="0.3">
      <c r="A144">
        <v>783</v>
      </c>
      <c r="B144" t="s">
        <v>269</v>
      </c>
      <c r="F144" t="s">
        <v>270</v>
      </c>
      <c r="G144" t="s">
        <v>293</v>
      </c>
      <c r="H144" t="s">
        <v>294</v>
      </c>
      <c r="I144">
        <v>4000</v>
      </c>
      <c r="J144">
        <v>1</v>
      </c>
      <c r="K144">
        <v>41.231250000000003</v>
      </c>
      <c r="L144">
        <v>0.22</v>
      </c>
      <c r="M144">
        <v>2.6547000000000001E-2</v>
      </c>
      <c r="N144">
        <v>0</v>
      </c>
      <c r="O144">
        <v>0</v>
      </c>
      <c r="P144">
        <v>0</v>
      </c>
      <c r="Q144">
        <v>15.81</v>
      </c>
      <c r="R144">
        <v>1</v>
      </c>
      <c r="S144">
        <v>1</v>
      </c>
      <c r="T144">
        <v>1</v>
      </c>
      <c r="U144">
        <v>1</v>
      </c>
      <c r="V144">
        <v>100</v>
      </c>
      <c r="W144" t="s">
        <v>273</v>
      </c>
      <c r="X144" t="s">
        <v>274</v>
      </c>
      <c r="Y144" t="s">
        <v>274</v>
      </c>
      <c r="Z144" t="s">
        <v>273</v>
      </c>
      <c r="AA144" t="s">
        <v>275</v>
      </c>
      <c r="AB144" t="s">
        <v>276</v>
      </c>
      <c r="AC144">
        <v>823</v>
      </c>
      <c r="AD144">
        <v>5</v>
      </c>
      <c r="AE144" t="s">
        <v>277</v>
      </c>
      <c r="AF144">
        <v>2.4069210000000001</v>
      </c>
      <c r="AG144">
        <v>100</v>
      </c>
      <c r="AH144">
        <v>21.7</v>
      </c>
      <c r="AI144">
        <v>1300</v>
      </c>
      <c r="AJ144">
        <v>800</v>
      </c>
      <c r="AK144">
        <v>1200</v>
      </c>
      <c r="AL144">
        <v>113.3</v>
      </c>
      <c r="AM144">
        <v>2.2000000000000002</v>
      </c>
      <c r="AN144" t="s">
        <v>273</v>
      </c>
      <c r="AO144" t="s">
        <v>278</v>
      </c>
      <c r="AP144" t="s">
        <v>297</v>
      </c>
      <c r="AQ144">
        <v>7</v>
      </c>
      <c r="AR144">
        <v>8</v>
      </c>
      <c r="AS144">
        <v>393.2</v>
      </c>
      <c r="AT144">
        <v>715.3</v>
      </c>
      <c r="AU144">
        <v>0.40698000000000001</v>
      </c>
      <c r="AV144">
        <v>37.200000000000003</v>
      </c>
      <c r="AW144">
        <v>231.7</v>
      </c>
      <c r="AX144" t="s">
        <v>280</v>
      </c>
      <c r="AY144">
        <v>0</v>
      </c>
      <c r="AZ144" t="s">
        <v>281</v>
      </c>
      <c r="BA144">
        <v>0.2</v>
      </c>
      <c r="BB144">
        <v>0.5</v>
      </c>
      <c r="BC144" t="s">
        <v>273</v>
      </c>
      <c r="BD144" t="s">
        <v>273</v>
      </c>
      <c r="BE144">
        <v>18.966101999999999</v>
      </c>
      <c r="BF144">
        <v>19.184486</v>
      </c>
      <c r="BG144">
        <v>451.67220400000002</v>
      </c>
      <c r="BH144" t="s">
        <v>273</v>
      </c>
      <c r="BI144">
        <v>27.772929000000001</v>
      </c>
      <c r="BJ144">
        <v>28.092718999999999</v>
      </c>
      <c r="BK144">
        <v>308.44644299999999</v>
      </c>
      <c r="BL144" t="s">
        <v>273</v>
      </c>
      <c r="BM144">
        <v>27.774359</v>
      </c>
      <c r="BN144">
        <v>28.094165</v>
      </c>
      <c r="BO144">
        <v>308.43057099999999</v>
      </c>
      <c r="BP144" t="s">
        <v>273</v>
      </c>
      <c r="BQ144">
        <v>20.872174000000001</v>
      </c>
      <c r="BR144">
        <v>21.112504999999999</v>
      </c>
      <c r="BS144">
        <v>410.42497100000003</v>
      </c>
      <c r="BT144" t="s">
        <v>273</v>
      </c>
      <c r="BU144">
        <v>4.6768770000000002</v>
      </c>
      <c r="BV144">
        <v>4.730728</v>
      </c>
      <c r="BW144">
        <v>1831.662808</v>
      </c>
      <c r="BX144" t="s">
        <v>273</v>
      </c>
      <c r="BY144">
        <v>19.068315999999999</v>
      </c>
      <c r="BZ144">
        <v>17.568863</v>
      </c>
      <c r="CA144">
        <v>22.218323000000002</v>
      </c>
      <c r="CB144">
        <v>27.774359</v>
      </c>
      <c r="CC144">
        <v>14.825081000000001</v>
      </c>
      <c r="CD144">
        <v>23.661004999999999</v>
      </c>
      <c r="CE144" t="s">
        <v>273</v>
      </c>
      <c r="CF144">
        <v>19.287877000000002</v>
      </c>
      <c r="CG144">
        <v>17.771158</v>
      </c>
      <c r="CH144">
        <v>22.474153999999999</v>
      </c>
      <c r="CI144">
        <v>28.094165</v>
      </c>
      <c r="CJ144">
        <v>14.995784</v>
      </c>
      <c r="CK144">
        <v>23.933447999999999</v>
      </c>
      <c r="CL144" t="s">
        <v>273</v>
      </c>
      <c r="CM144">
        <v>449.25105600000001</v>
      </c>
      <c r="CN144">
        <v>487.59338300000002</v>
      </c>
      <c r="CO144">
        <v>385.55840799999999</v>
      </c>
      <c r="CP144">
        <v>308.43057099999999</v>
      </c>
      <c r="CQ144">
        <v>577.83570999999995</v>
      </c>
      <c r="CR144">
        <v>362.04977000000002</v>
      </c>
      <c r="CS144" t="s">
        <v>273</v>
      </c>
      <c r="CT144">
        <v>535.63243</v>
      </c>
      <c r="CU144">
        <v>626.67082800000003</v>
      </c>
      <c r="CV144">
        <v>459.628309</v>
      </c>
      <c r="CW144">
        <v>1044.8718180000001</v>
      </c>
      <c r="CX144">
        <v>344.145667</v>
      </c>
      <c r="CY144">
        <v>746.21974699999998</v>
      </c>
      <c r="CZ144" t="s">
        <v>273</v>
      </c>
      <c r="DA144">
        <v>3.6142560000000001</v>
      </c>
      <c r="DB144">
        <v>510.01</v>
      </c>
      <c r="DC144">
        <v>3.8960349999999999</v>
      </c>
      <c r="DD144">
        <v>864</v>
      </c>
      <c r="DE144">
        <v>3.613747</v>
      </c>
      <c r="DF144">
        <v>505</v>
      </c>
      <c r="DG144">
        <v>10.269439</v>
      </c>
      <c r="DH144">
        <v>765</v>
      </c>
      <c r="DI144">
        <v>1.805423</v>
      </c>
      <c r="DJ144">
        <v>235</v>
      </c>
      <c r="DK144">
        <v>6.2479800000000001</v>
      </c>
      <c r="DL144">
        <v>365</v>
      </c>
      <c r="DM144" t="s">
        <v>273</v>
      </c>
      <c r="DN144">
        <v>2.2901419999999999</v>
      </c>
      <c r="DO144">
        <v>4.1860840000000001</v>
      </c>
      <c r="DP144">
        <v>2.5473270000000001</v>
      </c>
      <c r="DQ144" t="s">
        <v>282</v>
      </c>
      <c r="DR144">
        <v>2.6642229999999998</v>
      </c>
      <c r="DS144">
        <v>12.464078000000001</v>
      </c>
      <c r="DT144">
        <v>21.861712000000001</v>
      </c>
      <c r="DU144">
        <v>119.956461</v>
      </c>
      <c r="DV144">
        <v>179.200987</v>
      </c>
      <c r="DW144" t="s">
        <v>283</v>
      </c>
      <c r="DX144" t="s">
        <v>273</v>
      </c>
      <c r="DY144">
        <v>19.521556</v>
      </c>
      <c r="DZ144">
        <v>1.7652999999999999E-2</v>
      </c>
      <c r="EA144">
        <v>1.213724</v>
      </c>
      <c r="EB144">
        <v>1.0071030000000001</v>
      </c>
      <c r="EC144">
        <v>82.976241999999999</v>
      </c>
      <c r="ED144">
        <v>15.816414</v>
      </c>
      <c r="EE144">
        <v>608.63045599999998</v>
      </c>
      <c r="EF144">
        <v>6.9413309999999999</v>
      </c>
      <c r="EG144">
        <v>12</v>
      </c>
      <c r="EH144">
        <v>12</v>
      </c>
      <c r="EI144">
        <v>11</v>
      </c>
      <c r="EJ144">
        <v>11</v>
      </c>
      <c r="EK144" t="s">
        <v>273</v>
      </c>
      <c r="EL144" t="s">
        <v>273</v>
      </c>
      <c r="EM144">
        <v>16.007925</v>
      </c>
      <c r="EN144">
        <v>9.2259999999999998E-3</v>
      </c>
      <c r="EO144">
        <v>1.1644300000000001</v>
      </c>
      <c r="EP144">
        <v>0.92512700000000003</v>
      </c>
      <c r="EQ144">
        <v>79.448982000000001</v>
      </c>
      <c r="ER144">
        <v>11.969673</v>
      </c>
      <c r="ES144">
        <v>499.91476699999998</v>
      </c>
      <c r="ET144">
        <v>3.627888</v>
      </c>
      <c r="EU144">
        <v>19</v>
      </c>
      <c r="EV144">
        <v>19</v>
      </c>
      <c r="EW144">
        <v>19</v>
      </c>
      <c r="EX144">
        <v>19</v>
      </c>
      <c r="EY144" t="s">
        <v>273</v>
      </c>
      <c r="EZ144" t="s">
        <v>273</v>
      </c>
      <c r="FA144">
        <v>22.724688</v>
      </c>
      <c r="FB144">
        <v>1.7826999999999999E-2</v>
      </c>
      <c r="FC144">
        <v>1.2123930000000001</v>
      </c>
      <c r="FD144">
        <v>1.0072099999999999</v>
      </c>
      <c r="FE144">
        <v>83.076198000000005</v>
      </c>
      <c r="FF144">
        <v>18.430482999999999</v>
      </c>
      <c r="FG144">
        <v>608.67459099999996</v>
      </c>
      <c r="FH144">
        <v>7.0097160000000001</v>
      </c>
      <c r="FI144">
        <v>12</v>
      </c>
      <c r="FJ144">
        <v>12</v>
      </c>
      <c r="FK144">
        <v>11</v>
      </c>
      <c r="FL144">
        <v>11</v>
      </c>
      <c r="FM144" t="s">
        <v>273</v>
      </c>
      <c r="FN144" t="s">
        <v>273</v>
      </c>
      <c r="FO144">
        <v>25.135099</v>
      </c>
      <c r="FP144">
        <v>3.1862000000000001E-2</v>
      </c>
      <c r="FQ144">
        <v>3.048473</v>
      </c>
      <c r="FR144">
        <v>2.6808070000000002</v>
      </c>
      <c r="FS144">
        <v>87.939350000000005</v>
      </c>
      <c r="FT144">
        <v>21.951311</v>
      </c>
      <c r="FU144">
        <v>579.92150600000002</v>
      </c>
      <c r="FV144">
        <v>12.528625</v>
      </c>
      <c r="FW144">
        <v>5</v>
      </c>
      <c r="FX144">
        <v>5</v>
      </c>
      <c r="FY144">
        <v>5</v>
      </c>
      <c r="FZ144">
        <v>5</v>
      </c>
      <c r="GA144" t="s">
        <v>273</v>
      </c>
      <c r="GB144" t="s">
        <v>273</v>
      </c>
      <c r="GC144">
        <v>28.684387999999998</v>
      </c>
      <c r="GD144">
        <v>3.4721000000000002E-2</v>
      </c>
      <c r="GE144">
        <v>1.1458470000000001</v>
      </c>
      <c r="GF144">
        <v>0.92866899999999997</v>
      </c>
      <c r="GG144">
        <v>81.046560999999997</v>
      </c>
      <c r="GH144">
        <v>22.310155999999999</v>
      </c>
      <c r="GI144">
        <v>1104.239832</v>
      </c>
      <c r="GJ144">
        <v>13.652856</v>
      </c>
      <c r="GK144">
        <v>61</v>
      </c>
      <c r="GL144">
        <v>61</v>
      </c>
      <c r="GM144">
        <v>18</v>
      </c>
      <c r="GN144">
        <v>20</v>
      </c>
      <c r="GO144" t="s">
        <v>273</v>
      </c>
      <c r="GP144" t="s">
        <v>273</v>
      </c>
      <c r="GQ144">
        <v>30.611502000000002</v>
      </c>
      <c r="GR144">
        <v>5.7602E-2</v>
      </c>
      <c r="GS144">
        <v>2.6514899999999999</v>
      </c>
      <c r="GT144">
        <v>2.3194240000000002</v>
      </c>
      <c r="GU144">
        <v>87.476219</v>
      </c>
      <c r="GV144">
        <v>26.512201999999998</v>
      </c>
      <c r="GW144">
        <v>822.17752800000005</v>
      </c>
      <c r="GX144">
        <v>22.649636000000001</v>
      </c>
      <c r="GY144">
        <v>24</v>
      </c>
      <c r="GZ144">
        <v>24</v>
      </c>
      <c r="HA144">
        <v>12</v>
      </c>
      <c r="HB144">
        <v>13</v>
      </c>
      <c r="HC144" t="s">
        <v>273</v>
      </c>
      <c r="HD144" t="s">
        <v>273</v>
      </c>
      <c r="HE144">
        <v>7.5</v>
      </c>
      <c r="HF144">
        <v>7.5000000000000002E-4</v>
      </c>
      <c r="HG144">
        <v>6.0000000000000001E-3</v>
      </c>
      <c r="HH144">
        <v>0.13333300000000001</v>
      </c>
      <c r="HI144">
        <v>4000</v>
      </c>
    </row>
    <row r="145" spans="1:217" x14ac:dyDescent="0.3">
      <c r="A145">
        <v>785</v>
      </c>
      <c r="B145" t="s">
        <v>269</v>
      </c>
      <c r="F145" t="s">
        <v>270</v>
      </c>
      <c r="G145" t="s">
        <v>293</v>
      </c>
      <c r="H145" t="s">
        <v>294</v>
      </c>
      <c r="I145">
        <v>3750</v>
      </c>
      <c r="J145">
        <v>1</v>
      </c>
      <c r="K145">
        <v>38.448047000000003</v>
      </c>
      <c r="L145">
        <v>0.22</v>
      </c>
      <c r="M145">
        <v>2.4715999999999998E-2</v>
      </c>
      <c r="N145">
        <v>0</v>
      </c>
      <c r="O145">
        <v>0</v>
      </c>
      <c r="P145">
        <v>0</v>
      </c>
      <c r="Q145">
        <v>14.83</v>
      </c>
      <c r="R145">
        <v>1</v>
      </c>
      <c r="S145">
        <v>1</v>
      </c>
      <c r="T145">
        <v>1</v>
      </c>
      <c r="U145">
        <v>1</v>
      </c>
      <c r="V145">
        <v>100</v>
      </c>
      <c r="W145" t="s">
        <v>273</v>
      </c>
      <c r="X145" t="s">
        <v>274</v>
      </c>
      <c r="Y145" t="s">
        <v>274</v>
      </c>
      <c r="Z145" t="s">
        <v>273</v>
      </c>
      <c r="AA145" t="s">
        <v>275</v>
      </c>
      <c r="AB145" t="s">
        <v>276</v>
      </c>
      <c r="AC145">
        <v>646</v>
      </c>
      <c r="AD145">
        <v>5</v>
      </c>
      <c r="AE145" t="s">
        <v>277</v>
      </c>
      <c r="AF145">
        <v>2.7309290000000002</v>
      </c>
      <c r="AG145">
        <v>100</v>
      </c>
      <c r="AH145">
        <v>24.6</v>
      </c>
      <c r="AI145">
        <v>1475</v>
      </c>
      <c r="AJ145">
        <v>800</v>
      </c>
      <c r="AK145">
        <v>1200</v>
      </c>
      <c r="AL145">
        <v>127.9</v>
      </c>
      <c r="AM145">
        <v>2.2000000000000002</v>
      </c>
      <c r="AN145" t="s">
        <v>273</v>
      </c>
      <c r="AO145" t="s">
        <v>278</v>
      </c>
      <c r="AP145" t="s">
        <v>296</v>
      </c>
      <c r="AQ145">
        <v>5.5</v>
      </c>
      <c r="AR145">
        <v>8</v>
      </c>
      <c r="AS145">
        <v>308.7</v>
      </c>
      <c r="AT145">
        <v>561.70000000000005</v>
      </c>
      <c r="AU145">
        <v>0.31977</v>
      </c>
      <c r="AV145">
        <v>36.799999999999997</v>
      </c>
      <c r="AW145">
        <v>233.9</v>
      </c>
      <c r="AX145" t="s">
        <v>280</v>
      </c>
      <c r="AY145">
        <v>0</v>
      </c>
      <c r="AZ145" t="s">
        <v>281</v>
      </c>
      <c r="BA145">
        <v>0.2</v>
      </c>
      <c r="BB145">
        <v>0.5</v>
      </c>
      <c r="BC145" t="s">
        <v>273</v>
      </c>
      <c r="BD145" t="s">
        <v>273</v>
      </c>
      <c r="BE145">
        <v>22.093837000000001</v>
      </c>
      <c r="BF145">
        <v>22.348234999999999</v>
      </c>
      <c r="BG145">
        <v>387.73080499999998</v>
      </c>
      <c r="BH145" t="s">
        <v>273</v>
      </c>
      <c r="BI145">
        <v>31.284389999999998</v>
      </c>
      <c r="BJ145">
        <v>31.644611999999999</v>
      </c>
      <c r="BK145">
        <v>273.82542100000001</v>
      </c>
      <c r="BL145" t="s">
        <v>273</v>
      </c>
      <c r="BM145">
        <v>31.286142000000002</v>
      </c>
      <c r="BN145">
        <v>31.646384999999999</v>
      </c>
      <c r="BO145">
        <v>273.81008500000002</v>
      </c>
      <c r="BP145" t="s">
        <v>273</v>
      </c>
      <c r="BQ145">
        <v>22.336797000000001</v>
      </c>
      <c r="BR145">
        <v>22.593993000000001</v>
      </c>
      <c r="BS145">
        <v>383.51340599999997</v>
      </c>
      <c r="BT145" t="s">
        <v>273</v>
      </c>
      <c r="BU145">
        <v>5.3507059999999997</v>
      </c>
      <c r="BV145">
        <v>5.4123169999999998</v>
      </c>
      <c r="BW145">
        <v>1600.9963439999999</v>
      </c>
      <c r="BX145" t="s">
        <v>273</v>
      </c>
      <c r="BY145">
        <v>21.873947999999999</v>
      </c>
      <c r="BZ145">
        <v>20.724471999999999</v>
      </c>
      <c r="CA145">
        <v>25.469801</v>
      </c>
      <c r="CB145">
        <v>31.286142000000002</v>
      </c>
      <c r="CC145">
        <v>16.217739999999999</v>
      </c>
      <c r="CD145">
        <v>25.068107999999999</v>
      </c>
      <c r="CE145" t="s">
        <v>273</v>
      </c>
      <c r="CF145">
        <v>22.125814999999999</v>
      </c>
      <c r="CG145">
        <v>20.963103</v>
      </c>
      <c r="CH145">
        <v>25.763071</v>
      </c>
      <c r="CI145">
        <v>31.646384999999999</v>
      </c>
      <c r="CJ145">
        <v>16.404478000000001</v>
      </c>
      <c r="CK145">
        <v>25.356753000000001</v>
      </c>
      <c r="CL145" t="s">
        <v>273</v>
      </c>
      <c r="CM145">
        <v>391.62848400000001</v>
      </c>
      <c r="CN145">
        <v>413.35003799999998</v>
      </c>
      <c r="CO145">
        <v>336.33798100000001</v>
      </c>
      <c r="CP145">
        <v>273.81008500000002</v>
      </c>
      <c r="CQ145">
        <v>528.21549200000004</v>
      </c>
      <c r="CR145">
        <v>341.72748100000001</v>
      </c>
      <c r="CS145" t="s">
        <v>273</v>
      </c>
      <c r="CT145">
        <v>466.83625599999999</v>
      </c>
      <c r="CU145">
        <v>531.10531400000002</v>
      </c>
      <c r="CV145">
        <v>400.86929400000002</v>
      </c>
      <c r="CW145">
        <v>927.57329700000003</v>
      </c>
      <c r="CX145">
        <v>314.34319199999999</v>
      </c>
      <c r="CY145">
        <v>704.23497899999995</v>
      </c>
      <c r="CZ145" t="s">
        <v>273</v>
      </c>
      <c r="DA145">
        <v>3.6135280000000001</v>
      </c>
      <c r="DB145">
        <v>510.01</v>
      </c>
      <c r="DC145">
        <v>3.8949669999999998</v>
      </c>
      <c r="DD145">
        <v>864</v>
      </c>
      <c r="DE145">
        <v>3.613</v>
      </c>
      <c r="DF145">
        <v>505</v>
      </c>
      <c r="DG145">
        <v>10.269278999999999</v>
      </c>
      <c r="DH145">
        <v>765</v>
      </c>
      <c r="DI145">
        <v>1.80399</v>
      </c>
      <c r="DJ145">
        <v>235</v>
      </c>
      <c r="DK145">
        <v>6.2471050000000004</v>
      </c>
      <c r="DL145">
        <v>365</v>
      </c>
      <c r="DM145" t="s">
        <v>273</v>
      </c>
      <c r="DN145">
        <v>2.4334910000000001</v>
      </c>
      <c r="DO145">
        <v>4.6363640000000004</v>
      </c>
      <c r="DP145">
        <v>2.6478969999999999</v>
      </c>
      <c r="DQ145" t="s">
        <v>282</v>
      </c>
      <c r="DR145">
        <v>2.790975</v>
      </c>
      <c r="DS145">
        <v>13.061779</v>
      </c>
      <c r="DT145">
        <v>23.137015000000002</v>
      </c>
      <c r="DU145">
        <v>113.70117999999999</v>
      </c>
      <c r="DV145">
        <v>170.153043</v>
      </c>
      <c r="DW145" t="s">
        <v>283</v>
      </c>
      <c r="DX145" t="s">
        <v>273</v>
      </c>
      <c r="DY145">
        <v>20.913042999999998</v>
      </c>
      <c r="DZ145">
        <v>2.1100000000000001E-2</v>
      </c>
      <c r="EA145">
        <v>1.1332359999999999</v>
      </c>
      <c r="EB145">
        <v>0.94302200000000003</v>
      </c>
      <c r="EC145">
        <v>83.214928999999998</v>
      </c>
      <c r="ED145">
        <v>17.030349999999999</v>
      </c>
      <c r="EE145">
        <v>571.28701100000001</v>
      </c>
      <c r="EF145">
        <v>6.5141239999999998</v>
      </c>
      <c r="EG145">
        <v>16</v>
      </c>
      <c r="EH145">
        <v>16</v>
      </c>
      <c r="EI145">
        <v>16</v>
      </c>
      <c r="EJ145">
        <v>16</v>
      </c>
      <c r="EK145" t="s">
        <v>273</v>
      </c>
      <c r="EL145" t="s">
        <v>273</v>
      </c>
      <c r="EM145">
        <v>17.404883999999999</v>
      </c>
      <c r="EN145">
        <v>1.1017000000000001E-2</v>
      </c>
      <c r="EO145">
        <v>1.0729770000000001</v>
      </c>
      <c r="EP145">
        <v>0.85613499999999998</v>
      </c>
      <c r="EQ145">
        <v>79.790622999999997</v>
      </c>
      <c r="ER145">
        <v>13.241593</v>
      </c>
      <c r="ES145">
        <v>468.82867800000002</v>
      </c>
      <c r="ET145">
        <v>3.4013640000000001</v>
      </c>
      <c r="EU145">
        <v>23</v>
      </c>
      <c r="EV145">
        <v>23</v>
      </c>
      <c r="EW145">
        <v>23</v>
      </c>
      <c r="EX145">
        <v>23</v>
      </c>
      <c r="EY145" t="s">
        <v>273</v>
      </c>
      <c r="EZ145" t="s">
        <v>273</v>
      </c>
      <c r="FA145">
        <v>24.330693</v>
      </c>
      <c r="FB145">
        <v>2.1307E-2</v>
      </c>
      <c r="FC145">
        <v>1.1321289999999999</v>
      </c>
      <c r="FD145">
        <v>0.94305899999999998</v>
      </c>
      <c r="FE145">
        <v>83.299597000000006</v>
      </c>
      <c r="FF145">
        <v>19.831454999999998</v>
      </c>
      <c r="FG145">
        <v>571.33219899999995</v>
      </c>
      <c r="FH145">
        <v>6.5783079999999998</v>
      </c>
      <c r="FI145">
        <v>16</v>
      </c>
      <c r="FJ145">
        <v>16</v>
      </c>
      <c r="FK145">
        <v>16</v>
      </c>
      <c r="FL145">
        <v>16</v>
      </c>
      <c r="FM145" t="s">
        <v>273</v>
      </c>
      <c r="FN145" t="s">
        <v>273</v>
      </c>
      <c r="FO145">
        <v>26.532505</v>
      </c>
      <c r="FP145">
        <v>3.8059999999999997E-2</v>
      </c>
      <c r="FQ145">
        <v>2.8567040000000001</v>
      </c>
      <c r="FR145">
        <v>2.513919</v>
      </c>
      <c r="FS145">
        <v>88.000703999999999</v>
      </c>
      <c r="FT145">
        <v>23.191141999999999</v>
      </c>
      <c r="FU145">
        <v>543.90479900000003</v>
      </c>
      <c r="FV145">
        <v>11.750336000000001</v>
      </c>
      <c r="FW145">
        <v>7</v>
      </c>
      <c r="FX145">
        <v>7</v>
      </c>
      <c r="FY145">
        <v>7</v>
      </c>
      <c r="FZ145">
        <v>7</v>
      </c>
      <c r="GA145" t="s">
        <v>273</v>
      </c>
      <c r="GB145" t="s">
        <v>273</v>
      </c>
      <c r="GC145">
        <v>29.129791999999998</v>
      </c>
      <c r="GD145">
        <v>4.1419999999999998E-2</v>
      </c>
      <c r="GE145">
        <v>1.06287</v>
      </c>
      <c r="GF145">
        <v>0.86548099999999994</v>
      </c>
      <c r="GG145">
        <v>81.428691999999998</v>
      </c>
      <c r="GH145">
        <v>22.877786</v>
      </c>
      <c r="GI145">
        <v>1035.095442</v>
      </c>
      <c r="GJ145">
        <v>12.787789999999999</v>
      </c>
      <c r="GK145">
        <v>25</v>
      </c>
      <c r="GL145">
        <v>25</v>
      </c>
      <c r="GM145">
        <v>22</v>
      </c>
      <c r="GN145">
        <v>23</v>
      </c>
      <c r="GO145" t="s">
        <v>273</v>
      </c>
      <c r="GP145" t="s">
        <v>273</v>
      </c>
      <c r="GQ145">
        <v>30.476503000000001</v>
      </c>
      <c r="GR145">
        <v>6.8729999999999999E-2</v>
      </c>
      <c r="GS145">
        <v>2.4912740000000002</v>
      </c>
      <c r="GT145">
        <v>2.1722239999999999</v>
      </c>
      <c r="GU145">
        <v>87.193304999999995</v>
      </c>
      <c r="GV145">
        <v>26.318733999999999</v>
      </c>
      <c r="GW145">
        <v>770.36469599999998</v>
      </c>
      <c r="GX145">
        <v>21.219308000000002</v>
      </c>
      <c r="GY145">
        <v>32</v>
      </c>
      <c r="GZ145">
        <v>32</v>
      </c>
      <c r="HA145">
        <v>13</v>
      </c>
      <c r="HB145">
        <v>13</v>
      </c>
      <c r="HC145" t="s">
        <v>273</v>
      </c>
      <c r="HD145" t="s">
        <v>273</v>
      </c>
      <c r="HE145">
        <v>9</v>
      </c>
      <c r="HF145">
        <v>7.5000000000000002E-4</v>
      </c>
      <c r="HG145">
        <v>6.0000000000000001E-3</v>
      </c>
      <c r="HH145">
        <v>0.111111</v>
      </c>
      <c r="HI145">
        <v>3750</v>
      </c>
    </row>
    <row r="146" spans="1:217" x14ac:dyDescent="0.3">
      <c r="A146">
        <v>786</v>
      </c>
      <c r="B146" t="s">
        <v>269</v>
      </c>
      <c r="F146" t="s">
        <v>270</v>
      </c>
      <c r="G146" t="s">
        <v>293</v>
      </c>
      <c r="H146" t="s">
        <v>294</v>
      </c>
      <c r="I146">
        <v>4750</v>
      </c>
      <c r="J146">
        <v>1</v>
      </c>
      <c r="K146">
        <v>49.580858999999997</v>
      </c>
      <c r="L146">
        <v>0.22</v>
      </c>
      <c r="M146">
        <v>3.2039999999999999E-2</v>
      </c>
      <c r="N146">
        <v>0</v>
      </c>
      <c r="O146">
        <v>0</v>
      </c>
      <c r="P146">
        <v>0</v>
      </c>
      <c r="Q146">
        <v>18.760000000000002</v>
      </c>
      <c r="R146">
        <v>1</v>
      </c>
      <c r="S146">
        <v>1</v>
      </c>
      <c r="T146">
        <v>1</v>
      </c>
      <c r="U146">
        <v>1</v>
      </c>
      <c r="V146">
        <v>100</v>
      </c>
      <c r="W146" t="s">
        <v>273</v>
      </c>
      <c r="X146" t="s">
        <v>274</v>
      </c>
      <c r="Y146" t="s">
        <v>274</v>
      </c>
      <c r="Z146" t="s">
        <v>273</v>
      </c>
      <c r="AA146" t="s">
        <v>275</v>
      </c>
      <c r="AB146" t="s">
        <v>276</v>
      </c>
      <c r="AC146">
        <v>823</v>
      </c>
      <c r="AD146">
        <v>5</v>
      </c>
      <c r="AE146" t="s">
        <v>277</v>
      </c>
      <c r="AF146">
        <v>2.4069210000000001</v>
      </c>
      <c r="AG146">
        <v>100</v>
      </c>
      <c r="AH146">
        <v>21.7</v>
      </c>
      <c r="AI146">
        <v>1300</v>
      </c>
      <c r="AJ146">
        <v>800</v>
      </c>
      <c r="AK146">
        <v>1200</v>
      </c>
      <c r="AL146">
        <v>113.3</v>
      </c>
      <c r="AM146">
        <v>2.2000000000000002</v>
      </c>
      <c r="AN146" t="s">
        <v>273</v>
      </c>
      <c r="AO146" t="s">
        <v>278</v>
      </c>
      <c r="AP146" t="s">
        <v>297</v>
      </c>
      <c r="AQ146">
        <v>7</v>
      </c>
      <c r="AR146">
        <v>8</v>
      </c>
      <c r="AS146">
        <v>393.2</v>
      </c>
      <c r="AT146">
        <v>715.3</v>
      </c>
      <c r="AU146">
        <v>0.40698000000000001</v>
      </c>
      <c r="AV146">
        <v>37.200000000000003</v>
      </c>
      <c r="AW146">
        <v>231.7</v>
      </c>
      <c r="AX146" t="s">
        <v>280</v>
      </c>
      <c r="AY146">
        <v>0</v>
      </c>
      <c r="AZ146" t="s">
        <v>281</v>
      </c>
      <c r="BA146">
        <v>0.2</v>
      </c>
      <c r="BB146">
        <v>0.5</v>
      </c>
      <c r="BC146" t="s">
        <v>273</v>
      </c>
      <c r="BD146" t="s">
        <v>273</v>
      </c>
      <c r="BE146">
        <v>17.488623</v>
      </c>
      <c r="BF146">
        <v>17.689995</v>
      </c>
      <c r="BG146">
        <v>489.83050800000001</v>
      </c>
      <c r="BH146" t="s">
        <v>273</v>
      </c>
      <c r="BI146">
        <v>25.142073</v>
      </c>
      <c r="BJ146">
        <v>25.431570000000001</v>
      </c>
      <c r="BK146">
        <v>340.72215399999999</v>
      </c>
      <c r="BL146" t="s">
        <v>273</v>
      </c>
      <c r="BM146">
        <v>25.143263000000001</v>
      </c>
      <c r="BN146">
        <v>25.432773999999998</v>
      </c>
      <c r="BO146">
        <v>340.70602200000002</v>
      </c>
      <c r="BP146" t="s">
        <v>273</v>
      </c>
      <c r="BQ146">
        <v>18.056218000000001</v>
      </c>
      <c r="BR146">
        <v>18.264125</v>
      </c>
      <c r="BS146">
        <v>474.43275399999999</v>
      </c>
      <c r="BT146" t="s">
        <v>273</v>
      </c>
      <c r="BU146">
        <v>4.4981439999999999</v>
      </c>
      <c r="BV146">
        <v>4.549938</v>
      </c>
      <c r="BW146">
        <v>1904.4433389999999</v>
      </c>
      <c r="BX146" t="s">
        <v>273</v>
      </c>
      <c r="BY146">
        <v>17.262024</v>
      </c>
      <c r="BZ146">
        <v>16.447808999999999</v>
      </c>
      <c r="CA146">
        <v>20.091836000000001</v>
      </c>
      <c r="CB146">
        <v>25.143263000000001</v>
      </c>
      <c r="CC146">
        <v>12.853846000000001</v>
      </c>
      <c r="CD146">
        <v>20.446045999999999</v>
      </c>
      <c r="CE146" t="s">
        <v>273</v>
      </c>
      <c r="CF146">
        <v>17.460785999999999</v>
      </c>
      <c r="CG146">
        <v>16.637197</v>
      </c>
      <c r="CH146">
        <v>20.323181999999999</v>
      </c>
      <c r="CI146">
        <v>25.432773999999998</v>
      </c>
      <c r="CJ146">
        <v>13.001851</v>
      </c>
      <c r="CK146">
        <v>20.681470000000001</v>
      </c>
      <c r="CL146" t="s">
        <v>273</v>
      </c>
      <c r="CM146">
        <v>496.260536</v>
      </c>
      <c r="CN146">
        <v>520.82687999999996</v>
      </c>
      <c r="CO146">
        <v>426.36528900000002</v>
      </c>
      <c r="CP146">
        <v>340.70602200000002</v>
      </c>
      <c r="CQ146">
        <v>666.45120699999995</v>
      </c>
      <c r="CR146">
        <v>418.97887700000001</v>
      </c>
      <c r="CS146" t="s">
        <v>273</v>
      </c>
      <c r="CT146">
        <v>591.60840800000005</v>
      </c>
      <c r="CU146">
        <v>669.16770699999995</v>
      </c>
      <c r="CV146">
        <v>508.21113300000002</v>
      </c>
      <c r="CW146">
        <v>1154.1986139999999</v>
      </c>
      <c r="CX146">
        <v>396.65650099999999</v>
      </c>
      <c r="CY146">
        <v>863.47426199999995</v>
      </c>
      <c r="CZ146" t="s">
        <v>273</v>
      </c>
      <c r="DA146">
        <v>3.6138140000000001</v>
      </c>
      <c r="DB146">
        <v>510.01</v>
      </c>
      <c r="DC146">
        <v>3.8947780000000001</v>
      </c>
      <c r="DD146">
        <v>864</v>
      </c>
      <c r="DE146">
        <v>3.6132949999999999</v>
      </c>
      <c r="DF146">
        <v>505</v>
      </c>
      <c r="DG146">
        <v>10.269325</v>
      </c>
      <c r="DH146">
        <v>765</v>
      </c>
      <c r="DI146">
        <v>1.804211</v>
      </c>
      <c r="DJ146">
        <v>235</v>
      </c>
      <c r="DK146">
        <v>6.2473869999999998</v>
      </c>
      <c r="DL146">
        <v>365</v>
      </c>
      <c r="DM146" t="s">
        <v>273</v>
      </c>
      <c r="DN146">
        <v>2.511215</v>
      </c>
      <c r="DO146">
        <v>4.832999</v>
      </c>
      <c r="DP146">
        <v>2.9001860000000002</v>
      </c>
      <c r="DQ146" t="s">
        <v>282</v>
      </c>
      <c r="DR146">
        <v>3.0295800000000002</v>
      </c>
      <c r="DS146">
        <v>13.249302999999999</v>
      </c>
      <c r="DT146">
        <v>24.012066999999998</v>
      </c>
      <c r="DU146">
        <v>112.424587</v>
      </c>
      <c r="DV146">
        <v>166.27898300000001</v>
      </c>
      <c r="DW146" t="s">
        <v>283</v>
      </c>
      <c r="DX146" t="s">
        <v>273</v>
      </c>
      <c r="DY146">
        <v>21.023074000000001</v>
      </c>
      <c r="DZ146">
        <v>2.0951000000000001E-2</v>
      </c>
      <c r="EA146">
        <v>1.4436739999999999</v>
      </c>
      <c r="EB146">
        <v>1.1922470000000001</v>
      </c>
      <c r="EC146">
        <v>82.584179000000006</v>
      </c>
      <c r="ED146">
        <v>16.995087999999999</v>
      </c>
      <c r="EE146">
        <v>722.41949499999998</v>
      </c>
      <c r="EF146">
        <v>8.2380680000000002</v>
      </c>
      <c r="EG146">
        <v>12</v>
      </c>
      <c r="EH146">
        <v>12</v>
      </c>
      <c r="EI146">
        <v>12</v>
      </c>
      <c r="EJ146">
        <v>12</v>
      </c>
      <c r="EK146" t="s">
        <v>273</v>
      </c>
      <c r="EL146" t="s">
        <v>273</v>
      </c>
      <c r="EM146">
        <v>17.624245999999999</v>
      </c>
      <c r="EN146">
        <v>1.0952E-2</v>
      </c>
      <c r="EO146">
        <v>1.3689389999999999</v>
      </c>
      <c r="EP146">
        <v>1.088282</v>
      </c>
      <c r="EQ146">
        <v>79.498195999999993</v>
      </c>
      <c r="ER146">
        <v>13.306507999999999</v>
      </c>
      <c r="ES146">
        <v>593.62690799999996</v>
      </c>
      <c r="ET146">
        <v>4.3065689999999996</v>
      </c>
      <c r="EU146">
        <v>19</v>
      </c>
      <c r="EV146">
        <v>19</v>
      </c>
      <c r="EW146">
        <v>19</v>
      </c>
      <c r="EX146">
        <v>19</v>
      </c>
      <c r="EY146" t="s">
        <v>273</v>
      </c>
      <c r="EZ146" t="s">
        <v>273</v>
      </c>
      <c r="FA146">
        <v>24.447187</v>
      </c>
      <c r="FB146">
        <v>2.1156999999999999E-2</v>
      </c>
      <c r="FC146">
        <v>1.4421539999999999</v>
      </c>
      <c r="FD146">
        <v>1.1921759999999999</v>
      </c>
      <c r="FE146">
        <v>82.666297</v>
      </c>
      <c r="FF146">
        <v>19.782594</v>
      </c>
      <c r="FG146">
        <v>722.47551899999996</v>
      </c>
      <c r="FH146">
        <v>8.3192489999999992</v>
      </c>
      <c r="FI146">
        <v>12</v>
      </c>
      <c r="FJ146">
        <v>12</v>
      </c>
      <c r="FK146">
        <v>12</v>
      </c>
      <c r="FL146">
        <v>12</v>
      </c>
      <c r="FM146" t="s">
        <v>273</v>
      </c>
      <c r="FN146" t="s">
        <v>273</v>
      </c>
      <c r="FO146">
        <v>27.000544000000001</v>
      </c>
      <c r="FP146">
        <v>3.7809000000000002E-2</v>
      </c>
      <c r="FQ146">
        <v>3.6173600000000001</v>
      </c>
      <c r="FR146">
        <v>3.1795100000000001</v>
      </c>
      <c r="FS146">
        <v>87.895852000000005</v>
      </c>
      <c r="FT146">
        <v>23.580760999999999</v>
      </c>
      <c r="FU146">
        <v>688.15923799999996</v>
      </c>
      <c r="FV146">
        <v>14.866826</v>
      </c>
      <c r="FW146">
        <v>5</v>
      </c>
      <c r="FX146">
        <v>5</v>
      </c>
      <c r="FY146">
        <v>5</v>
      </c>
      <c r="FZ146">
        <v>5</v>
      </c>
      <c r="GA146" t="s">
        <v>273</v>
      </c>
      <c r="GB146" t="s">
        <v>273</v>
      </c>
      <c r="GC146">
        <v>29.582118000000001</v>
      </c>
      <c r="GD146">
        <v>4.122E-2</v>
      </c>
      <c r="GE146">
        <v>1.362017</v>
      </c>
      <c r="GF146">
        <v>1.098465</v>
      </c>
      <c r="GG146">
        <v>80.649859000000006</v>
      </c>
      <c r="GH146">
        <v>22.979814000000001</v>
      </c>
      <c r="GI146">
        <v>1311.8069049999999</v>
      </c>
      <c r="GJ146">
        <v>16.208331000000001</v>
      </c>
      <c r="GK146">
        <v>21</v>
      </c>
      <c r="GL146">
        <v>21</v>
      </c>
      <c r="GM146">
        <v>19</v>
      </c>
      <c r="GN146">
        <v>21</v>
      </c>
      <c r="GO146" t="s">
        <v>273</v>
      </c>
      <c r="GP146" t="s">
        <v>273</v>
      </c>
      <c r="GQ146">
        <v>31.530358</v>
      </c>
      <c r="GR146">
        <v>6.8431000000000006E-2</v>
      </c>
      <c r="GS146">
        <v>3.160218</v>
      </c>
      <c r="GT146">
        <v>2.7530070000000002</v>
      </c>
      <c r="GU146">
        <v>87.114464999999996</v>
      </c>
      <c r="GV146">
        <v>27.219448</v>
      </c>
      <c r="GW146">
        <v>976.83918400000005</v>
      </c>
      <c r="GX146">
        <v>26.907757</v>
      </c>
      <c r="GY146">
        <v>370</v>
      </c>
      <c r="GZ146">
        <v>370</v>
      </c>
      <c r="HA146">
        <v>16</v>
      </c>
      <c r="HB146">
        <v>17</v>
      </c>
      <c r="HC146" t="s">
        <v>273</v>
      </c>
      <c r="HD146" t="s">
        <v>273</v>
      </c>
      <c r="HE146">
        <v>9</v>
      </c>
      <c r="HF146">
        <v>7.5000000000000002E-4</v>
      </c>
      <c r="HG146">
        <v>6.0000000000000001E-3</v>
      </c>
      <c r="HH146">
        <v>0.111111</v>
      </c>
      <c r="HI146">
        <v>4750</v>
      </c>
    </row>
    <row r="147" spans="1:217" x14ac:dyDescent="0.3">
      <c r="A147">
        <v>787</v>
      </c>
      <c r="B147" t="s">
        <v>269</v>
      </c>
      <c r="F147" t="s">
        <v>270</v>
      </c>
      <c r="G147" t="s">
        <v>293</v>
      </c>
      <c r="H147" t="s">
        <v>294</v>
      </c>
      <c r="I147">
        <v>5500</v>
      </c>
      <c r="J147">
        <v>1</v>
      </c>
      <c r="K147">
        <v>57.930469000000002</v>
      </c>
      <c r="L147">
        <v>0.22</v>
      </c>
      <c r="M147">
        <v>3.7532999999999997E-2</v>
      </c>
      <c r="N147">
        <v>0</v>
      </c>
      <c r="O147">
        <v>0</v>
      </c>
      <c r="P147">
        <v>0</v>
      </c>
      <c r="Q147">
        <v>21.7</v>
      </c>
      <c r="R147">
        <v>1</v>
      </c>
      <c r="S147">
        <v>1</v>
      </c>
      <c r="T147">
        <v>1</v>
      </c>
      <c r="U147">
        <v>1</v>
      </c>
      <c r="V147">
        <v>100</v>
      </c>
      <c r="W147" t="s">
        <v>273</v>
      </c>
      <c r="X147" t="s">
        <v>274</v>
      </c>
      <c r="Y147" t="s">
        <v>274</v>
      </c>
      <c r="Z147" t="s">
        <v>273</v>
      </c>
      <c r="AA147" t="s">
        <v>275</v>
      </c>
      <c r="AB147" t="s">
        <v>276</v>
      </c>
      <c r="AC147">
        <v>469</v>
      </c>
      <c r="AD147">
        <v>5</v>
      </c>
      <c r="AE147" t="s">
        <v>277</v>
      </c>
      <c r="AF147">
        <v>2.962364</v>
      </c>
      <c r="AG147">
        <v>100</v>
      </c>
      <c r="AH147">
        <v>26.7</v>
      </c>
      <c r="AI147">
        <v>1600</v>
      </c>
      <c r="AJ147">
        <v>800</v>
      </c>
      <c r="AK147">
        <v>1200</v>
      </c>
      <c r="AL147">
        <v>150</v>
      </c>
      <c r="AM147">
        <v>2.2000000000000002</v>
      </c>
      <c r="AN147" t="s">
        <v>273</v>
      </c>
      <c r="AO147" t="s">
        <v>278</v>
      </c>
      <c r="AP147" t="s">
        <v>295</v>
      </c>
      <c r="AQ147">
        <v>4</v>
      </c>
      <c r="AR147">
        <v>8</v>
      </c>
      <c r="AS147">
        <v>224.3</v>
      </c>
      <c r="AT147">
        <v>408</v>
      </c>
      <c r="AU147">
        <v>0.23255999999999999</v>
      </c>
      <c r="AV147">
        <v>36.299999999999997</v>
      </c>
      <c r="AW147">
        <v>237</v>
      </c>
      <c r="AX147" t="s">
        <v>280</v>
      </c>
      <c r="AY147">
        <v>0</v>
      </c>
      <c r="AZ147" t="s">
        <v>281</v>
      </c>
      <c r="BA147">
        <v>0.2</v>
      </c>
      <c r="BB147">
        <v>0.5</v>
      </c>
      <c r="BC147" t="s">
        <v>273</v>
      </c>
      <c r="BD147" t="s">
        <v>273</v>
      </c>
      <c r="BE147">
        <v>19.120868000000002</v>
      </c>
      <c r="BF147">
        <v>19.341034000000001</v>
      </c>
      <c r="BG147">
        <v>448.01633399999997</v>
      </c>
      <c r="BH147" t="s">
        <v>273</v>
      </c>
      <c r="BI147">
        <v>24.957169</v>
      </c>
      <c r="BJ147">
        <v>25.244537000000001</v>
      </c>
      <c r="BK147">
        <v>343.24651599999999</v>
      </c>
      <c r="BL147" t="s">
        <v>273</v>
      </c>
      <c r="BM147">
        <v>24.958196999999998</v>
      </c>
      <c r="BN147">
        <v>25.245576</v>
      </c>
      <c r="BO147">
        <v>343.23237999999998</v>
      </c>
      <c r="BP147" t="s">
        <v>273</v>
      </c>
      <c r="BQ147">
        <v>16.328482999999999</v>
      </c>
      <c r="BR147">
        <v>16.516496</v>
      </c>
      <c r="BS147">
        <v>524.63302099999999</v>
      </c>
      <c r="BT147" t="s">
        <v>273</v>
      </c>
      <c r="BU147">
        <v>5.9582490000000004</v>
      </c>
      <c r="BV147">
        <v>6.0268550000000003</v>
      </c>
      <c r="BW147">
        <v>1437.748047</v>
      </c>
      <c r="BX147" t="s">
        <v>273</v>
      </c>
      <c r="BY147">
        <v>17.736274999999999</v>
      </c>
      <c r="BZ147">
        <v>19.012058</v>
      </c>
      <c r="CA147">
        <v>20.553632</v>
      </c>
      <c r="CB147">
        <v>24.958196999999998</v>
      </c>
      <c r="CC147">
        <v>12.241758000000001</v>
      </c>
      <c r="CD147">
        <v>18.063230999999998</v>
      </c>
      <c r="CE147" t="s">
        <v>273</v>
      </c>
      <c r="CF147">
        <v>17.940498000000002</v>
      </c>
      <c r="CG147">
        <v>19.230971</v>
      </c>
      <c r="CH147">
        <v>20.790295</v>
      </c>
      <c r="CI147">
        <v>25.245576</v>
      </c>
      <c r="CJ147">
        <v>12.382714999999999</v>
      </c>
      <c r="CK147">
        <v>18.271218999999999</v>
      </c>
      <c r="CL147" t="s">
        <v>273</v>
      </c>
      <c r="CM147">
        <v>482.991016</v>
      </c>
      <c r="CN147">
        <v>450.58042399999999</v>
      </c>
      <c r="CO147">
        <v>416.785774</v>
      </c>
      <c r="CP147">
        <v>343.23237999999998</v>
      </c>
      <c r="CQ147">
        <v>699.77379299999996</v>
      </c>
      <c r="CR147">
        <v>474.24856399999999</v>
      </c>
      <c r="CS147" t="s">
        <v>273</v>
      </c>
      <c r="CT147">
        <v>575.13565800000003</v>
      </c>
      <c r="CU147">
        <v>577.69565799999998</v>
      </c>
      <c r="CV147">
        <v>496.22307499999999</v>
      </c>
      <c r="CW147">
        <v>1162.661464</v>
      </c>
      <c r="CX147">
        <v>414.69238200000001</v>
      </c>
      <c r="CY147">
        <v>976.93368899999996</v>
      </c>
      <c r="CZ147" t="s">
        <v>273</v>
      </c>
      <c r="DA147">
        <v>3.6097109999999999</v>
      </c>
      <c r="DB147">
        <v>510.01</v>
      </c>
      <c r="DC147">
        <v>3.8865829999999999</v>
      </c>
      <c r="DD147">
        <v>864</v>
      </c>
      <c r="DE147">
        <v>3.6091519999999999</v>
      </c>
      <c r="DF147">
        <v>505</v>
      </c>
      <c r="DG147">
        <v>10.26848</v>
      </c>
      <c r="DH147">
        <v>765</v>
      </c>
      <c r="DI147">
        <v>1.796427</v>
      </c>
      <c r="DJ147">
        <v>235</v>
      </c>
      <c r="DK147">
        <v>6.2445360000000001</v>
      </c>
      <c r="DL147">
        <v>365</v>
      </c>
      <c r="DM147" t="s">
        <v>273</v>
      </c>
      <c r="DN147">
        <v>3.5845090000000002</v>
      </c>
      <c r="DO147">
        <v>8.3218060000000005</v>
      </c>
      <c r="DP147">
        <v>4.4151189999999998</v>
      </c>
      <c r="DQ147" t="s">
        <v>282</v>
      </c>
      <c r="DR147">
        <v>4.9601160000000002</v>
      </c>
      <c r="DS147">
        <v>16.599104000000001</v>
      </c>
      <c r="DT147">
        <v>34.296146</v>
      </c>
      <c r="DU147">
        <v>87.901700000000005</v>
      </c>
      <c r="DV147">
        <v>126.25985799999999</v>
      </c>
      <c r="DW147" t="s">
        <v>283</v>
      </c>
      <c r="DX147" t="s">
        <v>273</v>
      </c>
      <c r="DY147">
        <v>24.729536</v>
      </c>
      <c r="DZ147">
        <v>4.2526000000000001E-2</v>
      </c>
      <c r="EA147">
        <v>1.6509160000000001</v>
      </c>
      <c r="EB147">
        <v>1.3722529999999999</v>
      </c>
      <c r="EC147">
        <v>83.120731000000006</v>
      </c>
      <c r="ED147">
        <v>20.237719999999999</v>
      </c>
      <c r="EE147">
        <v>837.25471700000003</v>
      </c>
      <c r="EF147">
        <v>9.5367449999999998</v>
      </c>
      <c r="EG147">
        <v>26</v>
      </c>
      <c r="EH147">
        <v>26</v>
      </c>
      <c r="EI147">
        <v>23</v>
      </c>
      <c r="EJ147">
        <v>23</v>
      </c>
      <c r="EK147" t="s">
        <v>273</v>
      </c>
      <c r="EL147" t="s">
        <v>273</v>
      </c>
      <c r="EM147">
        <v>23.321539999999999</v>
      </c>
      <c r="EN147">
        <v>2.2216E-2</v>
      </c>
      <c r="EO147">
        <v>1.56385</v>
      </c>
      <c r="EP147">
        <v>1.229519</v>
      </c>
      <c r="EQ147">
        <v>78.621274</v>
      </c>
      <c r="ER147">
        <v>17.830759</v>
      </c>
      <c r="ES147">
        <v>688.17409099999998</v>
      </c>
      <c r="ET147">
        <v>4.981973</v>
      </c>
      <c r="EU147">
        <v>25</v>
      </c>
      <c r="EV147">
        <v>25</v>
      </c>
      <c r="EW147">
        <v>25</v>
      </c>
      <c r="EX147">
        <v>25</v>
      </c>
      <c r="EY147" t="s">
        <v>273</v>
      </c>
      <c r="EZ147" t="s">
        <v>273</v>
      </c>
      <c r="FA147">
        <v>28.650836999999999</v>
      </c>
      <c r="FB147">
        <v>4.2944999999999997E-2</v>
      </c>
      <c r="FC147">
        <v>1.6502619999999999</v>
      </c>
      <c r="FD147">
        <v>1.3721620000000001</v>
      </c>
      <c r="FE147">
        <v>83.148095999999995</v>
      </c>
      <c r="FF147">
        <v>23.454315999999999</v>
      </c>
      <c r="FG147">
        <v>837.32354199999997</v>
      </c>
      <c r="FH147">
        <v>9.6306589999999996</v>
      </c>
      <c r="FI147">
        <v>26</v>
      </c>
      <c r="FJ147">
        <v>26</v>
      </c>
      <c r="FK147">
        <v>23</v>
      </c>
      <c r="FL147">
        <v>23</v>
      </c>
      <c r="FM147" t="s">
        <v>273</v>
      </c>
      <c r="FN147" t="s">
        <v>273</v>
      </c>
      <c r="FO147">
        <v>30.985161999999999</v>
      </c>
      <c r="FP147">
        <v>7.6708999999999999E-2</v>
      </c>
      <c r="FQ147">
        <v>4.1816310000000003</v>
      </c>
      <c r="FR147">
        <v>3.675157</v>
      </c>
      <c r="FS147">
        <v>87.888114999999999</v>
      </c>
      <c r="FT147">
        <v>27.086780999999998</v>
      </c>
      <c r="FU147">
        <v>796.33713</v>
      </c>
      <c r="FV147">
        <v>17.202461</v>
      </c>
      <c r="FW147">
        <v>11</v>
      </c>
      <c r="FX147">
        <v>11</v>
      </c>
      <c r="FY147">
        <v>11</v>
      </c>
      <c r="FZ147">
        <v>11</v>
      </c>
      <c r="GA147" t="s">
        <v>273</v>
      </c>
      <c r="GB147" t="s">
        <v>273</v>
      </c>
      <c r="GC147">
        <v>30.738506000000001</v>
      </c>
      <c r="GD147">
        <v>8.3578E-2</v>
      </c>
      <c r="GE147">
        <v>1.479611</v>
      </c>
      <c r="GF147">
        <v>1.260543</v>
      </c>
      <c r="GG147">
        <v>85.194255999999996</v>
      </c>
      <c r="GH147">
        <v>25.417307000000001</v>
      </c>
      <c r="GI147">
        <v>1523.5045680000001</v>
      </c>
      <c r="GJ147">
        <v>18.742792999999999</v>
      </c>
      <c r="GK147">
        <v>35</v>
      </c>
      <c r="GL147">
        <v>35</v>
      </c>
      <c r="GM147">
        <v>16</v>
      </c>
      <c r="GN147">
        <v>24</v>
      </c>
      <c r="GO147" t="s">
        <v>273</v>
      </c>
      <c r="GP147" t="s">
        <v>273</v>
      </c>
      <c r="GQ147">
        <v>32.071193000000001</v>
      </c>
      <c r="GR147">
        <v>0.13880700000000001</v>
      </c>
      <c r="GS147">
        <v>3.6367959999999999</v>
      </c>
      <c r="GT147">
        <v>3.1791469999999999</v>
      </c>
      <c r="GU147">
        <v>87.416144000000003</v>
      </c>
      <c r="GV147">
        <v>27.831679999999999</v>
      </c>
      <c r="GW147">
        <v>1130.5684510000001</v>
      </c>
      <c r="GX147">
        <v>31.128133999999999</v>
      </c>
      <c r="GY147">
        <v>53</v>
      </c>
      <c r="GZ147">
        <v>53</v>
      </c>
      <c r="HA147">
        <v>37</v>
      </c>
      <c r="HB147">
        <v>39</v>
      </c>
      <c r="HC147" t="s">
        <v>273</v>
      </c>
      <c r="HD147" t="s">
        <v>273</v>
      </c>
      <c r="HE147">
        <v>18</v>
      </c>
      <c r="HF147">
        <v>7.5000000000000002E-4</v>
      </c>
      <c r="HG147">
        <v>6.0000000000000001E-3</v>
      </c>
      <c r="HH147">
        <v>5.5556000000000001E-2</v>
      </c>
      <c r="HI147">
        <v>5500</v>
      </c>
    </row>
    <row r="148" spans="1:217" x14ac:dyDescent="0.3">
      <c r="A148">
        <v>804</v>
      </c>
      <c r="B148" t="s">
        <v>269</v>
      </c>
      <c r="F148" t="s">
        <v>270</v>
      </c>
      <c r="G148" t="s">
        <v>293</v>
      </c>
      <c r="H148" t="s">
        <v>294</v>
      </c>
      <c r="I148">
        <v>4750</v>
      </c>
      <c r="J148">
        <v>1</v>
      </c>
      <c r="K148">
        <v>42.158983999999997</v>
      </c>
      <c r="L148">
        <v>0.22</v>
      </c>
      <c r="M148">
        <v>5.0595000000000001E-2</v>
      </c>
      <c r="N148">
        <v>0</v>
      </c>
      <c r="O148">
        <v>0</v>
      </c>
      <c r="P148">
        <v>0</v>
      </c>
      <c r="Q148">
        <v>23.95</v>
      </c>
      <c r="R148">
        <v>1</v>
      </c>
      <c r="S148">
        <v>1</v>
      </c>
      <c r="T148">
        <v>1</v>
      </c>
      <c r="U148">
        <v>1</v>
      </c>
      <c r="V148">
        <v>100</v>
      </c>
      <c r="W148" t="s">
        <v>273</v>
      </c>
      <c r="X148" t="s">
        <v>274</v>
      </c>
      <c r="Y148" t="s">
        <v>274</v>
      </c>
      <c r="Z148" t="s">
        <v>273</v>
      </c>
      <c r="AA148" t="s">
        <v>275</v>
      </c>
      <c r="AB148" t="s">
        <v>276</v>
      </c>
      <c r="AC148">
        <v>823</v>
      </c>
      <c r="AD148">
        <v>5</v>
      </c>
      <c r="AE148" t="s">
        <v>277</v>
      </c>
      <c r="AF148">
        <v>2.4069210000000001</v>
      </c>
      <c r="AG148">
        <v>100</v>
      </c>
      <c r="AH148">
        <v>21.7</v>
      </c>
      <c r="AI148">
        <v>1300</v>
      </c>
      <c r="AJ148">
        <v>800</v>
      </c>
      <c r="AK148">
        <v>1200</v>
      </c>
      <c r="AL148">
        <v>113.3</v>
      </c>
      <c r="AM148">
        <v>2.2000000000000002</v>
      </c>
      <c r="AN148" t="s">
        <v>273</v>
      </c>
      <c r="AO148" t="s">
        <v>278</v>
      </c>
      <c r="AP148" t="s">
        <v>297</v>
      </c>
      <c r="AQ148">
        <v>7</v>
      </c>
      <c r="AR148">
        <v>8</v>
      </c>
      <c r="AS148">
        <v>393.2</v>
      </c>
      <c r="AT148">
        <v>715.3</v>
      </c>
      <c r="AU148">
        <v>0.40698000000000001</v>
      </c>
      <c r="AV148">
        <v>37.200000000000003</v>
      </c>
      <c r="AW148">
        <v>231.7</v>
      </c>
      <c r="AX148" t="s">
        <v>280</v>
      </c>
      <c r="AY148">
        <v>0</v>
      </c>
      <c r="AZ148" t="s">
        <v>281</v>
      </c>
      <c r="BA148">
        <v>0.2</v>
      </c>
      <c r="BB148">
        <v>0.5</v>
      </c>
      <c r="BC148" t="s">
        <v>273</v>
      </c>
      <c r="BD148" t="s">
        <v>273</v>
      </c>
      <c r="BE148">
        <v>16.853390999999998</v>
      </c>
      <c r="BF148">
        <v>17.047447999999999</v>
      </c>
      <c r="BG148">
        <v>508.29304300000001</v>
      </c>
      <c r="BH148" t="s">
        <v>273</v>
      </c>
      <c r="BI148">
        <v>21.72711</v>
      </c>
      <c r="BJ148">
        <v>21.977284999999998</v>
      </c>
      <c r="BK148">
        <v>394.27523600000001</v>
      </c>
      <c r="BL148" t="s">
        <v>273</v>
      </c>
      <c r="BM148">
        <v>21.727889999999999</v>
      </c>
      <c r="BN148">
        <v>21.978073999999999</v>
      </c>
      <c r="BO148">
        <v>394.26108099999999</v>
      </c>
      <c r="BP148" t="s">
        <v>273</v>
      </c>
      <c r="BQ148">
        <v>14.858809000000001</v>
      </c>
      <c r="BR148">
        <v>15.0299</v>
      </c>
      <c r="BS148">
        <v>576.52406900000005</v>
      </c>
      <c r="BT148" t="s">
        <v>273</v>
      </c>
      <c r="BU148">
        <v>4.2992670000000004</v>
      </c>
      <c r="BV148">
        <v>4.3487710000000002</v>
      </c>
      <c r="BW148">
        <v>1992.539779</v>
      </c>
      <c r="BX148" t="s">
        <v>273</v>
      </c>
      <c r="BY148">
        <v>16.111857000000001</v>
      </c>
      <c r="BZ148">
        <v>16.286639999999998</v>
      </c>
      <c r="CA148">
        <v>18.737154</v>
      </c>
      <c r="CB148">
        <v>21.727889999999999</v>
      </c>
      <c r="CC148">
        <v>11.983471</v>
      </c>
      <c r="CD148">
        <v>15.964759000000001</v>
      </c>
      <c r="CE148" t="s">
        <v>273</v>
      </c>
      <c r="CF148">
        <v>16.297376</v>
      </c>
      <c r="CG148">
        <v>16.474171999999999</v>
      </c>
      <c r="CH148">
        <v>18.952902000000002</v>
      </c>
      <c r="CI148">
        <v>21.978073999999999</v>
      </c>
      <c r="CJ148">
        <v>12.121454</v>
      </c>
      <c r="CK148">
        <v>16.148584</v>
      </c>
      <c r="CL148" t="s">
        <v>273</v>
      </c>
      <c r="CM148">
        <v>531.68678599999998</v>
      </c>
      <c r="CN148">
        <v>525.98087799999996</v>
      </c>
      <c r="CO148">
        <v>457.19116200000002</v>
      </c>
      <c r="CP148">
        <v>394.26108099999999</v>
      </c>
      <c r="CQ148">
        <v>714.85639800000001</v>
      </c>
      <c r="CR148">
        <v>536.58568300000002</v>
      </c>
      <c r="CS148" t="s">
        <v>273</v>
      </c>
      <c r="CT148">
        <v>633.77141500000005</v>
      </c>
      <c r="CU148">
        <v>675.81561599999998</v>
      </c>
      <c r="CV148">
        <v>544.89445799999999</v>
      </c>
      <c r="CW148">
        <v>1335.5834809999999</v>
      </c>
      <c r="CX148">
        <v>425.26817899999998</v>
      </c>
      <c r="CY148">
        <v>1105.64662</v>
      </c>
      <c r="CZ148" t="s">
        <v>273</v>
      </c>
      <c r="DA148">
        <v>3.613416</v>
      </c>
      <c r="DB148">
        <v>510.01</v>
      </c>
      <c r="DC148">
        <v>3.8949280000000002</v>
      </c>
      <c r="DD148">
        <v>864</v>
      </c>
      <c r="DE148">
        <v>3.6128979999999999</v>
      </c>
      <c r="DF148">
        <v>505</v>
      </c>
      <c r="DG148">
        <v>10.269003</v>
      </c>
      <c r="DH148">
        <v>765</v>
      </c>
      <c r="DI148">
        <v>1.803372</v>
      </c>
      <c r="DJ148">
        <v>235</v>
      </c>
      <c r="DK148">
        <v>6.2462359999999997</v>
      </c>
      <c r="DL148">
        <v>365</v>
      </c>
      <c r="DM148" t="s">
        <v>273</v>
      </c>
      <c r="DN148">
        <v>2.5108079999999999</v>
      </c>
      <c r="DO148">
        <v>4.8700869999999998</v>
      </c>
      <c r="DP148">
        <v>2.9275479999999998</v>
      </c>
      <c r="DQ148" t="s">
        <v>282</v>
      </c>
      <c r="DR148">
        <v>3.1099830000000002</v>
      </c>
      <c r="DS148">
        <v>13.403601</v>
      </c>
      <c r="DT148">
        <v>24.311219000000001</v>
      </c>
      <c r="DU148">
        <v>108.61417400000001</v>
      </c>
      <c r="DV148">
        <v>136.287869</v>
      </c>
      <c r="DW148" t="s">
        <v>283</v>
      </c>
      <c r="DX148" t="s">
        <v>273</v>
      </c>
      <c r="DY148">
        <v>21.999987999999998</v>
      </c>
      <c r="DZ148">
        <v>2.3678999999999999E-2</v>
      </c>
      <c r="EA148">
        <v>1.6184289999999999</v>
      </c>
      <c r="EB148">
        <v>1.3439700000000001</v>
      </c>
      <c r="EC148">
        <v>83.041593000000006</v>
      </c>
      <c r="ED148">
        <v>17.930263</v>
      </c>
      <c r="EE148">
        <v>816.58040900000003</v>
      </c>
      <c r="EF148">
        <v>9.3108020000000007</v>
      </c>
      <c r="EG148">
        <v>11</v>
      </c>
      <c r="EH148">
        <v>11</v>
      </c>
      <c r="EI148">
        <v>11</v>
      </c>
      <c r="EJ148">
        <v>11</v>
      </c>
      <c r="EK148" t="s">
        <v>273</v>
      </c>
      <c r="EL148" t="s">
        <v>273</v>
      </c>
      <c r="EM148">
        <v>17.774055000000001</v>
      </c>
      <c r="EN148">
        <v>1.1176999999999999E-2</v>
      </c>
      <c r="EO148">
        <v>1.3942909999999999</v>
      </c>
      <c r="EP148">
        <v>1.1094200000000001</v>
      </c>
      <c r="EQ148">
        <v>79.568719999999999</v>
      </c>
      <c r="ER148">
        <v>13.446471000000001</v>
      </c>
      <c r="ES148">
        <v>605.80575199999998</v>
      </c>
      <c r="ET148">
        <v>4.395092</v>
      </c>
      <c r="EU148">
        <v>19</v>
      </c>
      <c r="EV148">
        <v>19</v>
      </c>
      <c r="EW148">
        <v>19</v>
      </c>
      <c r="EX148">
        <v>19</v>
      </c>
      <c r="EY148" t="s">
        <v>273</v>
      </c>
      <c r="EZ148" t="s">
        <v>273</v>
      </c>
      <c r="FA148">
        <v>25.564640000000001</v>
      </c>
      <c r="FB148">
        <v>2.3911999999999999E-2</v>
      </c>
      <c r="FC148">
        <v>1.6169279999999999</v>
      </c>
      <c r="FD148">
        <v>1.3439019999999999</v>
      </c>
      <c r="FE148">
        <v>83.114514</v>
      </c>
      <c r="FF148">
        <v>20.853477000000002</v>
      </c>
      <c r="FG148">
        <v>816.64735599999995</v>
      </c>
      <c r="FH148">
        <v>9.4025960000000008</v>
      </c>
      <c r="FI148">
        <v>11</v>
      </c>
      <c r="FJ148">
        <v>11</v>
      </c>
      <c r="FK148">
        <v>11</v>
      </c>
      <c r="FL148">
        <v>11</v>
      </c>
      <c r="FM148" t="s">
        <v>273</v>
      </c>
      <c r="FN148" t="s">
        <v>273</v>
      </c>
      <c r="FO148">
        <v>29.163374000000001</v>
      </c>
      <c r="FP148">
        <v>4.7364999999999997E-2</v>
      </c>
      <c r="FQ148">
        <v>4.5211350000000001</v>
      </c>
      <c r="FR148">
        <v>3.9788649999999999</v>
      </c>
      <c r="FS148">
        <v>88.005874000000006</v>
      </c>
      <c r="FT148">
        <v>25.528706</v>
      </c>
      <c r="FU148">
        <v>862.11250399999994</v>
      </c>
      <c r="FV148">
        <v>18.624286999999999</v>
      </c>
      <c r="FW148">
        <v>5</v>
      </c>
      <c r="FX148">
        <v>5</v>
      </c>
      <c r="FY148">
        <v>5</v>
      </c>
      <c r="FZ148">
        <v>5</v>
      </c>
      <c r="GA148" t="s">
        <v>273</v>
      </c>
      <c r="GB148" t="s">
        <v>273</v>
      </c>
      <c r="GC148">
        <v>29.8065</v>
      </c>
      <c r="GD148">
        <v>4.4302000000000001E-2</v>
      </c>
      <c r="GE148">
        <v>1.471338</v>
      </c>
      <c r="GF148">
        <v>1.177224</v>
      </c>
      <c r="GG148">
        <v>80.010447999999997</v>
      </c>
      <c r="GH148">
        <v>23.035952999999999</v>
      </c>
      <c r="GI148">
        <v>1410.5230509999999</v>
      </c>
      <c r="GJ148">
        <v>17.419930999999998</v>
      </c>
      <c r="GK148">
        <v>22</v>
      </c>
      <c r="GL148">
        <v>22</v>
      </c>
      <c r="GM148">
        <v>20</v>
      </c>
      <c r="GN148">
        <v>22</v>
      </c>
      <c r="GO148" t="s">
        <v>273</v>
      </c>
      <c r="GP148" t="s">
        <v>273</v>
      </c>
      <c r="GQ148">
        <v>32.193891000000001</v>
      </c>
      <c r="GR148">
        <v>8.9931999999999998E-2</v>
      </c>
      <c r="GS148">
        <v>4.131697</v>
      </c>
      <c r="GT148">
        <v>3.6099869999999998</v>
      </c>
      <c r="GU148">
        <v>87.372984000000002</v>
      </c>
      <c r="GV148">
        <v>27.936644999999999</v>
      </c>
      <c r="GW148">
        <v>1283.9992360000001</v>
      </c>
      <c r="GX148">
        <v>35.362192999999998</v>
      </c>
      <c r="GY148">
        <v>127</v>
      </c>
      <c r="GZ148">
        <v>127</v>
      </c>
      <c r="HA148">
        <v>37</v>
      </c>
      <c r="HB148">
        <v>38</v>
      </c>
      <c r="HC148" t="s">
        <v>273</v>
      </c>
      <c r="HD148" t="s">
        <v>273</v>
      </c>
      <c r="HE148">
        <v>9</v>
      </c>
      <c r="HF148">
        <v>7.5000000000000002E-4</v>
      </c>
      <c r="HG148">
        <v>8.0000000000000002E-3</v>
      </c>
      <c r="HH148">
        <v>0.111111</v>
      </c>
      <c r="HI148">
        <v>4750</v>
      </c>
    </row>
    <row r="149" spans="1:217" x14ac:dyDescent="0.3">
      <c r="A149">
        <v>805</v>
      </c>
      <c r="B149" t="s">
        <v>269</v>
      </c>
      <c r="F149" t="s">
        <v>270</v>
      </c>
      <c r="G149" t="s">
        <v>293</v>
      </c>
      <c r="H149" t="s">
        <v>294</v>
      </c>
      <c r="I149">
        <v>5500</v>
      </c>
      <c r="J149">
        <v>1</v>
      </c>
      <c r="K149">
        <v>49.336719000000002</v>
      </c>
      <c r="L149">
        <v>0.22</v>
      </c>
      <c r="M149">
        <v>5.9018000000000001E-2</v>
      </c>
      <c r="N149">
        <v>0</v>
      </c>
      <c r="O149">
        <v>0</v>
      </c>
      <c r="P149">
        <v>0</v>
      </c>
      <c r="Q149">
        <v>27.72</v>
      </c>
      <c r="R149">
        <v>1</v>
      </c>
      <c r="S149">
        <v>1</v>
      </c>
      <c r="T149">
        <v>1</v>
      </c>
      <c r="U149">
        <v>1</v>
      </c>
      <c r="V149">
        <v>100</v>
      </c>
      <c r="W149" t="s">
        <v>273</v>
      </c>
      <c r="X149" t="s">
        <v>274</v>
      </c>
      <c r="Y149" t="s">
        <v>274</v>
      </c>
      <c r="Z149" t="s">
        <v>273</v>
      </c>
      <c r="AA149" t="s">
        <v>275</v>
      </c>
      <c r="AB149" t="s">
        <v>276</v>
      </c>
      <c r="AC149">
        <v>469</v>
      </c>
      <c r="AD149">
        <v>5</v>
      </c>
      <c r="AE149" t="s">
        <v>277</v>
      </c>
      <c r="AF149">
        <v>2.962364</v>
      </c>
      <c r="AG149">
        <v>100</v>
      </c>
      <c r="AH149">
        <v>26.7</v>
      </c>
      <c r="AI149">
        <v>1600</v>
      </c>
      <c r="AJ149">
        <v>800</v>
      </c>
      <c r="AK149">
        <v>1200</v>
      </c>
      <c r="AL149">
        <v>150</v>
      </c>
      <c r="AM149">
        <v>2.2000000000000002</v>
      </c>
      <c r="AN149" t="s">
        <v>273</v>
      </c>
      <c r="AO149" t="s">
        <v>278</v>
      </c>
      <c r="AP149" t="s">
        <v>295</v>
      </c>
      <c r="AQ149">
        <v>4</v>
      </c>
      <c r="AR149">
        <v>8</v>
      </c>
      <c r="AS149">
        <v>224.3</v>
      </c>
      <c r="AT149">
        <v>408</v>
      </c>
      <c r="AU149">
        <v>0.23255999999999999</v>
      </c>
      <c r="AV149">
        <v>36.299999999999997</v>
      </c>
      <c r="AW149">
        <v>237</v>
      </c>
      <c r="AX149" t="s">
        <v>280</v>
      </c>
      <c r="AY149">
        <v>0</v>
      </c>
      <c r="AZ149" t="s">
        <v>281</v>
      </c>
      <c r="BA149">
        <v>0.2</v>
      </c>
      <c r="BB149">
        <v>0.5</v>
      </c>
      <c r="BC149" t="s">
        <v>273</v>
      </c>
      <c r="BD149" t="s">
        <v>273</v>
      </c>
      <c r="BE149">
        <v>18.166996999999999</v>
      </c>
      <c r="BF149">
        <v>18.376179</v>
      </c>
      <c r="BG149">
        <v>471.539761</v>
      </c>
      <c r="BH149" t="s">
        <v>273</v>
      </c>
      <c r="BI149">
        <v>20.383351000000001</v>
      </c>
      <c r="BJ149">
        <v>20.618054000000001</v>
      </c>
      <c r="BK149">
        <v>420.26756899999998</v>
      </c>
      <c r="BL149" t="s">
        <v>273</v>
      </c>
      <c r="BM149">
        <v>20.384108999999999</v>
      </c>
      <c r="BN149">
        <v>20.618819999999999</v>
      </c>
      <c r="BO149">
        <v>420.251938</v>
      </c>
      <c r="BP149" t="s">
        <v>273</v>
      </c>
      <c r="BQ149">
        <v>13.354348999999999</v>
      </c>
      <c r="BR149">
        <v>13.508117</v>
      </c>
      <c r="BS149">
        <v>641.47350700000004</v>
      </c>
      <c r="BT149" t="s">
        <v>273</v>
      </c>
      <c r="BU149">
        <v>5.2665360000000003</v>
      </c>
      <c r="BV149">
        <v>5.3271769999999998</v>
      </c>
      <c r="BW149">
        <v>1626.583709</v>
      </c>
      <c r="BX149" t="s">
        <v>273</v>
      </c>
      <c r="BY149">
        <v>16.198702000000001</v>
      </c>
      <c r="BZ149">
        <v>18.764030000000002</v>
      </c>
      <c r="CA149">
        <v>18.758918999999999</v>
      </c>
      <c r="CB149">
        <v>20.384108999999999</v>
      </c>
      <c r="CC149">
        <v>11.499354</v>
      </c>
      <c r="CD149">
        <v>14.004020000000001</v>
      </c>
      <c r="CE149" t="s">
        <v>273</v>
      </c>
      <c r="CF149">
        <v>16.385221000000001</v>
      </c>
      <c r="CG149">
        <v>18.980087999999999</v>
      </c>
      <c r="CH149">
        <v>18.974917000000001</v>
      </c>
      <c r="CI149">
        <v>20.618819999999999</v>
      </c>
      <c r="CJ149">
        <v>11.631762999999999</v>
      </c>
      <c r="CK149">
        <v>14.165269</v>
      </c>
      <c r="CL149" t="s">
        <v>273</v>
      </c>
      <c r="CM149">
        <v>528.83628699999997</v>
      </c>
      <c r="CN149">
        <v>456.53631300000001</v>
      </c>
      <c r="CO149">
        <v>456.66071199999999</v>
      </c>
      <c r="CP149">
        <v>420.251938</v>
      </c>
      <c r="CQ149">
        <v>744.95151799999996</v>
      </c>
      <c r="CR149">
        <v>611.71442000000002</v>
      </c>
      <c r="CS149" t="s">
        <v>273</v>
      </c>
      <c r="CT149">
        <v>629.64895999999999</v>
      </c>
      <c r="CU149">
        <v>585.338708</v>
      </c>
      <c r="CV149">
        <v>543.63073199999997</v>
      </c>
      <c r="CW149">
        <v>1423.4498329999999</v>
      </c>
      <c r="CX149">
        <v>441.23648300000002</v>
      </c>
      <c r="CY149">
        <v>1259.8550729999999</v>
      </c>
      <c r="CZ149" t="s">
        <v>273</v>
      </c>
      <c r="DA149">
        <v>3.6092620000000002</v>
      </c>
      <c r="DB149">
        <v>510.01</v>
      </c>
      <c r="DC149">
        <v>3.8866290000000001</v>
      </c>
      <c r="DD149">
        <v>864</v>
      </c>
      <c r="DE149">
        <v>3.6087060000000002</v>
      </c>
      <c r="DF149">
        <v>505</v>
      </c>
      <c r="DG149">
        <v>10.267709999999999</v>
      </c>
      <c r="DH149">
        <v>765</v>
      </c>
      <c r="DI149">
        <v>1.795496</v>
      </c>
      <c r="DJ149">
        <v>235</v>
      </c>
      <c r="DK149">
        <v>6.2432829999999999</v>
      </c>
      <c r="DL149">
        <v>365</v>
      </c>
      <c r="DM149" t="s">
        <v>273</v>
      </c>
      <c r="DN149">
        <v>3.5835439999999998</v>
      </c>
      <c r="DO149">
        <v>8.4599580000000003</v>
      </c>
      <c r="DP149">
        <v>4.4918529999999999</v>
      </c>
      <c r="DQ149" t="s">
        <v>282</v>
      </c>
      <c r="DR149">
        <v>5.2108090000000002</v>
      </c>
      <c r="DS149">
        <v>16.783411999999998</v>
      </c>
      <c r="DT149">
        <v>34.946032000000002</v>
      </c>
      <c r="DU149">
        <v>84.988828999999996</v>
      </c>
      <c r="DV149">
        <v>110.71329900000001</v>
      </c>
      <c r="DW149" t="s">
        <v>283</v>
      </c>
      <c r="DX149" t="s">
        <v>273</v>
      </c>
      <c r="DY149">
        <v>25.357019999999999</v>
      </c>
      <c r="DZ149">
        <v>4.8090000000000001E-2</v>
      </c>
      <c r="EA149">
        <v>1.853256</v>
      </c>
      <c r="EB149">
        <v>1.5492919999999999</v>
      </c>
      <c r="EC149">
        <v>83.598365000000001</v>
      </c>
      <c r="ED149">
        <v>20.904125000000001</v>
      </c>
      <c r="EE149">
        <v>946.91389000000004</v>
      </c>
      <c r="EF149">
        <v>10.784476</v>
      </c>
      <c r="EG149">
        <v>25</v>
      </c>
      <c r="EH149">
        <v>25</v>
      </c>
      <c r="EI149">
        <v>23</v>
      </c>
      <c r="EJ149">
        <v>24</v>
      </c>
      <c r="EK149" t="s">
        <v>273</v>
      </c>
      <c r="EL149" t="s">
        <v>273</v>
      </c>
      <c r="EM149">
        <v>23.453620999999998</v>
      </c>
      <c r="EN149">
        <v>2.2672999999999999E-2</v>
      </c>
      <c r="EO149">
        <v>1.5935140000000001</v>
      </c>
      <c r="EP149">
        <v>1.2537020000000001</v>
      </c>
      <c r="EQ149">
        <v>78.675301000000005</v>
      </c>
      <c r="ER149">
        <v>17.959861</v>
      </c>
      <c r="ES149">
        <v>702.31920000000002</v>
      </c>
      <c r="ET149">
        <v>5.084435</v>
      </c>
      <c r="EU149">
        <v>25</v>
      </c>
      <c r="EV149">
        <v>25</v>
      </c>
      <c r="EW149">
        <v>25</v>
      </c>
      <c r="EX149">
        <v>25</v>
      </c>
      <c r="EY149" t="s">
        <v>273</v>
      </c>
      <c r="EZ149" t="s">
        <v>273</v>
      </c>
      <c r="FA149">
        <v>29.357869999999998</v>
      </c>
      <c r="FB149">
        <v>4.8564999999999997E-2</v>
      </c>
      <c r="FC149">
        <v>1.852538</v>
      </c>
      <c r="FD149">
        <v>1.5492060000000001</v>
      </c>
      <c r="FE149">
        <v>83.626113000000004</v>
      </c>
      <c r="FF149">
        <v>24.210343000000002</v>
      </c>
      <c r="FG149">
        <v>947.00577199999998</v>
      </c>
      <c r="FH149">
        <v>10.890846</v>
      </c>
      <c r="FI149">
        <v>25</v>
      </c>
      <c r="FJ149">
        <v>25</v>
      </c>
      <c r="FK149">
        <v>23</v>
      </c>
      <c r="FL149">
        <v>24</v>
      </c>
      <c r="FM149" t="s">
        <v>273</v>
      </c>
      <c r="FN149" t="s">
        <v>273</v>
      </c>
      <c r="FO149">
        <v>31.700711999999999</v>
      </c>
      <c r="FP149">
        <v>9.6117999999999995E-2</v>
      </c>
      <c r="FQ149">
        <v>5.2378119999999999</v>
      </c>
      <c r="FR149">
        <v>4.6015870000000003</v>
      </c>
      <c r="FS149">
        <v>87.853227000000004</v>
      </c>
      <c r="FT149">
        <v>27.722093000000001</v>
      </c>
      <c r="FU149">
        <v>997.90014099999996</v>
      </c>
      <c r="FV149">
        <v>21.555004</v>
      </c>
      <c r="FW149">
        <v>16</v>
      </c>
      <c r="FX149">
        <v>16</v>
      </c>
      <c r="FY149">
        <v>15</v>
      </c>
      <c r="FZ149">
        <v>14</v>
      </c>
      <c r="GA149" t="s">
        <v>273</v>
      </c>
      <c r="GB149" t="s">
        <v>273</v>
      </c>
      <c r="GC149">
        <v>30.912472000000001</v>
      </c>
      <c r="GD149">
        <v>8.9730000000000004E-2</v>
      </c>
      <c r="GE149">
        <v>1.583229</v>
      </c>
      <c r="GF149">
        <v>1.3512090000000001</v>
      </c>
      <c r="GG149">
        <v>85.345151000000001</v>
      </c>
      <c r="GH149">
        <v>25.646460999999999</v>
      </c>
      <c r="GI149">
        <v>1636.487095</v>
      </c>
      <c r="GJ149">
        <v>20.122325</v>
      </c>
      <c r="GK149">
        <v>36</v>
      </c>
      <c r="GL149">
        <v>36</v>
      </c>
      <c r="GM149">
        <v>16</v>
      </c>
      <c r="GN149">
        <v>26</v>
      </c>
      <c r="GO149" t="s">
        <v>273</v>
      </c>
      <c r="GP149" t="s">
        <v>273</v>
      </c>
      <c r="GQ149">
        <v>32.712529000000004</v>
      </c>
      <c r="GR149">
        <v>0.182423</v>
      </c>
      <c r="GS149">
        <v>4.7838039999999999</v>
      </c>
      <c r="GT149">
        <v>4.1735620000000004</v>
      </c>
      <c r="GU149">
        <v>87.243572</v>
      </c>
      <c r="GV149">
        <v>28.363063</v>
      </c>
      <c r="GW149">
        <v>1486.117808</v>
      </c>
      <c r="GX149">
        <v>40.909320999999998</v>
      </c>
      <c r="GY149">
        <v>68</v>
      </c>
      <c r="GZ149">
        <v>68</v>
      </c>
      <c r="HA149">
        <v>47</v>
      </c>
      <c r="HB149">
        <v>48</v>
      </c>
      <c r="HC149" t="s">
        <v>273</v>
      </c>
      <c r="HD149" t="s">
        <v>273</v>
      </c>
      <c r="HE149">
        <v>18</v>
      </c>
      <c r="HF149">
        <v>7.5000000000000002E-4</v>
      </c>
      <c r="HG149">
        <v>8.0000000000000002E-3</v>
      </c>
      <c r="HH149">
        <v>5.5556000000000001E-2</v>
      </c>
      <c r="HI149">
        <v>5500</v>
      </c>
    </row>
    <row r="150" spans="1:217" x14ac:dyDescent="0.3">
      <c r="A150">
        <v>819</v>
      </c>
      <c r="B150" t="s">
        <v>269</v>
      </c>
      <c r="F150" t="s">
        <v>270</v>
      </c>
      <c r="G150" t="s">
        <v>293</v>
      </c>
      <c r="H150" t="s">
        <v>294</v>
      </c>
      <c r="I150">
        <v>4000</v>
      </c>
      <c r="J150">
        <v>1</v>
      </c>
      <c r="K150">
        <v>65.45</v>
      </c>
      <c r="L150">
        <v>0.22</v>
      </c>
      <c r="M150">
        <v>1.2874999999999999E-2</v>
      </c>
      <c r="N150">
        <v>0</v>
      </c>
      <c r="O150">
        <v>0</v>
      </c>
      <c r="P150">
        <v>0</v>
      </c>
      <c r="Q150">
        <v>14.49</v>
      </c>
      <c r="R150">
        <v>1</v>
      </c>
      <c r="S150">
        <v>1</v>
      </c>
      <c r="T150">
        <v>1</v>
      </c>
      <c r="U150">
        <v>1</v>
      </c>
      <c r="V150">
        <v>100</v>
      </c>
      <c r="W150" t="s">
        <v>273</v>
      </c>
      <c r="X150" t="s">
        <v>274</v>
      </c>
      <c r="Y150" t="s">
        <v>274</v>
      </c>
      <c r="Z150" t="s">
        <v>273</v>
      </c>
      <c r="AA150" t="s">
        <v>275</v>
      </c>
      <c r="AB150" t="s">
        <v>276</v>
      </c>
      <c r="AC150">
        <v>823</v>
      </c>
      <c r="AD150">
        <v>5</v>
      </c>
      <c r="AE150" t="s">
        <v>277</v>
      </c>
      <c r="AF150">
        <v>2.4069210000000001</v>
      </c>
      <c r="AG150">
        <v>100</v>
      </c>
      <c r="AH150">
        <v>21.7</v>
      </c>
      <c r="AI150">
        <v>1300</v>
      </c>
      <c r="AJ150">
        <v>800</v>
      </c>
      <c r="AK150">
        <v>1200</v>
      </c>
      <c r="AL150">
        <v>113.3</v>
      </c>
      <c r="AM150">
        <v>2.2000000000000002</v>
      </c>
      <c r="AN150" t="s">
        <v>273</v>
      </c>
      <c r="AO150" t="s">
        <v>278</v>
      </c>
      <c r="AP150" t="s">
        <v>297</v>
      </c>
      <c r="AQ150">
        <v>7</v>
      </c>
      <c r="AR150">
        <v>8</v>
      </c>
      <c r="AS150">
        <v>393.2</v>
      </c>
      <c r="AT150">
        <v>715.3</v>
      </c>
      <c r="AU150">
        <v>0.40698000000000001</v>
      </c>
      <c r="AV150">
        <v>37.200000000000003</v>
      </c>
      <c r="AW150">
        <v>231.7</v>
      </c>
      <c r="AX150" t="s">
        <v>280</v>
      </c>
      <c r="AY150">
        <v>0</v>
      </c>
      <c r="AZ150" t="s">
        <v>281</v>
      </c>
      <c r="BA150">
        <v>0.2</v>
      </c>
      <c r="BB150">
        <v>0.5</v>
      </c>
      <c r="BC150" t="s">
        <v>273</v>
      </c>
      <c r="BD150" t="s">
        <v>273</v>
      </c>
      <c r="BE150">
        <v>18.459275000000002</v>
      </c>
      <c r="BF150">
        <v>18.671823</v>
      </c>
      <c r="BG150">
        <v>464.07355000000001</v>
      </c>
      <c r="BH150" t="s">
        <v>273</v>
      </c>
      <c r="BI150">
        <v>29.159241000000002</v>
      </c>
      <c r="BJ150">
        <v>29.494993000000001</v>
      </c>
      <c r="BK150">
        <v>293.782039</v>
      </c>
      <c r="BL150" t="s">
        <v>273</v>
      </c>
      <c r="BM150">
        <v>29.160819</v>
      </c>
      <c r="BN150">
        <v>29.496590000000001</v>
      </c>
      <c r="BO150">
        <v>293.76613600000002</v>
      </c>
      <c r="BP150" t="s">
        <v>273</v>
      </c>
      <c r="BQ150">
        <v>23.009495000000001</v>
      </c>
      <c r="BR150">
        <v>23.274436000000001</v>
      </c>
      <c r="BS150">
        <v>372.30114400000002</v>
      </c>
      <c r="BT150" t="s">
        <v>273</v>
      </c>
      <c r="BU150">
        <v>5.4639170000000004</v>
      </c>
      <c r="BV150">
        <v>5.5268309999999996</v>
      </c>
      <c r="BW150">
        <v>1567.824265</v>
      </c>
      <c r="BX150" t="s">
        <v>273</v>
      </c>
      <c r="BY150">
        <v>18.994786999999999</v>
      </c>
      <c r="BZ150">
        <v>16.795968999999999</v>
      </c>
      <c r="CA150">
        <v>22.132518999999998</v>
      </c>
      <c r="CB150">
        <v>29.160819</v>
      </c>
      <c r="CC150">
        <v>14.990460000000001</v>
      </c>
      <c r="CD150">
        <v>27.215036999999999</v>
      </c>
      <c r="CE150" t="s">
        <v>273</v>
      </c>
      <c r="CF150">
        <v>19.213501000000001</v>
      </c>
      <c r="CG150">
        <v>16.989364999999999</v>
      </c>
      <c r="CH150">
        <v>22.387362</v>
      </c>
      <c r="CI150">
        <v>29.496590000000001</v>
      </c>
      <c r="CJ150">
        <v>15.163067</v>
      </c>
      <c r="CK150">
        <v>27.528403000000001</v>
      </c>
      <c r="CL150" t="s">
        <v>273</v>
      </c>
      <c r="CM150">
        <v>450.990116</v>
      </c>
      <c r="CN150">
        <v>510.03079100000002</v>
      </c>
      <c r="CO150">
        <v>387.053158</v>
      </c>
      <c r="CP150">
        <v>293.76613600000002</v>
      </c>
      <c r="CQ150">
        <v>571.46087</v>
      </c>
      <c r="CR150">
        <v>314.76941699999998</v>
      </c>
      <c r="CS150" t="s">
        <v>273</v>
      </c>
      <c r="CT150">
        <v>537.58587599999998</v>
      </c>
      <c r="CU150">
        <v>655.12553000000003</v>
      </c>
      <c r="CV150">
        <v>461.30687899999998</v>
      </c>
      <c r="CW150">
        <v>995.186014</v>
      </c>
      <c r="CX150">
        <v>340.26808199999999</v>
      </c>
      <c r="CY150">
        <v>648.81569400000001</v>
      </c>
      <c r="CZ150" t="s">
        <v>273</v>
      </c>
      <c r="DA150">
        <v>3.6134490000000001</v>
      </c>
      <c r="DB150">
        <v>510.01</v>
      </c>
      <c r="DC150">
        <v>3.893761</v>
      </c>
      <c r="DD150">
        <v>864</v>
      </c>
      <c r="DE150">
        <v>3.6129380000000002</v>
      </c>
      <c r="DF150">
        <v>505</v>
      </c>
      <c r="DG150">
        <v>10.269367000000001</v>
      </c>
      <c r="DH150">
        <v>765</v>
      </c>
      <c r="DI150">
        <v>1.804994</v>
      </c>
      <c r="DJ150">
        <v>235</v>
      </c>
      <c r="DK150">
        <v>6.2484159999999997</v>
      </c>
      <c r="DL150">
        <v>365</v>
      </c>
      <c r="DM150" t="s">
        <v>273</v>
      </c>
      <c r="DN150">
        <v>2.2992110000000001</v>
      </c>
      <c r="DO150">
        <v>4.185009</v>
      </c>
      <c r="DP150">
        <v>2.54854</v>
      </c>
      <c r="DQ150" t="s">
        <v>282</v>
      </c>
      <c r="DR150">
        <v>2.6377950000000001</v>
      </c>
      <c r="DS150">
        <v>12.37115</v>
      </c>
      <c r="DT150">
        <v>21.742494000000001</v>
      </c>
      <c r="DU150">
        <v>123.187764</v>
      </c>
      <c r="DV150">
        <v>212.48689200000001</v>
      </c>
      <c r="DW150" t="s">
        <v>283</v>
      </c>
      <c r="DX150" t="s">
        <v>273</v>
      </c>
      <c r="DY150">
        <v>19.463826000000001</v>
      </c>
      <c r="DZ150">
        <v>1.7602E-2</v>
      </c>
      <c r="EA150">
        <v>1.214548</v>
      </c>
      <c r="EB150">
        <v>1.0044360000000001</v>
      </c>
      <c r="EC150">
        <v>82.700398000000007</v>
      </c>
      <c r="ED150">
        <v>15.713067000000001</v>
      </c>
      <c r="EE150">
        <v>606.99322299999994</v>
      </c>
      <c r="EF150">
        <v>6.9211140000000002</v>
      </c>
      <c r="EG150">
        <v>12</v>
      </c>
      <c r="EH150">
        <v>12</v>
      </c>
      <c r="EI150">
        <v>11</v>
      </c>
      <c r="EJ150">
        <v>11</v>
      </c>
      <c r="EK150" t="s">
        <v>273</v>
      </c>
      <c r="EL150" t="s">
        <v>273</v>
      </c>
      <c r="EM150">
        <v>16.766807</v>
      </c>
      <c r="EN150">
        <v>1.0217E-2</v>
      </c>
      <c r="EO150">
        <v>1.27501</v>
      </c>
      <c r="EP150">
        <v>1.0172049999999999</v>
      </c>
      <c r="EQ150">
        <v>79.780154999999993</v>
      </c>
      <c r="ER150">
        <v>12.679126</v>
      </c>
      <c r="ES150">
        <v>553.91205500000001</v>
      </c>
      <c r="ET150">
        <v>4.0174010000000004</v>
      </c>
      <c r="EU150">
        <v>19</v>
      </c>
      <c r="EV150">
        <v>19</v>
      </c>
      <c r="EW150">
        <v>19</v>
      </c>
      <c r="EX150">
        <v>19</v>
      </c>
      <c r="EY150" t="s">
        <v>273</v>
      </c>
      <c r="EZ150" t="s">
        <v>273</v>
      </c>
      <c r="FA150">
        <v>22.655529999999999</v>
      </c>
      <c r="FB150">
        <v>1.7774999999999999E-2</v>
      </c>
      <c r="FC150">
        <v>1.213117</v>
      </c>
      <c r="FD150">
        <v>1.0045109999999999</v>
      </c>
      <c r="FE150">
        <v>82.804074</v>
      </c>
      <c r="FF150">
        <v>18.309564000000002</v>
      </c>
      <c r="FG150">
        <v>607.02435700000001</v>
      </c>
      <c r="FH150">
        <v>6.9891449999999997</v>
      </c>
      <c r="FI150">
        <v>12</v>
      </c>
      <c r="FJ150">
        <v>12</v>
      </c>
      <c r="FK150">
        <v>11</v>
      </c>
      <c r="FL150">
        <v>11</v>
      </c>
      <c r="FM150" t="s">
        <v>273</v>
      </c>
      <c r="FN150" t="s">
        <v>273</v>
      </c>
      <c r="FO150">
        <v>24.182396000000001</v>
      </c>
      <c r="FP150">
        <v>2.9144E-2</v>
      </c>
      <c r="FQ150">
        <v>2.7934589999999999</v>
      </c>
      <c r="FR150">
        <v>2.4537949999999999</v>
      </c>
      <c r="FS150">
        <v>87.840750999999997</v>
      </c>
      <c r="FT150">
        <v>21.080608999999999</v>
      </c>
      <c r="FU150">
        <v>530.43987400000003</v>
      </c>
      <c r="FV150">
        <v>11.459543</v>
      </c>
      <c r="FW150">
        <v>5</v>
      </c>
      <c r="FX150">
        <v>5</v>
      </c>
      <c r="FY150">
        <v>5</v>
      </c>
      <c r="FZ150">
        <v>5</v>
      </c>
      <c r="GA150" t="s">
        <v>273</v>
      </c>
      <c r="GB150" t="s">
        <v>273</v>
      </c>
      <c r="GC150">
        <v>28.575977999999999</v>
      </c>
      <c r="GD150">
        <v>3.4074E-2</v>
      </c>
      <c r="GE150">
        <v>1.128654</v>
      </c>
      <c r="GF150">
        <v>0.91234000000000004</v>
      </c>
      <c r="GG150">
        <v>80.834346999999994</v>
      </c>
      <c r="GH150">
        <v>22.143581000000001</v>
      </c>
      <c r="GI150">
        <v>1083.90507</v>
      </c>
      <c r="GJ150">
        <v>13.398251</v>
      </c>
      <c r="GK150">
        <v>61</v>
      </c>
      <c r="GL150">
        <v>61</v>
      </c>
      <c r="GM150">
        <v>18</v>
      </c>
      <c r="GN150">
        <v>20</v>
      </c>
      <c r="GO150" t="s">
        <v>273</v>
      </c>
      <c r="GP150" t="s">
        <v>273</v>
      </c>
      <c r="GQ150">
        <v>29.270523000000001</v>
      </c>
      <c r="GR150">
        <v>4.7461999999999997E-2</v>
      </c>
      <c r="GS150">
        <v>2.2044009999999998</v>
      </c>
      <c r="GT150">
        <v>1.9182170000000001</v>
      </c>
      <c r="GU150">
        <v>87.017627000000005</v>
      </c>
      <c r="GV150">
        <v>25.124924</v>
      </c>
      <c r="GW150">
        <v>677.40545399999996</v>
      </c>
      <c r="GX150">
        <v>18.662707999999999</v>
      </c>
      <c r="GY150">
        <v>15</v>
      </c>
      <c r="GZ150">
        <v>15</v>
      </c>
      <c r="HA150">
        <v>9</v>
      </c>
      <c r="HB150">
        <v>10</v>
      </c>
      <c r="HC150" t="s">
        <v>273</v>
      </c>
      <c r="HD150" t="s">
        <v>273</v>
      </c>
      <c r="HE150">
        <v>7.5</v>
      </c>
      <c r="HF150">
        <v>1E-3</v>
      </c>
      <c r="HG150">
        <v>5.0000000000000001E-3</v>
      </c>
      <c r="HH150">
        <v>0.13333300000000001</v>
      </c>
      <c r="HI150">
        <v>4000</v>
      </c>
    </row>
    <row r="151" spans="1:217" x14ac:dyDescent="0.3">
      <c r="A151">
        <v>821</v>
      </c>
      <c r="B151" t="s">
        <v>269</v>
      </c>
      <c r="F151" t="s">
        <v>270</v>
      </c>
      <c r="G151" t="s">
        <v>293</v>
      </c>
      <c r="H151" t="s">
        <v>294</v>
      </c>
      <c r="I151">
        <v>3750</v>
      </c>
      <c r="J151">
        <v>1</v>
      </c>
      <c r="K151">
        <v>61.153125000000003</v>
      </c>
      <c r="L151">
        <v>0.22</v>
      </c>
      <c r="M151">
        <v>1.1898000000000001E-2</v>
      </c>
      <c r="N151">
        <v>0</v>
      </c>
      <c r="O151">
        <v>0</v>
      </c>
      <c r="P151">
        <v>0</v>
      </c>
      <c r="Q151">
        <v>13.59</v>
      </c>
      <c r="R151">
        <v>1</v>
      </c>
      <c r="S151">
        <v>1</v>
      </c>
      <c r="T151">
        <v>1</v>
      </c>
      <c r="U151">
        <v>1</v>
      </c>
      <c r="V151">
        <v>100</v>
      </c>
      <c r="W151" t="s">
        <v>273</v>
      </c>
      <c r="X151" t="s">
        <v>274</v>
      </c>
      <c r="Y151" t="s">
        <v>274</v>
      </c>
      <c r="Z151" t="s">
        <v>273</v>
      </c>
      <c r="AA151" t="s">
        <v>275</v>
      </c>
      <c r="AB151" t="s">
        <v>276</v>
      </c>
      <c r="AC151">
        <v>646</v>
      </c>
      <c r="AD151">
        <v>5</v>
      </c>
      <c r="AE151" t="s">
        <v>277</v>
      </c>
      <c r="AF151">
        <v>2.7309290000000002</v>
      </c>
      <c r="AG151">
        <v>100</v>
      </c>
      <c r="AH151">
        <v>24.6</v>
      </c>
      <c r="AI151">
        <v>1475</v>
      </c>
      <c r="AJ151">
        <v>800</v>
      </c>
      <c r="AK151">
        <v>1200</v>
      </c>
      <c r="AL151">
        <v>127.9</v>
      </c>
      <c r="AM151">
        <v>2.2000000000000002</v>
      </c>
      <c r="AN151" t="s">
        <v>273</v>
      </c>
      <c r="AO151" t="s">
        <v>278</v>
      </c>
      <c r="AP151" t="s">
        <v>296</v>
      </c>
      <c r="AQ151">
        <v>5.5</v>
      </c>
      <c r="AR151">
        <v>8</v>
      </c>
      <c r="AS151">
        <v>308.7</v>
      </c>
      <c r="AT151">
        <v>561.70000000000005</v>
      </c>
      <c r="AU151">
        <v>0.31977</v>
      </c>
      <c r="AV151">
        <v>36.799999999999997</v>
      </c>
      <c r="AW151">
        <v>233.9</v>
      </c>
      <c r="AX151" t="s">
        <v>280</v>
      </c>
      <c r="AY151">
        <v>0</v>
      </c>
      <c r="AZ151" t="s">
        <v>281</v>
      </c>
      <c r="BA151">
        <v>0.2</v>
      </c>
      <c r="BB151">
        <v>0.5</v>
      </c>
      <c r="BC151" t="s">
        <v>273</v>
      </c>
      <c r="BD151" t="s">
        <v>273</v>
      </c>
      <c r="BE151">
        <v>21.45073</v>
      </c>
      <c r="BF151">
        <v>21.697723</v>
      </c>
      <c r="BG151">
        <v>399.35524199999998</v>
      </c>
      <c r="BH151" t="s">
        <v>273</v>
      </c>
      <c r="BI151">
        <v>32.971401</v>
      </c>
      <c r="BJ151">
        <v>33.351047999999999</v>
      </c>
      <c r="BK151">
        <v>259.81489699999997</v>
      </c>
      <c r="BL151" t="s">
        <v>273</v>
      </c>
      <c r="BM151">
        <v>32.973213000000001</v>
      </c>
      <c r="BN151">
        <v>33.352880999999996</v>
      </c>
      <c r="BO151">
        <v>259.80062299999997</v>
      </c>
      <c r="BP151" t="s">
        <v>273</v>
      </c>
      <c r="BQ151">
        <v>24.777442000000001</v>
      </c>
      <c r="BR151">
        <v>25.062740000000002</v>
      </c>
      <c r="BS151">
        <v>345.736312</v>
      </c>
      <c r="BT151" t="s">
        <v>273</v>
      </c>
      <c r="BU151">
        <v>6.3893829999999996</v>
      </c>
      <c r="BV151">
        <v>6.4629529999999997</v>
      </c>
      <c r="BW151">
        <v>1340.733792</v>
      </c>
      <c r="BX151" t="s">
        <v>273</v>
      </c>
      <c r="BY151">
        <v>21.806929</v>
      </c>
      <c r="BZ151">
        <v>19.703996</v>
      </c>
      <c r="CA151">
        <v>25.393494</v>
      </c>
      <c r="CB151">
        <v>32.973213000000001</v>
      </c>
      <c r="CC151">
        <v>16.400891999999999</v>
      </c>
      <c r="CD151">
        <v>29.062270999999999</v>
      </c>
      <c r="CE151" t="s">
        <v>273</v>
      </c>
      <c r="CF151">
        <v>22.058022999999999</v>
      </c>
      <c r="CG151">
        <v>19.930876999999999</v>
      </c>
      <c r="CH151">
        <v>25.685886</v>
      </c>
      <c r="CI151">
        <v>33.352880999999996</v>
      </c>
      <c r="CJ151">
        <v>16.589739000000002</v>
      </c>
      <c r="CK151">
        <v>29.396906999999999</v>
      </c>
      <c r="CL151" t="s">
        <v>273</v>
      </c>
      <c r="CM151">
        <v>392.83207900000002</v>
      </c>
      <c r="CN151">
        <v>434.75755800000002</v>
      </c>
      <c r="CO151">
        <v>337.348659</v>
      </c>
      <c r="CP151">
        <v>259.80062299999997</v>
      </c>
      <c r="CQ151">
        <v>522.31678299999999</v>
      </c>
      <c r="CR151">
        <v>294.76227899999998</v>
      </c>
      <c r="CS151" t="s">
        <v>273</v>
      </c>
      <c r="CT151">
        <v>468.17065300000002</v>
      </c>
      <c r="CU151">
        <v>558.27040099999999</v>
      </c>
      <c r="CV151">
        <v>401.98761000000002</v>
      </c>
      <c r="CW151">
        <v>880.11091699999997</v>
      </c>
      <c r="CX151">
        <v>310.75759900000003</v>
      </c>
      <c r="CY151">
        <v>607.50989300000003</v>
      </c>
      <c r="CZ151" t="s">
        <v>273</v>
      </c>
      <c r="DA151">
        <v>3.6127539999999998</v>
      </c>
      <c r="DB151">
        <v>510.01</v>
      </c>
      <c r="DC151">
        <v>3.8925890000000001</v>
      </c>
      <c r="DD151">
        <v>864</v>
      </c>
      <c r="DE151">
        <v>3.612225</v>
      </c>
      <c r="DF151">
        <v>505</v>
      </c>
      <c r="DG151">
        <v>10.269240999999999</v>
      </c>
      <c r="DH151">
        <v>765</v>
      </c>
      <c r="DI151">
        <v>1.803553</v>
      </c>
      <c r="DJ151">
        <v>235</v>
      </c>
      <c r="DK151">
        <v>6.2477349999999996</v>
      </c>
      <c r="DL151">
        <v>365</v>
      </c>
      <c r="DM151" t="s">
        <v>273</v>
      </c>
      <c r="DN151">
        <v>2.4438080000000002</v>
      </c>
      <c r="DO151">
        <v>4.6389630000000004</v>
      </c>
      <c r="DP151">
        <v>2.650833</v>
      </c>
      <c r="DQ151" t="s">
        <v>282</v>
      </c>
      <c r="DR151">
        <v>2.760364</v>
      </c>
      <c r="DS151">
        <v>12.969676</v>
      </c>
      <c r="DT151">
        <v>23.019836000000002</v>
      </c>
      <c r="DU151">
        <v>116.63316</v>
      </c>
      <c r="DV151">
        <v>203.116488</v>
      </c>
      <c r="DW151" t="s">
        <v>283</v>
      </c>
      <c r="DX151" t="s">
        <v>273</v>
      </c>
      <c r="DY151">
        <v>20.851762000000001</v>
      </c>
      <c r="DZ151">
        <v>2.1026E-2</v>
      </c>
      <c r="EA151">
        <v>1.1331450000000001</v>
      </c>
      <c r="EB151">
        <v>0.93986400000000003</v>
      </c>
      <c r="EC151">
        <v>82.942937000000001</v>
      </c>
      <c r="ED151">
        <v>16.922495999999999</v>
      </c>
      <c r="EE151">
        <v>569.41270199999997</v>
      </c>
      <c r="EF151">
        <v>6.4913600000000002</v>
      </c>
      <c r="EG151">
        <v>16</v>
      </c>
      <c r="EH151">
        <v>16</v>
      </c>
      <c r="EI151">
        <v>16</v>
      </c>
      <c r="EJ151">
        <v>16</v>
      </c>
      <c r="EK151" t="s">
        <v>273</v>
      </c>
      <c r="EL151" t="s">
        <v>273</v>
      </c>
      <c r="EM151">
        <v>18.191476000000002</v>
      </c>
      <c r="EN151">
        <v>1.2194E-2</v>
      </c>
      <c r="EO151">
        <v>1.17883</v>
      </c>
      <c r="EP151">
        <v>0.94200700000000004</v>
      </c>
      <c r="EQ151">
        <v>79.910318000000004</v>
      </c>
      <c r="ER151">
        <v>13.942551</v>
      </c>
      <c r="ES151">
        <v>519.21114499999999</v>
      </c>
      <c r="ET151">
        <v>3.7645909999999998</v>
      </c>
      <c r="EU151">
        <v>23</v>
      </c>
      <c r="EV151">
        <v>23</v>
      </c>
      <c r="EW151">
        <v>23</v>
      </c>
      <c r="EX151">
        <v>23</v>
      </c>
      <c r="EY151" t="s">
        <v>273</v>
      </c>
      <c r="EZ151" t="s">
        <v>273</v>
      </c>
      <c r="FA151">
        <v>24.258849000000001</v>
      </c>
      <c r="FB151">
        <v>2.1232000000000001E-2</v>
      </c>
      <c r="FC151">
        <v>1.1319349999999999</v>
      </c>
      <c r="FD151">
        <v>0.93984699999999999</v>
      </c>
      <c r="FE151">
        <v>83.030135000000001</v>
      </c>
      <c r="FF151">
        <v>19.70675</v>
      </c>
      <c r="FG151">
        <v>569.44451400000003</v>
      </c>
      <c r="FH151">
        <v>6.555167</v>
      </c>
      <c r="FI151">
        <v>16</v>
      </c>
      <c r="FJ151">
        <v>16</v>
      </c>
      <c r="FK151">
        <v>16</v>
      </c>
      <c r="FL151">
        <v>16</v>
      </c>
      <c r="FM151" t="s">
        <v>273</v>
      </c>
      <c r="FN151" t="s">
        <v>273</v>
      </c>
      <c r="FO151">
        <v>25.610088999999999</v>
      </c>
      <c r="FP151">
        <v>3.4813999999999998E-2</v>
      </c>
      <c r="FQ151">
        <v>2.616298</v>
      </c>
      <c r="FR151">
        <v>2.3008850000000001</v>
      </c>
      <c r="FS151">
        <v>87.944305999999997</v>
      </c>
      <c r="FT151">
        <v>22.357462000000002</v>
      </c>
      <c r="FU151">
        <v>497.52394600000002</v>
      </c>
      <c r="FV151">
        <v>10.7483</v>
      </c>
      <c r="FW151">
        <v>7</v>
      </c>
      <c r="FX151">
        <v>7</v>
      </c>
      <c r="FY151">
        <v>7</v>
      </c>
      <c r="FZ151">
        <v>7</v>
      </c>
      <c r="GA151" t="s">
        <v>273</v>
      </c>
      <c r="GB151" t="s">
        <v>273</v>
      </c>
      <c r="GC151">
        <v>29.020409999999998</v>
      </c>
      <c r="GD151">
        <v>4.0647999999999997E-2</v>
      </c>
      <c r="GE151">
        <v>1.0468010000000001</v>
      </c>
      <c r="GF151">
        <v>0.85018300000000002</v>
      </c>
      <c r="GG151">
        <v>81.217322999999993</v>
      </c>
      <c r="GH151">
        <v>22.710450000000002</v>
      </c>
      <c r="GI151">
        <v>1016.051925</v>
      </c>
      <c r="GJ151">
        <v>12.549483</v>
      </c>
      <c r="GK151">
        <v>25</v>
      </c>
      <c r="GL151">
        <v>25</v>
      </c>
      <c r="GM151">
        <v>22</v>
      </c>
      <c r="GN151">
        <v>23</v>
      </c>
      <c r="GO151" t="s">
        <v>273</v>
      </c>
      <c r="GP151" t="s">
        <v>273</v>
      </c>
      <c r="GQ151">
        <v>29.250475999999999</v>
      </c>
      <c r="GR151">
        <v>5.6628999999999999E-2</v>
      </c>
      <c r="GS151">
        <v>2.0626470000000001</v>
      </c>
      <c r="GT151">
        <v>1.796535</v>
      </c>
      <c r="GU151">
        <v>87.098489000000001</v>
      </c>
      <c r="GV151">
        <v>25.137364999999999</v>
      </c>
      <c r="GW151">
        <v>634.66272400000003</v>
      </c>
      <c r="GX151">
        <v>17.483226999999999</v>
      </c>
      <c r="GY151">
        <v>19</v>
      </c>
      <c r="GZ151">
        <v>19</v>
      </c>
      <c r="HA151">
        <v>9</v>
      </c>
      <c r="HB151">
        <v>10</v>
      </c>
      <c r="HC151" t="s">
        <v>273</v>
      </c>
      <c r="HD151" t="s">
        <v>273</v>
      </c>
      <c r="HE151">
        <v>9</v>
      </c>
      <c r="HF151">
        <v>1E-3</v>
      </c>
      <c r="HG151">
        <v>5.0000000000000001E-3</v>
      </c>
      <c r="HH151">
        <v>0.111111</v>
      </c>
      <c r="HI151">
        <v>3750</v>
      </c>
    </row>
    <row r="152" spans="1:217" x14ac:dyDescent="0.3">
      <c r="A152">
        <v>822</v>
      </c>
      <c r="B152" t="s">
        <v>269</v>
      </c>
      <c r="F152" t="s">
        <v>270</v>
      </c>
      <c r="G152" t="s">
        <v>293</v>
      </c>
      <c r="H152" t="s">
        <v>294</v>
      </c>
      <c r="I152">
        <v>4750</v>
      </c>
      <c r="J152">
        <v>1</v>
      </c>
      <c r="K152">
        <v>78.340625000000003</v>
      </c>
      <c r="L152">
        <v>0.22</v>
      </c>
      <c r="M152">
        <v>1.5805E-2</v>
      </c>
      <c r="N152">
        <v>0</v>
      </c>
      <c r="O152">
        <v>0</v>
      </c>
      <c r="P152">
        <v>0</v>
      </c>
      <c r="Q152">
        <v>17.18</v>
      </c>
      <c r="R152">
        <v>1</v>
      </c>
      <c r="S152">
        <v>1</v>
      </c>
      <c r="T152">
        <v>1</v>
      </c>
      <c r="U152">
        <v>1</v>
      </c>
      <c r="V152">
        <v>100</v>
      </c>
      <c r="W152" t="s">
        <v>273</v>
      </c>
      <c r="X152" t="s">
        <v>274</v>
      </c>
      <c r="Y152" t="s">
        <v>274</v>
      </c>
      <c r="Z152" t="s">
        <v>273</v>
      </c>
      <c r="AA152" t="s">
        <v>275</v>
      </c>
      <c r="AB152" t="s">
        <v>276</v>
      </c>
      <c r="AC152">
        <v>823</v>
      </c>
      <c r="AD152">
        <v>5</v>
      </c>
      <c r="AE152" t="s">
        <v>277</v>
      </c>
      <c r="AF152">
        <v>2.4069210000000001</v>
      </c>
      <c r="AG152">
        <v>100</v>
      </c>
      <c r="AH152">
        <v>21.7</v>
      </c>
      <c r="AI152">
        <v>1300</v>
      </c>
      <c r="AJ152">
        <v>800</v>
      </c>
      <c r="AK152">
        <v>1200</v>
      </c>
      <c r="AL152">
        <v>113.3</v>
      </c>
      <c r="AM152">
        <v>2.2000000000000002</v>
      </c>
      <c r="AN152" t="s">
        <v>273</v>
      </c>
      <c r="AO152" t="s">
        <v>278</v>
      </c>
      <c r="AP152" t="s">
        <v>297</v>
      </c>
      <c r="AQ152">
        <v>7</v>
      </c>
      <c r="AR152">
        <v>8</v>
      </c>
      <c r="AS152">
        <v>393.2</v>
      </c>
      <c r="AT152">
        <v>715.3</v>
      </c>
      <c r="AU152">
        <v>0.40698000000000001</v>
      </c>
      <c r="AV152">
        <v>37.200000000000003</v>
      </c>
      <c r="AW152">
        <v>231.7</v>
      </c>
      <c r="AX152" t="s">
        <v>280</v>
      </c>
      <c r="AY152">
        <v>0</v>
      </c>
      <c r="AZ152" t="s">
        <v>281</v>
      </c>
      <c r="BA152">
        <v>0.2</v>
      </c>
      <c r="BB152">
        <v>0.5</v>
      </c>
      <c r="BC152" t="s">
        <v>273</v>
      </c>
      <c r="BD152" t="s">
        <v>273</v>
      </c>
      <c r="BE152">
        <v>16.986916999999998</v>
      </c>
      <c r="BF152">
        <v>17.182511000000002</v>
      </c>
      <c r="BG152">
        <v>504.29760199999998</v>
      </c>
      <c r="BH152" t="s">
        <v>273</v>
      </c>
      <c r="BI152">
        <v>26.506088999999999</v>
      </c>
      <c r="BJ152">
        <v>26.811291000000001</v>
      </c>
      <c r="BK152">
        <v>323.18843399999997</v>
      </c>
      <c r="BL152" t="s">
        <v>273</v>
      </c>
      <c r="BM152">
        <v>26.507408000000002</v>
      </c>
      <c r="BN152">
        <v>26.812626000000002</v>
      </c>
      <c r="BO152">
        <v>323.172347</v>
      </c>
      <c r="BP152" t="s">
        <v>273</v>
      </c>
      <c r="BQ152">
        <v>20.180199999999999</v>
      </c>
      <c r="BR152">
        <v>20.412564</v>
      </c>
      <c r="BS152">
        <v>424.498333</v>
      </c>
      <c r="BT152" t="s">
        <v>273</v>
      </c>
      <c r="BU152">
        <v>5.0089139999999999</v>
      </c>
      <c r="BV152">
        <v>5.0665889999999996</v>
      </c>
      <c r="BW152">
        <v>1710.2431959999999</v>
      </c>
      <c r="BX152" t="s">
        <v>273</v>
      </c>
      <c r="BY152">
        <v>17.202109</v>
      </c>
      <c r="BZ152">
        <v>15.653254</v>
      </c>
      <c r="CA152">
        <v>20.022632000000002</v>
      </c>
      <c r="CB152">
        <v>26.507408000000002</v>
      </c>
      <c r="CC152">
        <v>13.015741999999999</v>
      </c>
      <c r="CD152">
        <v>23.992940000000001</v>
      </c>
      <c r="CE152" t="s">
        <v>273</v>
      </c>
      <c r="CF152">
        <v>17.400181</v>
      </c>
      <c r="CG152">
        <v>15.833492</v>
      </c>
      <c r="CH152">
        <v>20.253181000000001</v>
      </c>
      <c r="CI152">
        <v>26.812626000000002</v>
      </c>
      <c r="CJ152">
        <v>13.165611</v>
      </c>
      <c r="CK152">
        <v>24.269204999999999</v>
      </c>
      <c r="CL152" t="s">
        <v>273</v>
      </c>
      <c r="CM152">
        <v>497.989014</v>
      </c>
      <c r="CN152">
        <v>547.26393700000006</v>
      </c>
      <c r="CO152">
        <v>427.83891899999998</v>
      </c>
      <c r="CP152">
        <v>323.172347</v>
      </c>
      <c r="CQ152">
        <v>658.16158499999995</v>
      </c>
      <c r="CR152">
        <v>357.04092300000002</v>
      </c>
      <c r="CS152" t="s">
        <v>273</v>
      </c>
      <c r="CT152">
        <v>593.53412400000002</v>
      </c>
      <c r="CU152">
        <v>702.70472800000005</v>
      </c>
      <c r="CV152">
        <v>509.85159800000002</v>
      </c>
      <c r="CW152">
        <v>1094.7939140000001</v>
      </c>
      <c r="CX152">
        <v>391.62178599999999</v>
      </c>
      <c r="CY152">
        <v>735.89027199999998</v>
      </c>
      <c r="CZ152" t="s">
        <v>273</v>
      </c>
      <c r="DA152">
        <v>3.6129929999999999</v>
      </c>
      <c r="DB152">
        <v>510.01</v>
      </c>
      <c r="DC152">
        <v>3.8923969999999999</v>
      </c>
      <c r="DD152">
        <v>864</v>
      </c>
      <c r="DE152">
        <v>3.612473</v>
      </c>
      <c r="DF152">
        <v>505</v>
      </c>
      <c r="DG152">
        <v>10.269264</v>
      </c>
      <c r="DH152">
        <v>765</v>
      </c>
      <c r="DI152">
        <v>1.8037460000000001</v>
      </c>
      <c r="DJ152">
        <v>235</v>
      </c>
      <c r="DK152">
        <v>6.2479310000000003</v>
      </c>
      <c r="DL152">
        <v>365</v>
      </c>
      <c r="DM152" t="s">
        <v>273</v>
      </c>
      <c r="DN152">
        <v>2.5226350000000002</v>
      </c>
      <c r="DO152">
        <v>4.8382050000000003</v>
      </c>
      <c r="DP152">
        <v>2.9020929999999998</v>
      </c>
      <c r="DQ152" t="s">
        <v>282</v>
      </c>
      <c r="DR152">
        <v>2.9927419999999998</v>
      </c>
      <c r="DS152">
        <v>13.161212000000001</v>
      </c>
      <c r="DT152">
        <v>23.894252999999999</v>
      </c>
      <c r="DU152">
        <v>115.38650199999999</v>
      </c>
      <c r="DV152">
        <v>197.16879299999999</v>
      </c>
      <c r="DW152" t="s">
        <v>283</v>
      </c>
      <c r="DX152" t="s">
        <v>273</v>
      </c>
      <c r="DY152">
        <v>20.978185</v>
      </c>
      <c r="DZ152">
        <v>2.0889999999999999E-2</v>
      </c>
      <c r="EA152">
        <v>1.445281</v>
      </c>
      <c r="EB152">
        <v>1.1890970000000001</v>
      </c>
      <c r="EC152">
        <v>82.274424999999994</v>
      </c>
      <c r="ED152">
        <v>16.890616000000001</v>
      </c>
      <c r="EE152">
        <v>720.47810000000004</v>
      </c>
      <c r="EF152">
        <v>8.2140629999999994</v>
      </c>
      <c r="EG152">
        <v>12</v>
      </c>
      <c r="EH152">
        <v>12</v>
      </c>
      <c r="EI152">
        <v>12</v>
      </c>
      <c r="EJ152">
        <v>12</v>
      </c>
      <c r="EK152" t="s">
        <v>273</v>
      </c>
      <c r="EL152" t="s">
        <v>273</v>
      </c>
      <c r="EM152">
        <v>18.423912999999999</v>
      </c>
      <c r="EN152">
        <v>1.2128E-2</v>
      </c>
      <c r="EO152">
        <v>1.5027729999999999</v>
      </c>
      <c r="EP152">
        <v>1.197872</v>
      </c>
      <c r="EQ152">
        <v>79.710740000000001</v>
      </c>
      <c r="ER152">
        <v>14.031173000000001</v>
      </c>
      <c r="ES152">
        <v>657.72747000000004</v>
      </c>
      <c r="ET152">
        <v>4.7686809999999999</v>
      </c>
      <c r="EU152">
        <v>19</v>
      </c>
      <c r="EV152">
        <v>19</v>
      </c>
      <c r="EW152">
        <v>19</v>
      </c>
      <c r="EX152">
        <v>19</v>
      </c>
      <c r="EY152" t="s">
        <v>273</v>
      </c>
      <c r="EZ152" t="s">
        <v>273</v>
      </c>
      <c r="FA152">
        <v>24.394254</v>
      </c>
      <c r="FB152">
        <v>2.1094999999999999E-2</v>
      </c>
      <c r="FC152">
        <v>1.4436770000000001</v>
      </c>
      <c r="FD152">
        <v>1.1890039999999999</v>
      </c>
      <c r="FE152">
        <v>82.359420999999998</v>
      </c>
      <c r="FF152">
        <v>19.660962000000001</v>
      </c>
      <c r="FG152">
        <v>720.51407300000005</v>
      </c>
      <c r="FH152">
        <v>8.2947749999999996</v>
      </c>
      <c r="FI152">
        <v>12</v>
      </c>
      <c r="FJ152">
        <v>12</v>
      </c>
      <c r="FK152">
        <v>12</v>
      </c>
      <c r="FL152">
        <v>12</v>
      </c>
      <c r="FM152" t="s">
        <v>273</v>
      </c>
      <c r="FN152" t="s">
        <v>273</v>
      </c>
      <c r="FO152">
        <v>26.083447</v>
      </c>
      <c r="FP152">
        <v>3.458E-2</v>
      </c>
      <c r="FQ152">
        <v>3.314638</v>
      </c>
      <c r="FR152">
        <v>2.909834</v>
      </c>
      <c r="FS152">
        <v>87.787394000000006</v>
      </c>
      <c r="FT152">
        <v>22.736948999999999</v>
      </c>
      <c r="FU152">
        <v>629.386842</v>
      </c>
      <c r="FV152">
        <v>13.597042</v>
      </c>
      <c r="FW152">
        <v>5</v>
      </c>
      <c r="FX152">
        <v>5</v>
      </c>
      <c r="FY152">
        <v>5</v>
      </c>
      <c r="FZ152">
        <v>5</v>
      </c>
      <c r="GA152" t="s">
        <v>273</v>
      </c>
      <c r="GB152" t="s">
        <v>273</v>
      </c>
      <c r="GC152">
        <v>29.513991000000001</v>
      </c>
      <c r="GD152">
        <v>4.0451000000000001E-2</v>
      </c>
      <c r="GE152">
        <v>1.3416319999999999</v>
      </c>
      <c r="GF152">
        <v>1.0791379999999999</v>
      </c>
      <c r="GG152">
        <v>80.434703999999996</v>
      </c>
      <c r="GH152">
        <v>22.840536</v>
      </c>
      <c r="GI152">
        <v>1287.6427550000001</v>
      </c>
      <c r="GJ152">
        <v>15.905666</v>
      </c>
      <c r="GK152">
        <v>21</v>
      </c>
      <c r="GL152">
        <v>21</v>
      </c>
      <c r="GM152">
        <v>19</v>
      </c>
      <c r="GN152">
        <v>21</v>
      </c>
      <c r="GO152" t="s">
        <v>273</v>
      </c>
      <c r="GP152" t="s">
        <v>273</v>
      </c>
      <c r="GQ152">
        <v>30.444429</v>
      </c>
      <c r="GR152">
        <v>5.6385999999999999E-2</v>
      </c>
      <c r="GS152">
        <v>2.6005159999999998</v>
      </c>
      <c r="GT152">
        <v>2.2760419999999999</v>
      </c>
      <c r="GU152">
        <v>87.522711999999999</v>
      </c>
      <c r="GV152">
        <v>26.316734</v>
      </c>
      <c r="GW152">
        <v>804.82507299999997</v>
      </c>
      <c r="GX152">
        <v>22.171430999999998</v>
      </c>
      <c r="GY152">
        <v>40</v>
      </c>
      <c r="GZ152">
        <v>40</v>
      </c>
      <c r="HA152">
        <v>11</v>
      </c>
      <c r="HB152">
        <v>13</v>
      </c>
      <c r="HC152" t="s">
        <v>273</v>
      </c>
      <c r="HD152" t="s">
        <v>273</v>
      </c>
      <c r="HE152">
        <v>9</v>
      </c>
      <c r="HF152">
        <v>1E-3</v>
      </c>
      <c r="HG152">
        <v>5.0000000000000001E-3</v>
      </c>
      <c r="HH152">
        <v>0.111111</v>
      </c>
      <c r="HI152">
        <v>4750</v>
      </c>
    </row>
    <row r="153" spans="1:217" x14ac:dyDescent="0.3">
      <c r="A153">
        <v>823</v>
      </c>
      <c r="B153" t="s">
        <v>269</v>
      </c>
      <c r="F153" t="s">
        <v>270</v>
      </c>
      <c r="G153" t="s">
        <v>293</v>
      </c>
      <c r="H153" t="s">
        <v>294</v>
      </c>
      <c r="I153">
        <v>5500</v>
      </c>
      <c r="J153">
        <v>1</v>
      </c>
      <c r="K153">
        <v>91.231250000000003</v>
      </c>
      <c r="L153">
        <v>0.22</v>
      </c>
      <c r="M153">
        <v>1.8734000000000001E-2</v>
      </c>
      <c r="N153">
        <v>0</v>
      </c>
      <c r="O153">
        <v>0</v>
      </c>
      <c r="P153">
        <v>0</v>
      </c>
      <c r="Q153">
        <v>19.88</v>
      </c>
      <c r="R153">
        <v>1</v>
      </c>
      <c r="S153">
        <v>1</v>
      </c>
      <c r="T153">
        <v>1</v>
      </c>
      <c r="U153">
        <v>1</v>
      </c>
      <c r="V153">
        <v>100</v>
      </c>
      <c r="W153" t="s">
        <v>273</v>
      </c>
      <c r="X153" t="s">
        <v>274</v>
      </c>
      <c r="Y153" t="s">
        <v>274</v>
      </c>
      <c r="Z153" t="s">
        <v>273</v>
      </c>
      <c r="AA153" t="s">
        <v>275</v>
      </c>
      <c r="AB153" t="s">
        <v>276</v>
      </c>
      <c r="AC153">
        <v>469</v>
      </c>
      <c r="AD153">
        <v>5</v>
      </c>
      <c r="AE153" t="s">
        <v>277</v>
      </c>
      <c r="AF153">
        <v>2.962364</v>
      </c>
      <c r="AG153">
        <v>100</v>
      </c>
      <c r="AH153">
        <v>26.7</v>
      </c>
      <c r="AI153">
        <v>1600</v>
      </c>
      <c r="AJ153">
        <v>800</v>
      </c>
      <c r="AK153">
        <v>1200</v>
      </c>
      <c r="AL153">
        <v>150</v>
      </c>
      <c r="AM153">
        <v>2.2000000000000002</v>
      </c>
      <c r="AN153" t="s">
        <v>273</v>
      </c>
      <c r="AO153" t="s">
        <v>278</v>
      </c>
      <c r="AP153" t="s">
        <v>295</v>
      </c>
      <c r="AQ153">
        <v>4</v>
      </c>
      <c r="AR153">
        <v>8</v>
      </c>
      <c r="AS153">
        <v>224.3</v>
      </c>
      <c r="AT153">
        <v>408</v>
      </c>
      <c r="AU153">
        <v>0.23255999999999999</v>
      </c>
      <c r="AV153">
        <v>36.299999999999997</v>
      </c>
      <c r="AW153">
        <v>237</v>
      </c>
      <c r="AX153" t="s">
        <v>280</v>
      </c>
      <c r="AY153">
        <v>0</v>
      </c>
      <c r="AZ153" t="s">
        <v>281</v>
      </c>
      <c r="BA153">
        <v>0.2</v>
      </c>
      <c r="BB153">
        <v>0.5</v>
      </c>
      <c r="BC153" t="s">
        <v>273</v>
      </c>
      <c r="BD153" t="s">
        <v>273</v>
      </c>
      <c r="BE153">
        <v>18.441980000000001</v>
      </c>
      <c r="BF153">
        <v>18.654329000000001</v>
      </c>
      <c r="BG153">
        <v>464.50875600000001</v>
      </c>
      <c r="BH153" t="s">
        <v>273</v>
      </c>
      <c r="BI153">
        <v>26.834541999999999</v>
      </c>
      <c r="BJ153">
        <v>27.143526000000001</v>
      </c>
      <c r="BK153">
        <v>319.23262799999998</v>
      </c>
      <c r="BL153" t="s">
        <v>273</v>
      </c>
      <c r="BM153">
        <v>26.835732</v>
      </c>
      <c r="BN153">
        <v>27.144729999999999</v>
      </c>
      <c r="BO153">
        <v>319.21847000000002</v>
      </c>
      <c r="BP153" t="s">
        <v>273</v>
      </c>
      <c r="BQ153">
        <v>18.486743000000001</v>
      </c>
      <c r="BR153">
        <v>18.699607</v>
      </c>
      <c r="BS153">
        <v>463.38402300000001</v>
      </c>
      <c r="BT153" t="s">
        <v>273</v>
      </c>
      <c r="BU153">
        <v>6.2494019999999999</v>
      </c>
      <c r="BV153">
        <v>6.3213600000000003</v>
      </c>
      <c r="BW153">
        <v>1370.7649220000001</v>
      </c>
      <c r="BX153" t="s">
        <v>273</v>
      </c>
      <c r="BY153">
        <v>17.742357999999999</v>
      </c>
      <c r="BZ153">
        <v>17.752645000000001</v>
      </c>
      <c r="CA153">
        <v>20.561197</v>
      </c>
      <c r="CB153">
        <v>26.835732</v>
      </c>
      <c r="CC153">
        <v>12.433093</v>
      </c>
      <c r="CD153">
        <v>21.496456999999999</v>
      </c>
      <c r="CE153" t="s">
        <v>273</v>
      </c>
      <c r="CF153">
        <v>17.946652</v>
      </c>
      <c r="CG153">
        <v>17.957056999999999</v>
      </c>
      <c r="CH153">
        <v>20.797948000000002</v>
      </c>
      <c r="CI153">
        <v>27.144729999999999</v>
      </c>
      <c r="CJ153">
        <v>12.576252999999999</v>
      </c>
      <c r="CK153">
        <v>21.743976</v>
      </c>
      <c r="CL153" t="s">
        <v>273</v>
      </c>
      <c r="CM153">
        <v>482.825401</v>
      </c>
      <c r="CN153">
        <v>482.54562099999998</v>
      </c>
      <c r="CO153">
        <v>416.63242000000002</v>
      </c>
      <c r="CP153">
        <v>319.21847000000002</v>
      </c>
      <c r="CQ153">
        <v>689.00483099999997</v>
      </c>
      <c r="CR153">
        <v>398.50573300000002</v>
      </c>
      <c r="CS153" t="s">
        <v>273</v>
      </c>
      <c r="CT153">
        <v>574.80064000000004</v>
      </c>
      <c r="CU153">
        <v>618.21297000000004</v>
      </c>
      <c r="CV153">
        <v>495.92210799999998</v>
      </c>
      <c r="CW153">
        <v>1081.299256</v>
      </c>
      <c r="CX153">
        <v>408.19339300000001</v>
      </c>
      <c r="CY153">
        <v>821.02812100000006</v>
      </c>
      <c r="CZ153" t="s">
        <v>273</v>
      </c>
      <c r="DA153">
        <v>3.6088450000000001</v>
      </c>
      <c r="DB153">
        <v>510.01</v>
      </c>
      <c r="DC153">
        <v>3.8836569999999999</v>
      </c>
      <c r="DD153">
        <v>864</v>
      </c>
      <c r="DE153">
        <v>3.6082909999999999</v>
      </c>
      <c r="DF153">
        <v>505</v>
      </c>
      <c r="DG153">
        <v>10.268311000000001</v>
      </c>
      <c r="DH153">
        <v>765</v>
      </c>
      <c r="DI153">
        <v>1.795911</v>
      </c>
      <c r="DJ153">
        <v>235</v>
      </c>
      <c r="DK153">
        <v>6.2454619999999998</v>
      </c>
      <c r="DL153">
        <v>365</v>
      </c>
      <c r="DM153" t="s">
        <v>273</v>
      </c>
      <c r="DN153">
        <v>3.6127210000000001</v>
      </c>
      <c r="DO153">
        <v>8.3195770000000007</v>
      </c>
      <c r="DP153">
        <v>4.4252320000000003</v>
      </c>
      <c r="DQ153" t="s">
        <v>282</v>
      </c>
      <c r="DR153">
        <v>4.8382560000000003</v>
      </c>
      <c r="DS153">
        <v>16.530936000000001</v>
      </c>
      <c r="DT153">
        <v>34.113999999999997</v>
      </c>
      <c r="DU153">
        <v>89.865048999999999</v>
      </c>
      <c r="DV153">
        <v>156.11687000000001</v>
      </c>
      <c r="DW153" t="s">
        <v>283</v>
      </c>
      <c r="DX153" t="s">
        <v>273</v>
      </c>
      <c r="DY153">
        <v>24.756882999999998</v>
      </c>
      <c r="DZ153">
        <v>4.2389999999999997E-2</v>
      </c>
      <c r="EA153">
        <v>1.6517790000000001</v>
      </c>
      <c r="EB153">
        <v>1.367996</v>
      </c>
      <c r="EC153">
        <v>82.819535000000002</v>
      </c>
      <c r="ED153">
        <v>20.184653000000001</v>
      </c>
      <c r="EE153">
        <v>834.77197000000001</v>
      </c>
      <c r="EF153">
        <v>9.5061859999999996</v>
      </c>
      <c r="EG153">
        <v>27</v>
      </c>
      <c r="EH153">
        <v>27</v>
      </c>
      <c r="EI153">
        <v>24</v>
      </c>
      <c r="EJ153">
        <v>24</v>
      </c>
      <c r="EK153" t="s">
        <v>273</v>
      </c>
      <c r="EL153" t="s">
        <v>273</v>
      </c>
      <c r="EM153">
        <v>24.042463999999999</v>
      </c>
      <c r="EN153">
        <v>2.4587999999999999E-2</v>
      </c>
      <c r="EO153">
        <v>1.725265</v>
      </c>
      <c r="EP153">
        <v>1.3561430000000001</v>
      </c>
      <c r="EQ153">
        <v>78.604888000000003</v>
      </c>
      <c r="ER153">
        <v>18.441718000000002</v>
      </c>
      <c r="ES153">
        <v>762.24587199999996</v>
      </c>
      <c r="ET153">
        <v>5.5140549999999999</v>
      </c>
      <c r="EU153">
        <v>25</v>
      </c>
      <c r="EV153">
        <v>25</v>
      </c>
      <c r="EW153">
        <v>25</v>
      </c>
      <c r="EX153">
        <v>25</v>
      </c>
      <c r="EY153" t="s">
        <v>273</v>
      </c>
      <c r="EZ153" t="s">
        <v>273</v>
      </c>
      <c r="FA153">
        <v>28.679099999999998</v>
      </c>
      <c r="FB153">
        <v>4.2805999999999997E-2</v>
      </c>
      <c r="FC153">
        <v>1.6508879999999999</v>
      </c>
      <c r="FD153">
        <v>1.367875</v>
      </c>
      <c r="FE153">
        <v>82.856904999999998</v>
      </c>
      <c r="FF153">
        <v>23.392759999999999</v>
      </c>
      <c r="FG153">
        <v>834.81811700000003</v>
      </c>
      <c r="FH153">
        <v>9.5995509999999999</v>
      </c>
      <c r="FI153">
        <v>27</v>
      </c>
      <c r="FJ153">
        <v>27</v>
      </c>
      <c r="FK153">
        <v>24</v>
      </c>
      <c r="FL153">
        <v>24</v>
      </c>
      <c r="FM153" t="s">
        <v>273</v>
      </c>
      <c r="FN153" t="s">
        <v>273</v>
      </c>
      <c r="FO153">
        <v>30.479683999999999</v>
      </c>
      <c r="FP153">
        <v>7.0151000000000005E-2</v>
      </c>
      <c r="FQ153">
        <v>3.8255599999999998</v>
      </c>
      <c r="FR153">
        <v>3.3623159999999999</v>
      </c>
      <c r="FS153">
        <v>87.890810999999999</v>
      </c>
      <c r="FT153">
        <v>26.634699999999999</v>
      </c>
      <c r="FU153">
        <v>728.26102500000002</v>
      </c>
      <c r="FV153">
        <v>15.731624</v>
      </c>
      <c r="FW153">
        <v>12</v>
      </c>
      <c r="FX153">
        <v>12</v>
      </c>
      <c r="FY153">
        <v>12</v>
      </c>
      <c r="FZ153">
        <v>12</v>
      </c>
      <c r="GA153" t="s">
        <v>273</v>
      </c>
      <c r="GB153" t="s">
        <v>273</v>
      </c>
      <c r="GC153">
        <v>30.688787000000001</v>
      </c>
      <c r="GD153">
        <v>8.2045999999999994E-2</v>
      </c>
      <c r="GE153">
        <v>1.454067</v>
      </c>
      <c r="GF153">
        <v>1.238361</v>
      </c>
      <c r="GG153">
        <v>85.165364999999994</v>
      </c>
      <c r="GH153">
        <v>25.348534999999998</v>
      </c>
      <c r="GI153">
        <v>1496.000348</v>
      </c>
      <c r="GJ153">
        <v>18.399142000000001</v>
      </c>
      <c r="GK153">
        <v>38</v>
      </c>
      <c r="GL153">
        <v>38</v>
      </c>
      <c r="GM153">
        <v>17</v>
      </c>
      <c r="GN153">
        <v>24</v>
      </c>
      <c r="GO153" t="s">
        <v>273</v>
      </c>
      <c r="GP153" t="s">
        <v>273</v>
      </c>
      <c r="GQ153">
        <v>31.521567999999998</v>
      </c>
      <c r="GR153">
        <v>0.11430800000000001</v>
      </c>
      <c r="GS153">
        <v>3.004032</v>
      </c>
      <c r="GT153">
        <v>2.6236959999999998</v>
      </c>
      <c r="GU153">
        <v>87.339158999999995</v>
      </c>
      <c r="GV153">
        <v>27.271705999999998</v>
      </c>
      <c r="GW153">
        <v>930.889681</v>
      </c>
      <c r="GX153">
        <v>25.634145</v>
      </c>
      <c r="GY153">
        <v>47</v>
      </c>
      <c r="GZ153">
        <v>47</v>
      </c>
      <c r="HA153">
        <v>25</v>
      </c>
      <c r="HB153">
        <v>26</v>
      </c>
      <c r="HC153" t="s">
        <v>273</v>
      </c>
      <c r="HD153" t="s">
        <v>273</v>
      </c>
      <c r="HE153">
        <v>18</v>
      </c>
      <c r="HF153">
        <v>1E-3</v>
      </c>
      <c r="HG153">
        <v>5.0000000000000001E-3</v>
      </c>
      <c r="HH153">
        <v>5.5556000000000001E-2</v>
      </c>
      <c r="HI153">
        <v>5500</v>
      </c>
    </row>
    <row r="154" spans="1:217" x14ac:dyDescent="0.3">
      <c r="A154">
        <v>837</v>
      </c>
      <c r="B154" t="s">
        <v>269</v>
      </c>
      <c r="F154" t="s">
        <v>270</v>
      </c>
      <c r="G154" t="s">
        <v>293</v>
      </c>
      <c r="H154" t="s">
        <v>294</v>
      </c>
      <c r="I154">
        <v>4000</v>
      </c>
      <c r="J154">
        <v>1</v>
      </c>
      <c r="K154">
        <v>60.762500000000003</v>
      </c>
      <c r="L154">
        <v>0.22</v>
      </c>
      <c r="M154">
        <v>2.4594000000000001E-2</v>
      </c>
      <c r="N154">
        <v>0</v>
      </c>
      <c r="O154">
        <v>0</v>
      </c>
      <c r="P154">
        <v>0</v>
      </c>
      <c r="Q154">
        <v>17.77</v>
      </c>
      <c r="R154">
        <v>1</v>
      </c>
      <c r="S154">
        <v>1</v>
      </c>
      <c r="T154">
        <v>1</v>
      </c>
      <c r="U154">
        <v>1</v>
      </c>
      <c r="V154">
        <v>100</v>
      </c>
      <c r="W154" t="s">
        <v>273</v>
      </c>
      <c r="X154" t="s">
        <v>274</v>
      </c>
      <c r="Y154" t="s">
        <v>274</v>
      </c>
      <c r="Z154" t="s">
        <v>273</v>
      </c>
      <c r="AA154" t="s">
        <v>275</v>
      </c>
      <c r="AB154" t="s">
        <v>276</v>
      </c>
      <c r="AC154">
        <v>823</v>
      </c>
      <c r="AD154">
        <v>5</v>
      </c>
      <c r="AE154" t="s">
        <v>277</v>
      </c>
      <c r="AF154">
        <v>2.4069210000000001</v>
      </c>
      <c r="AG154">
        <v>100</v>
      </c>
      <c r="AH154">
        <v>21.7</v>
      </c>
      <c r="AI154">
        <v>1300</v>
      </c>
      <c r="AJ154">
        <v>800</v>
      </c>
      <c r="AK154">
        <v>1200</v>
      </c>
      <c r="AL154">
        <v>113.3</v>
      </c>
      <c r="AM154">
        <v>2.2000000000000002</v>
      </c>
      <c r="AN154" t="s">
        <v>273</v>
      </c>
      <c r="AO154" t="s">
        <v>278</v>
      </c>
      <c r="AP154" t="s">
        <v>297</v>
      </c>
      <c r="AQ154">
        <v>7</v>
      </c>
      <c r="AR154">
        <v>8</v>
      </c>
      <c r="AS154">
        <v>393.2</v>
      </c>
      <c r="AT154">
        <v>715.3</v>
      </c>
      <c r="AU154">
        <v>0.40698000000000001</v>
      </c>
      <c r="AV154">
        <v>37.200000000000003</v>
      </c>
      <c r="AW154">
        <v>231.7</v>
      </c>
      <c r="AX154" t="s">
        <v>280</v>
      </c>
      <c r="AY154">
        <v>0</v>
      </c>
      <c r="AZ154" t="s">
        <v>281</v>
      </c>
      <c r="BA154">
        <v>0.2</v>
      </c>
      <c r="BB154">
        <v>0.5</v>
      </c>
      <c r="BC154" t="s">
        <v>273</v>
      </c>
      <c r="BD154" t="s">
        <v>273</v>
      </c>
      <c r="BE154">
        <v>17.99785</v>
      </c>
      <c r="BF154">
        <v>18.205085</v>
      </c>
      <c r="BG154">
        <v>475.97138000000001</v>
      </c>
      <c r="BH154" t="s">
        <v>273</v>
      </c>
      <c r="BI154">
        <v>26.177337000000001</v>
      </c>
      <c r="BJ154">
        <v>26.478753999999999</v>
      </c>
      <c r="BK154">
        <v>327.24724400000002</v>
      </c>
      <c r="BL154" t="s">
        <v>273</v>
      </c>
      <c r="BM154">
        <v>26.178612999999999</v>
      </c>
      <c r="BN154">
        <v>26.480045</v>
      </c>
      <c r="BO154">
        <v>327.23129299999999</v>
      </c>
      <c r="BP154" t="s">
        <v>273</v>
      </c>
      <c r="BQ154">
        <v>20.061199999999999</v>
      </c>
      <c r="BR154">
        <v>20.292193000000001</v>
      </c>
      <c r="BS154">
        <v>427.016392</v>
      </c>
      <c r="BT154" t="s">
        <v>273</v>
      </c>
      <c r="BU154">
        <v>4.6888269999999999</v>
      </c>
      <c r="BV154">
        <v>4.7428160000000004</v>
      </c>
      <c r="BW154">
        <v>1826.9946910000001</v>
      </c>
      <c r="BX154" t="s">
        <v>273</v>
      </c>
      <c r="BY154">
        <v>18.080908000000001</v>
      </c>
      <c r="BZ154">
        <v>16.686325</v>
      </c>
      <c r="CA154">
        <v>21.054010000000002</v>
      </c>
      <c r="CB154">
        <v>26.178612999999999</v>
      </c>
      <c r="CC154">
        <v>14.321164</v>
      </c>
      <c r="CD154">
        <v>22.687577999999998</v>
      </c>
      <c r="CE154" t="s">
        <v>273</v>
      </c>
      <c r="CF154">
        <v>18.289099</v>
      </c>
      <c r="CG154">
        <v>16.878457999999998</v>
      </c>
      <c r="CH154">
        <v>21.296434999999999</v>
      </c>
      <c r="CI154">
        <v>26.480045</v>
      </c>
      <c r="CJ154">
        <v>14.486064000000001</v>
      </c>
      <c r="CK154">
        <v>22.948812</v>
      </c>
      <c r="CL154" t="s">
        <v>273</v>
      </c>
      <c r="CM154">
        <v>473.78491500000001</v>
      </c>
      <c r="CN154">
        <v>513.38214900000003</v>
      </c>
      <c r="CO154">
        <v>406.88026400000001</v>
      </c>
      <c r="CP154">
        <v>327.23129299999999</v>
      </c>
      <c r="CQ154">
        <v>598.16795400000001</v>
      </c>
      <c r="CR154">
        <v>377.583777</v>
      </c>
      <c r="CS154" t="s">
        <v>273</v>
      </c>
      <c r="CT154">
        <v>564.70587799999998</v>
      </c>
      <c r="CU154">
        <v>659.447813</v>
      </c>
      <c r="CV154">
        <v>484.89325700000001</v>
      </c>
      <c r="CW154">
        <v>1108.53081</v>
      </c>
      <c r="CX154">
        <v>356.06208400000003</v>
      </c>
      <c r="CY154">
        <v>778.18562199999997</v>
      </c>
      <c r="CZ154" t="s">
        <v>273</v>
      </c>
      <c r="DA154">
        <v>3.6131190000000002</v>
      </c>
      <c r="DB154">
        <v>510.01</v>
      </c>
      <c r="DC154">
        <v>3.8938640000000002</v>
      </c>
      <c r="DD154">
        <v>864</v>
      </c>
      <c r="DE154">
        <v>3.6126070000000001</v>
      </c>
      <c r="DF154">
        <v>505</v>
      </c>
      <c r="DG154">
        <v>10.26914</v>
      </c>
      <c r="DH154">
        <v>765</v>
      </c>
      <c r="DI154">
        <v>1.8044450000000001</v>
      </c>
      <c r="DJ154">
        <v>235</v>
      </c>
      <c r="DK154">
        <v>6.2475680000000002</v>
      </c>
      <c r="DL154">
        <v>365</v>
      </c>
      <c r="DM154" t="s">
        <v>273</v>
      </c>
      <c r="DN154">
        <v>2.2989139999999999</v>
      </c>
      <c r="DO154">
        <v>4.2089759999999998</v>
      </c>
      <c r="DP154">
        <v>2.563126</v>
      </c>
      <c r="DQ154" t="s">
        <v>282</v>
      </c>
      <c r="DR154">
        <v>2.6797770000000001</v>
      </c>
      <c r="DS154">
        <v>12.485809</v>
      </c>
      <c r="DT154">
        <v>21.937688999999999</v>
      </c>
      <c r="DU154">
        <v>119.94018199999999</v>
      </c>
      <c r="DV154">
        <v>182.62993700000001</v>
      </c>
      <c r="DW154" t="s">
        <v>283</v>
      </c>
      <c r="DX154" t="s">
        <v>273</v>
      </c>
      <c r="DY154">
        <v>20.191205</v>
      </c>
      <c r="DZ154">
        <v>1.9313E-2</v>
      </c>
      <c r="EA154">
        <v>1.3234980000000001</v>
      </c>
      <c r="EB154">
        <v>1.0995550000000001</v>
      </c>
      <c r="EC154">
        <v>83.079487999999998</v>
      </c>
      <c r="ED154">
        <v>16.412800000000001</v>
      </c>
      <c r="EE154">
        <v>666.06999099999996</v>
      </c>
      <c r="EF154">
        <v>7.5940289999999999</v>
      </c>
      <c r="EG154">
        <v>12</v>
      </c>
      <c r="EH154">
        <v>12</v>
      </c>
      <c r="EI154">
        <v>11</v>
      </c>
      <c r="EJ154">
        <v>11</v>
      </c>
      <c r="EK154" t="s">
        <v>273</v>
      </c>
      <c r="EL154" t="s">
        <v>273</v>
      </c>
      <c r="EM154">
        <v>16.874331999999999</v>
      </c>
      <c r="EN154">
        <v>1.0366999999999999E-2</v>
      </c>
      <c r="EO154">
        <v>1.2916529999999999</v>
      </c>
      <c r="EP154">
        <v>1.0312520000000001</v>
      </c>
      <c r="EQ154">
        <v>79.839749999999995</v>
      </c>
      <c r="ER154">
        <v>12.780810000000001</v>
      </c>
      <c r="ES154">
        <v>562.02295900000001</v>
      </c>
      <c r="ET154">
        <v>4.0763360000000004</v>
      </c>
      <c r="EU154">
        <v>19</v>
      </c>
      <c r="EV154">
        <v>19</v>
      </c>
      <c r="EW154">
        <v>19</v>
      </c>
      <c r="EX154">
        <v>19</v>
      </c>
      <c r="EY154" t="s">
        <v>273</v>
      </c>
      <c r="EZ154" t="s">
        <v>273</v>
      </c>
      <c r="FA154">
        <v>23.489412000000002</v>
      </c>
      <c r="FB154">
        <v>1.9503E-2</v>
      </c>
      <c r="FC154">
        <v>1.3220780000000001</v>
      </c>
      <c r="FD154">
        <v>1.0996300000000001</v>
      </c>
      <c r="FE154">
        <v>83.174406000000005</v>
      </c>
      <c r="FF154">
        <v>19.112568</v>
      </c>
      <c r="FG154">
        <v>666.10593800000004</v>
      </c>
      <c r="FH154">
        <v>7.6686949999999996</v>
      </c>
      <c r="FI154">
        <v>12</v>
      </c>
      <c r="FJ154">
        <v>12</v>
      </c>
      <c r="FK154">
        <v>11</v>
      </c>
      <c r="FL154">
        <v>11</v>
      </c>
      <c r="FM154" t="s">
        <v>273</v>
      </c>
      <c r="FN154" t="s">
        <v>273</v>
      </c>
      <c r="FO154">
        <v>26.122201</v>
      </c>
      <c r="FP154">
        <v>3.5154999999999999E-2</v>
      </c>
      <c r="FQ154">
        <v>3.3612150000000001</v>
      </c>
      <c r="FR154">
        <v>2.9560550000000001</v>
      </c>
      <c r="FS154">
        <v>87.946049000000002</v>
      </c>
      <c r="FT154">
        <v>22.828849999999999</v>
      </c>
      <c r="FU154">
        <v>639.86765000000003</v>
      </c>
      <c r="FV154">
        <v>13.823297999999999</v>
      </c>
      <c r="FW154">
        <v>5</v>
      </c>
      <c r="FX154">
        <v>5</v>
      </c>
      <c r="FY154">
        <v>5</v>
      </c>
      <c r="FZ154">
        <v>5</v>
      </c>
      <c r="GA154" t="s">
        <v>273</v>
      </c>
      <c r="GB154" t="s">
        <v>273</v>
      </c>
      <c r="GC154">
        <v>28.877096000000002</v>
      </c>
      <c r="GD154">
        <v>3.5977000000000002E-2</v>
      </c>
      <c r="GE154">
        <v>1.1934880000000001</v>
      </c>
      <c r="GF154">
        <v>0.96072199999999996</v>
      </c>
      <c r="GG154">
        <v>80.497017</v>
      </c>
      <c r="GH154">
        <v>22.343472999999999</v>
      </c>
      <c r="GI154">
        <v>1144.799301</v>
      </c>
      <c r="GJ154">
        <v>14.146666</v>
      </c>
      <c r="GK154">
        <v>21</v>
      </c>
      <c r="GL154">
        <v>21</v>
      </c>
      <c r="GM154">
        <v>20</v>
      </c>
      <c r="GN154">
        <v>21</v>
      </c>
      <c r="GO154" t="s">
        <v>273</v>
      </c>
      <c r="GP154" t="s">
        <v>273</v>
      </c>
      <c r="GQ154">
        <v>30.960951000000001</v>
      </c>
      <c r="GR154">
        <v>6.0753000000000001E-2</v>
      </c>
      <c r="GS154">
        <v>2.7966380000000002</v>
      </c>
      <c r="GT154">
        <v>2.444861</v>
      </c>
      <c r="GU154">
        <v>87.421460999999994</v>
      </c>
      <c r="GV154">
        <v>26.814202000000002</v>
      </c>
      <c r="GW154">
        <v>867.22063000000003</v>
      </c>
      <c r="GX154">
        <v>23.888926999999999</v>
      </c>
      <c r="GY154">
        <v>33</v>
      </c>
      <c r="GZ154">
        <v>33</v>
      </c>
      <c r="HA154">
        <v>12</v>
      </c>
      <c r="HB154">
        <v>13</v>
      </c>
      <c r="HC154" t="s">
        <v>273</v>
      </c>
      <c r="HD154" t="s">
        <v>273</v>
      </c>
      <c r="HE154">
        <v>7.5</v>
      </c>
      <c r="HF154">
        <v>1E-3</v>
      </c>
      <c r="HG154">
        <v>6.4999999999999997E-3</v>
      </c>
      <c r="HH154">
        <v>0.13333300000000001</v>
      </c>
      <c r="HI154">
        <v>4000</v>
      </c>
    </row>
    <row r="155" spans="1:217" x14ac:dyDescent="0.3">
      <c r="A155">
        <v>839</v>
      </c>
      <c r="B155" t="s">
        <v>269</v>
      </c>
      <c r="F155" t="s">
        <v>270</v>
      </c>
      <c r="G155" t="s">
        <v>293</v>
      </c>
      <c r="H155" t="s">
        <v>294</v>
      </c>
      <c r="I155">
        <v>3750</v>
      </c>
      <c r="J155">
        <v>1</v>
      </c>
      <c r="K155">
        <v>56.758594000000002</v>
      </c>
      <c r="L155">
        <v>0.22</v>
      </c>
      <c r="M155">
        <v>2.2884999999999999E-2</v>
      </c>
      <c r="N155">
        <v>0</v>
      </c>
      <c r="O155">
        <v>0</v>
      </c>
      <c r="P155">
        <v>0</v>
      </c>
      <c r="Q155">
        <v>16.66</v>
      </c>
      <c r="R155">
        <v>1</v>
      </c>
      <c r="S155">
        <v>1</v>
      </c>
      <c r="T155">
        <v>1</v>
      </c>
      <c r="U155">
        <v>1</v>
      </c>
      <c r="V155">
        <v>100</v>
      </c>
      <c r="W155" t="s">
        <v>273</v>
      </c>
      <c r="X155" t="s">
        <v>274</v>
      </c>
      <c r="Y155" t="s">
        <v>274</v>
      </c>
      <c r="Z155" t="s">
        <v>273</v>
      </c>
      <c r="AA155" t="s">
        <v>275</v>
      </c>
      <c r="AB155" t="s">
        <v>276</v>
      </c>
      <c r="AC155">
        <v>646</v>
      </c>
      <c r="AD155">
        <v>5</v>
      </c>
      <c r="AE155" t="s">
        <v>277</v>
      </c>
      <c r="AF155">
        <v>2.7309290000000002</v>
      </c>
      <c r="AG155">
        <v>100</v>
      </c>
      <c r="AH155">
        <v>24.6</v>
      </c>
      <c r="AI155">
        <v>1475</v>
      </c>
      <c r="AJ155">
        <v>800</v>
      </c>
      <c r="AK155">
        <v>1200</v>
      </c>
      <c r="AL155">
        <v>127.9</v>
      </c>
      <c r="AM155">
        <v>2.2000000000000002</v>
      </c>
      <c r="AN155" t="s">
        <v>273</v>
      </c>
      <c r="AO155" t="s">
        <v>278</v>
      </c>
      <c r="AP155" t="s">
        <v>296</v>
      </c>
      <c r="AQ155">
        <v>5.5</v>
      </c>
      <c r="AR155">
        <v>8</v>
      </c>
      <c r="AS155">
        <v>308.7</v>
      </c>
      <c r="AT155">
        <v>561.70000000000005</v>
      </c>
      <c r="AU155">
        <v>0.31977</v>
      </c>
      <c r="AV155">
        <v>36.799999999999997</v>
      </c>
      <c r="AW155">
        <v>233.9</v>
      </c>
      <c r="AX155" t="s">
        <v>280</v>
      </c>
      <c r="AY155">
        <v>0</v>
      </c>
      <c r="AZ155" t="s">
        <v>281</v>
      </c>
      <c r="BA155">
        <v>0.2</v>
      </c>
      <c r="BB155">
        <v>0.5</v>
      </c>
      <c r="BC155" t="s">
        <v>273</v>
      </c>
      <c r="BD155" t="s">
        <v>273</v>
      </c>
      <c r="BE155">
        <v>20.850992999999999</v>
      </c>
      <c r="BF155">
        <v>21.091080000000002</v>
      </c>
      <c r="BG155">
        <v>410.84188499999999</v>
      </c>
      <c r="BH155" t="s">
        <v>273</v>
      </c>
      <c r="BI155">
        <v>29.362904</v>
      </c>
      <c r="BJ155">
        <v>29.701001999999999</v>
      </c>
      <c r="BK155">
        <v>291.74434300000001</v>
      </c>
      <c r="BL155" t="s">
        <v>273</v>
      </c>
      <c r="BM155">
        <v>29.364318999999998</v>
      </c>
      <c r="BN155">
        <v>29.702432000000002</v>
      </c>
      <c r="BO155">
        <v>291.73029000000002</v>
      </c>
      <c r="BP155" t="s">
        <v>273</v>
      </c>
      <c r="BQ155">
        <v>21.513159999999999</v>
      </c>
      <c r="BR155">
        <v>21.760871999999999</v>
      </c>
      <c r="BS155">
        <v>398.19632000000001</v>
      </c>
      <c r="BT155" t="s">
        <v>273</v>
      </c>
      <c r="BU155">
        <v>5.3659520000000001</v>
      </c>
      <c r="BV155">
        <v>5.4277379999999997</v>
      </c>
      <c r="BW155">
        <v>1596.4476629999999</v>
      </c>
      <c r="BX155" t="s">
        <v>273</v>
      </c>
      <c r="BY155">
        <v>20.645985</v>
      </c>
      <c r="BZ155">
        <v>19.561565000000002</v>
      </c>
      <c r="CA155">
        <v>24.025248999999999</v>
      </c>
      <c r="CB155">
        <v>29.364318999999998</v>
      </c>
      <c r="CC155">
        <v>15.697338</v>
      </c>
      <c r="CD155">
        <v>24.088888000000001</v>
      </c>
      <c r="CE155" t="s">
        <v>273</v>
      </c>
      <c r="CF155">
        <v>20.883711999999999</v>
      </c>
      <c r="CG155">
        <v>19.786805000000001</v>
      </c>
      <c r="CH155">
        <v>24.301886</v>
      </c>
      <c r="CI155">
        <v>29.702432000000002</v>
      </c>
      <c r="CJ155">
        <v>15.878083999999999</v>
      </c>
      <c r="CK155">
        <v>24.366257999999998</v>
      </c>
      <c r="CL155" t="s">
        <v>273</v>
      </c>
      <c r="CM155">
        <v>414.92141800000002</v>
      </c>
      <c r="CN155">
        <v>437.92311100000001</v>
      </c>
      <c r="CO155">
        <v>356.56077399999998</v>
      </c>
      <c r="CP155">
        <v>291.73029000000002</v>
      </c>
      <c r="CQ155">
        <v>545.72700699999996</v>
      </c>
      <c r="CR155">
        <v>355.618786</v>
      </c>
      <c r="CS155" t="s">
        <v>273</v>
      </c>
      <c r="CT155">
        <v>494.44563499999998</v>
      </c>
      <c r="CU155">
        <v>562.34779300000002</v>
      </c>
      <c r="CV155">
        <v>424.83741500000002</v>
      </c>
      <c r="CW155">
        <v>988.25150900000006</v>
      </c>
      <c r="CX155">
        <v>324.55425700000001</v>
      </c>
      <c r="CY155">
        <v>732.82185900000002</v>
      </c>
      <c r="CZ155" t="s">
        <v>273</v>
      </c>
      <c r="DA155">
        <v>3.6123829999999999</v>
      </c>
      <c r="DB155">
        <v>510.01</v>
      </c>
      <c r="DC155">
        <v>3.8926759999999998</v>
      </c>
      <c r="DD155">
        <v>864</v>
      </c>
      <c r="DE155">
        <v>3.6118549999999998</v>
      </c>
      <c r="DF155">
        <v>505</v>
      </c>
      <c r="DG155">
        <v>10.268974999999999</v>
      </c>
      <c r="DH155">
        <v>765</v>
      </c>
      <c r="DI155">
        <v>1.8028230000000001</v>
      </c>
      <c r="DJ155">
        <v>235</v>
      </c>
      <c r="DK155">
        <v>6.2467610000000002</v>
      </c>
      <c r="DL155">
        <v>365</v>
      </c>
      <c r="DM155" t="s">
        <v>273</v>
      </c>
      <c r="DN155">
        <v>2.443479</v>
      </c>
      <c r="DO155">
        <v>4.6619099999999998</v>
      </c>
      <c r="DP155">
        <v>2.6675450000000001</v>
      </c>
      <c r="DQ155" t="s">
        <v>282</v>
      </c>
      <c r="DR155">
        <v>2.808192</v>
      </c>
      <c r="DS155">
        <v>13.086437999999999</v>
      </c>
      <c r="DT155">
        <v>23.224084999999999</v>
      </c>
      <c r="DU155">
        <v>113.640269</v>
      </c>
      <c r="DV155">
        <v>173.331862</v>
      </c>
      <c r="DW155" t="s">
        <v>283</v>
      </c>
      <c r="DX155" t="s">
        <v>273</v>
      </c>
      <c r="DY155">
        <v>21.527372</v>
      </c>
      <c r="DZ155">
        <v>2.3078999999999999E-2</v>
      </c>
      <c r="EA155">
        <v>1.2355160000000001</v>
      </c>
      <c r="EB155">
        <v>1.0294179999999999</v>
      </c>
      <c r="EC155">
        <v>83.318922000000001</v>
      </c>
      <c r="ED155">
        <v>17.587903000000001</v>
      </c>
      <c r="EE155">
        <v>625.08023200000002</v>
      </c>
      <c r="EF155">
        <v>7.1252449999999996</v>
      </c>
      <c r="EG155">
        <v>16</v>
      </c>
      <c r="EH155">
        <v>16</v>
      </c>
      <c r="EI155">
        <v>16</v>
      </c>
      <c r="EJ155">
        <v>16</v>
      </c>
      <c r="EK155" t="s">
        <v>273</v>
      </c>
      <c r="EL155" t="s">
        <v>273</v>
      </c>
      <c r="EM155">
        <v>18.302254999999999</v>
      </c>
      <c r="EN155">
        <v>1.2371999999999999E-2</v>
      </c>
      <c r="EO155">
        <v>1.194671</v>
      </c>
      <c r="EP155">
        <v>0.95509299999999997</v>
      </c>
      <c r="EQ155">
        <v>79.946109000000007</v>
      </c>
      <c r="ER155">
        <v>14.043881000000001</v>
      </c>
      <c r="ES155">
        <v>526.79309000000001</v>
      </c>
      <c r="ET155">
        <v>3.8196490000000001</v>
      </c>
      <c r="EU155">
        <v>23</v>
      </c>
      <c r="EV155">
        <v>23</v>
      </c>
      <c r="EW155">
        <v>23</v>
      </c>
      <c r="EX155">
        <v>23</v>
      </c>
      <c r="EY155" t="s">
        <v>273</v>
      </c>
      <c r="EZ155" t="s">
        <v>273</v>
      </c>
      <c r="FA155">
        <v>25.029997000000002</v>
      </c>
      <c r="FB155">
        <v>2.3306E-2</v>
      </c>
      <c r="FC155">
        <v>1.2343040000000001</v>
      </c>
      <c r="FD155">
        <v>1.0294030000000001</v>
      </c>
      <c r="FE155">
        <v>83.399471000000005</v>
      </c>
      <c r="FF155">
        <v>20.467970999999999</v>
      </c>
      <c r="FG155">
        <v>625.12353099999996</v>
      </c>
      <c r="FH155">
        <v>7.195379</v>
      </c>
      <c r="FI155">
        <v>16</v>
      </c>
      <c r="FJ155">
        <v>16</v>
      </c>
      <c r="FK155">
        <v>16</v>
      </c>
      <c r="FL155">
        <v>16</v>
      </c>
      <c r="FM155" t="s">
        <v>273</v>
      </c>
      <c r="FN155" t="s">
        <v>273</v>
      </c>
      <c r="FO155">
        <v>27.460830000000001</v>
      </c>
      <c r="FP155">
        <v>4.199E-2</v>
      </c>
      <c r="FQ155">
        <v>3.150067</v>
      </c>
      <c r="FR155">
        <v>2.771798</v>
      </c>
      <c r="FS155">
        <v>87.991719000000003</v>
      </c>
      <c r="FT155">
        <v>24.015181999999999</v>
      </c>
      <c r="FU155">
        <v>600.09319800000003</v>
      </c>
      <c r="FV155">
        <v>12.963827999999999</v>
      </c>
      <c r="FW155">
        <v>7</v>
      </c>
      <c r="FX155">
        <v>7</v>
      </c>
      <c r="FY155">
        <v>7</v>
      </c>
      <c r="FZ155">
        <v>7</v>
      </c>
      <c r="GA155" t="s">
        <v>273</v>
      </c>
      <c r="GB155" t="s">
        <v>273</v>
      </c>
      <c r="GC155">
        <v>29.195903999999999</v>
      </c>
      <c r="GD155">
        <v>4.2918999999999999E-2</v>
      </c>
      <c r="GE155">
        <v>1.0998870000000001</v>
      </c>
      <c r="GF155">
        <v>0.89564900000000003</v>
      </c>
      <c r="GG155">
        <v>81.431020000000004</v>
      </c>
      <c r="GH155">
        <v>22.959734000000001</v>
      </c>
      <c r="GI155">
        <v>1073.2441899999999</v>
      </c>
      <c r="GJ155">
        <v>13.250508999999999</v>
      </c>
      <c r="GK155">
        <v>27</v>
      </c>
      <c r="GL155">
        <v>27</v>
      </c>
      <c r="GM155">
        <v>23</v>
      </c>
      <c r="GN155">
        <v>24</v>
      </c>
      <c r="GO155" t="s">
        <v>273</v>
      </c>
      <c r="GP155" t="s">
        <v>273</v>
      </c>
      <c r="GQ155">
        <v>30.793178000000001</v>
      </c>
      <c r="GR155">
        <v>7.2492000000000001E-2</v>
      </c>
      <c r="GS155">
        <v>2.6193379999999999</v>
      </c>
      <c r="GT155">
        <v>2.2895409999999998</v>
      </c>
      <c r="GU155">
        <v>87.409143999999998</v>
      </c>
      <c r="GV155">
        <v>26.676390000000001</v>
      </c>
      <c r="GW155">
        <v>812.57464100000004</v>
      </c>
      <c r="GX155">
        <v>22.380725000000002</v>
      </c>
      <c r="GY155">
        <v>37</v>
      </c>
      <c r="GZ155">
        <v>37</v>
      </c>
      <c r="HA155">
        <v>14</v>
      </c>
      <c r="HB155">
        <v>14</v>
      </c>
      <c r="HC155" t="s">
        <v>273</v>
      </c>
      <c r="HD155" t="s">
        <v>273</v>
      </c>
      <c r="HE155">
        <v>9</v>
      </c>
      <c r="HF155">
        <v>1E-3</v>
      </c>
      <c r="HG155">
        <v>6.4999999999999997E-3</v>
      </c>
      <c r="HH155">
        <v>0.111111</v>
      </c>
      <c r="HI155">
        <v>3750</v>
      </c>
    </row>
    <row r="156" spans="1:217" x14ac:dyDescent="0.3">
      <c r="A156">
        <v>840</v>
      </c>
      <c r="B156" t="s">
        <v>269</v>
      </c>
      <c r="F156" t="s">
        <v>270</v>
      </c>
      <c r="G156" t="s">
        <v>293</v>
      </c>
      <c r="H156" t="s">
        <v>294</v>
      </c>
      <c r="I156">
        <v>4750</v>
      </c>
      <c r="J156">
        <v>1</v>
      </c>
      <c r="K156">
        <v>72.774219000000002</v>
      </c>
      <c r="L156">
        <v>0.22</v>
      </c>
      <c r="M156">
        <v>2.9721000000000001E-2</v>
      </c>
      <c r="N156">
        <v>0</v>
      </c>
      <c r="O156">
        <v>0</v>
      </c>
      <c r="P156">
        <v>0</v>
      </c>
      <c r="Q156">
        <v>21.08</v>
      </c>
      <c r="R156">
        <v>1</v>
      </c>
      <c r="S156">
        <v>1</v>
      </c>
      <c r="T156">
        <v>1</v>
      </c>
      <c r="U156">
        <v>1</v>
      </c>
      <c r="V156">
        <v>100</v>
      </c>
      <c r="W156" t="s">
        <v>273</v>
      </c>
      <c r="X156" t="s">
        <v>274</v>
      </c>
      <c r="Y156" t="s">
        <v>274</v>
      </c>
      <c r="Z156" t="s">
        <v>273</v>
      </c>
      <c r="AA156" t="s">
        <v>275</v>
      </c>
      <c r="AB156" t="s">
        <v>276</v>
      </c>
      <c r="AC156">
        <v>823</v>
      </c>
      <c r="AD156">
        <v>5</v>
      </c>
      <c r="AE156" t="s">
        <v>277</v>
      </c>
      <c r="AF156">
        <v>2.4069210000000001</v>
      </c>
      <c r="AG156">
        <v>100</v>
      </c>
      <c r="AH156">
        <v>21.7</v>
      </c>
      <c r="AI156">
        <v>1300</v>
      </c>
      <c r="AJ156">
        <v>800</v>
      </c>
      <c r="AK156">
        <v>1200</v>
      </c>
      <c r="AL156">
        <v>113.3</v>
      </c>
      <c r="AM156">
        <v>2.2000000000000002</v>
      </c>
      <c r="AN156" t="s">
        <v>273</v>
      </c>
      <c r="AO156" t="s">
        <v>278</v>
      </c>
      <c r="AP156" t="s">
        <v>297</v>
      </c>
      <c r="AQ156">
        <v>7</v>
      </c>
      <c r="AR156">
        <v>8</v>
      </c>
      <c r="AS156">
        <v>393.2</v>
      </c>
      <c r="AT156">
        <v>715.3</v>
      </c>
      <c r="AU156">
        <v>0.40698000000000001</v>
      </c>
      <c r="AV156">
        <v>37.200000000000003</v>
      </c>
      <c r="AW156">
        <v>231.7</v>
      </c>
      <c r="AX156" t="s">
        <v>280</v>
      </c>
      <c r="AY156">
        <v>0</v>
      </c>
      <c r="AZ156" t="s">
        <v>281</v>
      </c>
      <c r="BA156">
        <v>0.2</v>
      </c>
      <c r="BB156">
        <v>0.5</v>
      </c>
      <c r="BC156" t="s">
        <v>273</v>
      </c>
      <c r="BD156" t="s">
        <v>273</v>
      </c>
      <c r="BE156">
        <v>16.525217999999999</v>
      </c>
      <c r="BF156">
        <v>16.715496999999999</v>
      </c>
      <c r="BG156">
        <v>518.38717199999996</v>
      </c>
      <c r="BH156" t="s">
        <v>273</v>
      </c>
      <c r="BI156">
        <v>23.588842</v>
      </c>
      <c r="BJ156">
        <v>23.860454000000001</v>
      </c>
      <c r="BK156">
        <v>363.157352</v>
      </c>
      <c r="BL156" t="s">
        <v>273</v>
      </c>
      <c r="BM156">
        <v>23.589766000000001</v>
      </c>
      <c r="BN156">
        <v>23.861388000000002</v>
      </c>
      <c r="BO156">
        <v>363.14312699999999</v>
      </c>
      <c r="BP156" t="s">
        <v>273</v>
      </c>
      <c r="BQ156">
        <v>17.377852000000001</v>
      </c>
      <c r="BR156">
        <v>17.577949</v>
      </c>
      <c r="BS156">
        <v>492.95281599999998</v>
      </c>
      <c r="BT156" t="s">
        <v>273</v>
      </c>
      <c r="BU156">
        <v>4.5062430000000004</v>
      </c>
      <c r="BV156">
        <v>4.5581300000000002</v>
      </c>
      <c r="BW156">
        <v>1901.0205599999999</v>
      </c>
      <c r="BX156" t="s">
        <v>273</v>
      </c>
      <c r="BY156">
        <v>16.317619000000001</v>
      </c>
      <c r="BZ156">
        <v>15.540770999999999</v>
      </c>
      <c r="CA156">
        <v>18.980426999999999</v>
      </c>
      <c r="CB156">
        <v>23.589766000000001</v>
      </c>
      <c r="CC156">
        <v>12.466431</v>
      </c>
      <c r="CD156">
        <v>19.607520999999998</v>
      </c>
      <c r="CE156" t="s">
        <v>273</v>
      </c>
      <c r="CF156">
        <v>16.505507000000001</v>
      </c>
      <c r="CG156">
        <v>15.719714</v>
      </c>
      <c r="CH156">
        <v>19.198975999999998</v>
      </c>
      <c r="CI156">
        <v>23.861388000000002</v>
      </c>
      <c r="CJ156">
        <v>12.609975</v>
      </c>
      <c r="CK156">
        <v>19.833290000000002</v>
      </c>
      <c r="CL156" t="s">
        <v>273</v>
      </c>
      <c r="CM156">
        <v>524.98231399999997</v>
      </c>
      <c r="CN156">
        <v>551.22498800000005</v>
      </c>
      <c r="CO156">
        <v>451.331323</v>
      </c>
      <c r="CP156">
        <v>363.14312699999999</v>
      </c>
      <c r="CQ156">
        <v>687.16228000000001</v>
      </c>
      <c r="CR156">
        <v>436.89670699999999</v>
      </c>
      <c r="CS156" t="s">
        <v>273</v>
      </c>
      <c r="CT156">
        <v>625.64289099999996</v>
      </c>
      <c r="CU156">
        <v>707.80700000000002</v>
      </c>
      <c r="CV156">
        <v>537.79262800000004</v>
      </c>
      <c r="CW156">
        <v>1230.1721709999999</v>
      </c>
      <c r="CX156">
        <v>408.75386200000003</v>
      </c>
      <c r="CY156">
        <v>900.38608399999998</v>
      </c>
      <c r="CZ156" t="s">
        <v>273</v>
      </c>
      <c r="DA156">
        <v>3.6126260000000001</v>
      </c>
      <c r="DB156">
        <v>510.01</v>
      </c>
      <c r="DC156">
        <v>3.8924859999999999</v>
      </c>
      <c r="DD156">
        <v>864</v>
      </c>
      <c r="DE156">
        <v>3.6121059999999998</v>
      </c>
      <c r="DF156">
        <v>505</v>
      </c>
      <c r="DG156">
        <v>10.269024999999999</v>
      </c>
      <c r="DH156">
        <v>765</v>
      </c>
      <c r="DI156">
        <v>1.803199</v>
      </c>
      <c r="DJ156">
        <v>235</v>
      </c>
      <c r="DK156">
        <v>6.2472820000000002</v>
      </c>
      <c r="DL156">
        <v>365</v>
      </c>
      <c r="DM156" t="s">
        <v>273</v>
      </c>
      <c r="DN156">
        <v>2.522329</v>
      </c>
      <c r="DO156">
        <v>4.8655739999999996</v>
      </c>
      <c r="DP156">
        <v>2.922574</v>
      </c>
      <c r="DQ156" t="s">
        <v>282</v>
      </c>
      <c r="DR156">
        <v>3.0509529999999998</v>
      </c>
      <c r="DS156">
        <v>13.277758</v>
      </c>
      <c r="DT156">
        <v>24.116859999999999</v>
      </c>
      <c r="DU156">
        <v>112.35567500000001</v>
      </c>
      <c r="DV156">
        <v>169.27969200000001</v>
      </c>
      <c r="DW156" t="s">
        <v>283</v>
      </c>
      <c r="DX156" t="s">
        <v>273</v>
      </c>
      <c r="DY156">
        <v>21.693089000000001</v>
      </c>
      <c r="DZ156">
        <v>2.2924E-2</v>
      </c>
      <c r="EA156">
        <v>1.575385</v>
      </c>
      <c r="EB156">
        <v>1.3021</v>
      </c>
      <c r="EC156">
        <v>82.652859000000007</v>
      </c>
      <c r="ED156">
        <v>17.584069</v>
      </c>
      <c r="EE156">
        <v>790.71441500000003</v>
      </c>
      <c r="EF156">
        <v>9.0139019999999999</v>
      </c>
      <c r="EG156">
        <v>12</v>
      </c>
      <c r="EH156">
        <v>12</v>
      </c>
      <c r="EI156">
        <v>12</v>
      </c>
      <c r="EJ156">
        <v>12</v>
      </c>
      <c r="EK156" t="s">
        <v>273</v>
      </c>
      <c r="EL156" t="s">
        <v>273</v>
      </c>
      <c r="EM156">
        <v>18.534462000000001</v>
      </c>
      <c r="EN156">
        <v>1.2305E-2</v>
      </c>
      <c r="EO156">
        <v>1.522767</v>
      </c>
      <c r="EP156">
        <v>1.214575</v>
      </c>
      <c r="EQ156">
        <v>79.761025000000004</v>
      </c>
      <c r="ER156">
        <v>14.134351000000001</v>
      </c>
      <c r="ES156">
        <v>667.35957499999995</v>
      </c>
      <c r="ET156">
        <v>4.8386269999999998</v>
      </c>
      <c r="EU156">
        <v>19</v>
      </c>
      <c r="EV156">
        <v>19</v>
      </c>
      <c r="EW156">
        <v>19</v>
      </c>
      <c r="EX156">
        <v>19</v>
      </c>
      <c r="EY156" t="s">
        <v>273</v>
      </c>
      <c r="EZ156" t="s">
        <v>273</v>
      </c>
      <c r="FA156">
        <v>25.211482</v>
      </c>
      <c r="FB156">
        <v>2.3148999999999999E-2</v>
      </c>
      <c r="FC156">
        <v>1.573809</v>
      </c>
      <c r="FD156">
        <v>1.3020099999999999</v>
      </c>
      <c r="FE156">
        <v>82.729889999999997</v>
      </c>
      <c r="FF156">
        <v>20.454626999999999</v>
      </c>
      <c r="FG156">
        <v>790.75934400000006</v>
      </c>
      <c r="FH156">
        <v>9.1025349999999996</v>
      </c>
      <c r="FI156">
        <v>12</v>
      </c>
      <c r="FJ156">
        <v>12</v>
      </c>
      <c r="FK156">
        <v>12</v>
      </c>
      <c r="FL156">
        <v>12</v>
      </c>
      <c r="FM156" t="s">
        <v>273</v>
      </c>
      <c r="FN156" t="s">
        <v>273</v>
      </c>
      <c r="FO156">
        <v>27.936807000000002</v>
      </c>
      <c r="FP156">
        <v>4.1717999999999998E-2</v>
      </c>
      <c r="FQ156">
        <v>3.9891589999999999</v>
      </c>
      <c r="FR156">
        <v>3.5063879999999998</v>
      </c>
      <c r="FS156">
        <v>87.897914999999998</v>
      </c>
      <c r="FT156">
        <v>24.411985000000001</v>
      </c>
      <c r="FU156">
        <v>759.33287199999995</v>
      </c>
      <c r="FV156">
        <v>16.403966</v>
      </c>
      <c r="FW156">
        <v>5</v>
      </c>
      <c r="FX156">
        <v>5</v>
      </c>
      <c r="FY156">
        <v>5</v>
      </c>
      <c r="FZ156">
        <v>5</v>
      </c>
      <c r="GA156" t="s">
        <v>273</v>
      </c>
      <c r="GB156" t="s">
        <v>273</v>
      </c>
      <c r="GC156">
        <v>29.704329999999999</v>
      </c>
      <c r="GD156">
        <v>4.2719E-2</v>
      </c>
      <c r="GE156">
        <v>1.4093549999999999</v>
      </c>
      <c r="GF156">
        <v>1.137127</v>
      </c>
      <c r="GG156">
        <v>80.684256000000005</v>
      </c>
      <c r="GH156">
        <v>23.110417999999999</v>
      </c>
      <c r="GI156">
        <v>1360.264684</v>
      </c>
      <c r="GJ156">
        <v>16.797635</v>
      </c>
      <c r="GK156">
        <v>21</v>
      </c>
      <c r="GL156">
        <v>21</v>
      </c>
      <c r="GM156">
        <v>19</v>
      </c>
      <c r="GN156">
        <v>21</v>
      </c>
      <c r="GO156" t="s">
        <v>273</v>
      </c>
      <c r="GP156" t="s">
        <v>273</v>
      </c>
      <c r="GQ156">
        <v>31.752074</v>
      </c>
      <c r="GR156">
        <v>7.2175000000000003E-2</v>
      </c>
      <c r="GS156">
        <v>3.3184830000000001</v>
      </c>
      <c r="GT156">
        <v>2.9018039999999998</v>
      </c>
      <c r="GU156">
        <v>87.443697</v>
      </c>
      <c r="GV156">
        <v>27.531642999999999</v>
      </c>
      <c r="GW156">
        <v>1030.297247</v>
      </c>
      <c r="GX156">
        <v>28.379823999999999</v>
      </c>
      <c r="GY156">
        <v>42</v>
      </c>
      <c r="GZ156">
        <v>42</v>
      </c>
      <c r="HA156">
        <v>17</v>
      </c>
      <c r="HB156">
        <v>18</v>
      </c>
      <c r="HC156" t="s">
        <v>273</v>
      </c>
      <c r="HD156" t="s">
        <v>273</v>
      </c>
      <c r="HE156">
        <v>9</v>
      </c>
      <c r="HF156">
        <v>1E-3</v>
      </c>
      <c r="HG156">
        <v>6.4999999999999997E-3</v>
      </c>
      <c r="HH156">
        <v>0.111111</v>
      </c>
      <c r="HI156">
        <v>4750</v>
      </c>
    </row>
    <row r="157" spans="1:217" x14ac:dyDescent="0.3">
      <c r="A157">
        <v>841</v>
      </c>
      <c r="B157" t="s">
        <v>269</v>
      </c>
      <c r="F157" t="s">
        <v>270</v>
      </c>
      <c r="G157" t="s">
        <v>293</v>
      </c>
      <c r="H157" t="s">
        <v>294</v>
      </c>
      <c r="I157">
        <v>5500</v>
      </c>
      <c r="J157">
        <v>1</v>
      </c>
      <c r="K157">
        <v>84.785937000000004</v>
      </c>
      <c r="L157">
        <v>0.22</v>
      </c>
      <c r="M157">
        <v>3.4847999999999997E-2</v>
      </c>
      <c r="N157">
        <v>0</v>
      </c>
      <c r="O157">
        <v>0</v>
      </c>
      <c r="P157">
        <v>0</v>
      </c>
      <c r="Q157">
        <v>24.39</v>
      </c>
      <c r="R157">
        <v>1</v>
      </c>
      <c r="S157">
        <v>1</v>
      </c>
      <c r="T157">
        <v>1</v>
      </c>
      <c r="U157">
        <v>1</v>
      </c>
      <c r="V157">
        <v>100</v>
      </c>
      <c r="W157" t="s">
        <v>273</v>
      </c>
      <c r="X157" t="s">
        <v>274</v>
      </c>
      <c r="Y157" t="s">
        <v>274</v>
      </c>
      <c r="Z157" t="s">
        <v>273</v>
      </c>
      <c r="AA157" t="s">
        <v>275</v>
      </c>
      <c r="AB157" t="s">
        <v>276</v>
      </c>
      <c r="AC157">
        <v>469</v>
      </c>
      <c r="AD157">
        <v>5</v>
      </c>
      <c r="AE157" t="s">
        <v>277</v>
      </c>
      <c r="AF157">
        <v>2.962364</v>
      </c>
      <c r="AG157">
        <v>100</v>
      </c>
      <c r="AH157">
        <v>26.7</v>
      </c>
      <c r="AI157">
        <v>1600</v>
      </c>
      <c r="AJ157">
        <v>800</v>
      </c>
      <c r="AK157">
        <v>1200</v>
      </c>
      <c r="AL157">
        <v>150</v>
      </c>
      <c r="AM157">
        <v>2.2000000000000002</v>
      </c>
      <c r="AN157" t="s">
        <v>273</v>
      </c>
      <c r="AO157" t="s">
        <v>278</v>
      </c>
      <c r="AP157" t="s">
        <v>295</v>
      </c>
      <c r="AQ157">
        <v>4</v>
      </c>
      <c r="AR157">
        <v>8</v>
      </c>
      <c r="AS157">
        <v>224.3</v>
      </c>
      <c r="AT157">
        <v>408</v>
      </c>
      <c r="AU157">
        <v>0.23255999999999999</v>
      </c>
      <c r="AV157">
        <v>36.299999999999997</v>
      </c>
      <c r="AW157">
        <v>237</v>
      </c>
      <c r="AX157" t="s">
        <v>280</v>
      </c>
      <c r="AY157">
        <v>0</v>
      </c>
      <c r="AZ157" t="s">
        <v>281</v>
      </c>
      <c r="BA157">
        <v>0.2</v>
      </c>
      <c r="BB157">
        <v>0.5</v>
      </c>
      <c r="BC157" t="s">
        <v>273</v>
      </c>
      <c r="BD157" t="s">
        <v>273</v>
      </c>
      <c r="BE157">
        <v>17.761044999999999</v>
      </c>
      <c r="BF157">
        <v>17.965553</v>
      </c>
      <c r="BG157">
        <v>482.31741899999997</v>
      </c>
      <c r="BH157" t="s">
        <v>273</v>
      </c>
      <c r="BI157">
        <v>22.875091999999999</v>
      </c>
      <c r="BJ157">
        <v>23.138486</v>
      </c>
      <c r="BK157">
        <v>374.48859800000002</v>
      </c>
      <c r="BL157" t="s">
        <v>273</v>
      </c>
      <c r="BM157">
        <v>22.876065000000001</v>
      </c>
      <c r="BN157">
        <v>23.139469999999999</v>
      </c>
      <c r="BO157">
        <v>374.47267499999998</v>
      </c>
      <c r="BP157" t="s">
        <v>273</v>
      </c>
      <c r="BQ157">
        <v>15.64184</v>
      </c>
      <c r="BR157">
        <v>15.821947</v>
      </c>
      <c r="BS157">
        <v>547.66326600000002</v>
      </c>
      <c r="BT157" t="s">
        <v>273</v>
      </c>
      <c r="BU157">
        <v>5.9429020000000001</v>
      </c>
      <c r="BV157">
        <v>6.0113310000000002</v>
      </c>
      <c r="BW157">
        <v>1441.4610130000001</v>
      </c>
      <c r="BX157" t="s">
        <v>273</v>
      </c>
      <c r="BY157">
        <v>16.560276999999999</v>
      </c>
      <c r="BZ157">
        <v>17.587619</v>
      </c>
      <c r="CA157">
        <v>19.166464000000001</v>
      </c>
      <c r="CB157">
        <v>22.876065000000001</v>
      </c>
      <c r="CC157">
        <v>11.917012</v>
      </c>
      <c r="CD157">
        <v>17.186340000000001</v>
      </c>
      <c r="CE157" t="s">
        <v>273</v>
      </c>
      <c r="CF157">
        <v>16.750959000000002</v>
      </c>
      <c r="CG157">
        <v>17.790130999999999</v>
      </c>
      <c r="CH157">
        <v>19.387155</v>
      </c>
      <c r="CI157">
        <v>23.139469999999999</v>
      </c>
      <c r="CJ157">
        <v>12.054228999999999</v>
      </c>
      <c r="CK157">
        <v>17.384231</v>
      </c>
      <c r="CL157" t="s">
        <v>273</v>
      </c>
      <c r="CM157">
        <v>517.28974300000004</v>
      </c>
      <c r="CN157">
        <v>487.07338199999998</v>
      </c>
      <c r="CO157">
        <v>446.95052600000002</v>
      </c>
      <c r="CP157">
        <v>374.47267499999998</v>
      </c>
      <c r="CQ157">
        <v>718.84307000000001</v>
      </c>
      <c r="CR157">
        <v>498.44593099999997</v>
      </c>
      <c r="CS157" t="s">
        <v>273</v>
      </c>
      <c r="CT157">
        <v>615.776927</v>
      </c>
      <c r="CU157">
        <v>624.01897699999995</v>
      </c>
      <c r="CV157">
        <v>531.93741</v>
      </c>
      <c r="CW157">
        <v>1268.3881839999999</v>
      </c>
      <c r="CX157">
        <v>425.72470399999997</v>
      </c>
      <c r="CY157">
        <v>1026.7086959999999</v>
      </c>
      <c r="CZ157" t="s">
        <v>273</v>
      </c>
      <c r="DA157">
        <v>3.608533</v>
      </c>
      <c r="DB157">
        <v>510.01</v>
      </c>
      <c r="DC157">
        <v>3.8836900000000001</v>
      </c>
      <c r="DD157">
        <v>864</v>
      </c>
      <c r="DE157">
        <v>3.6077979999999998</v>
      </c>
      <c r="DF157">
        <v>505</v>
      </c>
      <c r="DG157">
        <v>10.267701000000001</v>
      </c>
      <c r="DH157">
        <v>765</v>
      </c>
      <c r="DI157">
        <v>1.7952950000000001</v>
      </c>
      <c r="DJ157">
        <v>235</v>
      </c>
      <c r="DK157">
        <v>6.2441069999999996</v>
      </c>
      <c r="DL157">
        <v>365</v>
      </c>
      <c r="DM157" t="s">
        <v>273</v>
      </c>
      <c r="DN157">
        <v>3.6119780000000001</v>
      </c>
      <c r="DO157">
        <v>8.4199649999999995</v>
      </c>
      <c r="DP157">
        <v>4.4822319999999998</v>
      </c>
      <c r="DQ157" t="s">
        <v>282</v>
      </c>
      <c r="DR157">
        <v>5.0245769999999998</v>
      </c>
      <c r="DS157">
        <v>16.670767000000001</v>
      </c>
      <c r="DT157">
        <v>34.597541</v>
      </c>
      <c r="DU157">
        <v>87.558205999999998</v>
      </c>
      <c r="DV157">
        <v>127.587993</v>
      </c>
      <c r="DW157" t="s">
        <v>283</v>
      </c>
      <c r="DX157" t="s">
        <v>273</v>
      </c>
      <c r="DY157">
        <v>25.259326000000001</v>
      </c>
      <c r="DZ157">
        <v>4.6535E-2</v>
      </c>
      <c r="EA157">
        <v>1.8054429999999999</v>
      </c>
      <c r="EB157">
        <v>1.499717</v>
      </c>
      <c r="EC157">
        <v>83.066412999999997</v>
      </c>
      <c r="ED157">
        <v>20.683873999999999</v>
      </c>
      <c r="EE157">
        <v>916.47863900000004</v>
      </c>
      <c r="EF157">
        <v>10.435739</v>
      </c>
      <c r="EG157">
        <v>24</v>
      </c>
      <c r="EH157">
        <v>24</v>
      </c>
      <c r="EI157">
        <v>22</v>
      </c>
      <c r="EJ157">
        <v>22</v>
      </c>
      <c r="EK157" t="s">
        <v>273</v>
      </c>
      <c r="EL157" t="s">
        <v>273</v>
      </c>
      <c r="EM157">
        <v>24.144634</v>
      </c>
      <c r="EN157">
        <v>2.495E-2</v>
      </c>
      <c r="EO157">
        <v>1.7488680000000001</v>
      </c>
      <c r="EP157">
        <v>1.375316</v>
      </c>
      <c r="EQ157">
        <v>78.640345999999994</v>
      </c>
      <c r="ER157">
        <v>18.539079999999998</v>
      </c>
      <c r="ES157">
        <v>773.46026800000004</v>
      </c>
      <c r="ET157">
        <v>5.5952270000000004</v>
      </c>
      <c r="EU157">
        <v>25</v>
      </c>
      <c r="EV157">
        <v>25</v>
      </c>
      <c r="EW157">
        <v>25</v>
      </c>
      <c r="EX157">
        <v>25</v>
      </c>
      <c r="EY157" t="s">
        <v>273</v>
      </c>
      <c r="EZ157" t="s">
        <v>273</v>
      </c>
      <c r="FA157">
        <v>29.181380999999998</v>
      </c>
      <c r="FB157">
        <v>4.6989000000000003E-2</v>
      </c>
      <c r="FC157">
        <v>1.8017939999999999</v>
      </c>
      <c r="FD157">
        <v>1.499463</v>
      </c>
      <c r="FE157">
        <v>83.220572000000004</v>
      </c>
      <c r="FF157">
        <v>23.939662999999999</v>
      </c>
      <c r="FG157">
        <v>916.505179</v>
      </c>
      <c r="FH157">
        <v>10.537428999999999</v>
      </c>
      <c r="FI157">
        <v>28</v>
      </c>
      <c r="FJ157">
        <v>28</v>
      </c>
      <c r="FK157">
        <v>23</v>
      </c>
      <c r="FL157">
        <v>23</v>
      </c>
      <c r="FM157" t="s">
        <v>273</v>
      </c>
      <c r="FN157" t="s">
        <v>273</v>
      </c>
      <c r="FO157">
        <v>31.357337000000001</v>
      </c>
      <c r="FP157">
        <v>8.4653999999999993E-2</v>
      </c>
      <c r="FQ157">
        <v>4.6166830000000001</v>
      </c>
      <c r="FR157">
        <v>4.0537559999999999</v>
      </c>
      <c r="FS157">
        <v>87.806687999999994</v>
      </c>
      <c r="FT157">
        <v>27.400323</v>
      </c>
      <c r="FU157">
        <v>878.87488499999995</v>
      </c>
      <c r="FV157">
        <v>18.983999000000001</v>
      </c>
      <c r="FW157">
        <v>16</v>
      </c>
      <c r="FX157">
        <v>16</v>
      </c>
      <c r="FY157">
        <v>16</v>
      </c>
      <c r="FZ157">
        <v>15</v>
      </c>
      <c r="GA157" t="s">
        <v>273</v>
      </c>
      <c r="GB157" t="s">
        <v>273</v>
      </c>
      <c r="GC157">
        <v>30.879093999999998</v>
      </c>
      <c r="GD157">
        <v>8.6559999999999998E-2</v>
      </c>
      <c r="GE157">
        <v>1.5259210000000001</v>
      </c>
      <c r="GF157">
        <v>1.3044519999999999</v>
      </c>
      <c r="GG157">
        <v>85.486232000000001</v>
      </c>
      <c r="GH157">
        <v>25.641836999999999</v>
      </c>
      <c r="GI157">
        <v>1578.847313</v>
      </c>
      <c r="GJ157">
        <v>19.411408999999999</v>
      </c>
      <c r="GK157">
        <v>35</v>
      </c>
      <c r="GL157">
        <v>35</v>
      </c>
      <c r="GM157">
        <v>14</v>
      </c>
      <c r="GN157">
        <v>25</v>
      </c>
      <c r="GO157" t="s">
        <v>273</v>
      </c>
      <c r="GP157" t="s">
        <v>273</v>
      </c>
      <c r="GQ157">
        <v>32.198220999999997</v>
      </c>
      <c r="GR157">
        <v>0.14638899999999999</v>
      </c>
      <c r="GS157">
        <v>3.8372299999999999</v>
      </c>
      <c r="GT157">
        <v>3.3517130000000002</v>
      </c>
      <c r="GU157">
        <v>87.347204000000005</v>
      </c>
      <c r="GV157">
        <v>27.928875000000001</v>
      </c>
      <c r="GW157">
        <v>1192.402331</v>
      </c>
      <c r="GX157">
        <v>32.828358000000001</v>
      </c>
      <c r="GY157">
        <v>50</v>
      </c>
      <c r="GZ157">
        <v>50</v>
      </c>
      <c r="HA157">
        <v>40</v>
      </c>
      <c r="HB157">
        <v>42</v>
      </c>
      <c r="HC157" t="s">
        <v>273</v>
      </c>
      <c r="HD157" t="s">
        <v>273</v>
      </c>
      <c r="HE157">
        <v>18</v>
      </c>
      <c r="HF157">
        <v>1E-3</v>
      </c>
      <c r="HG157">
        <v>6.4999999999999997E-3</v>
      </c>
      <c r="HH157">
        <v>5.5556000000000001E-2</v>
      </c>
      <c r="HI157">
        <v>5500</v>
      </c>
    </row>
    <row r="158" spans="1:217" x14ac:dyDescent="0.3">
      <c r="A158">
        <v>858</v>
      </c>
      <c r="B158" t="s">
        <v>269</v>
      </c>
      <c r="F158" t="s">
        <v>270</v>
      </c>
      <c r="G158" t="s">
        <v>293</v>
      </c>
      <c r="H158" t="s">
        <v>294</v>
      </c>
      <c r="I158">
        <v>4750</v>
      </c>
      <c r="J158">
        <v>1</v>
      </c>
      <c r="K158">
        <v>67.207812000000004</v>
      </c>
      <c r="L158">
        <v>0.22</v>
      </c>
      <c r="M158">
        <v>4.3637000000000002E-2</v>
      </c>
      <c r="N158">
        <v>0</v>
      </c>
      <c r="O158">
        <v>0</v>
      </c>
      <c r="P158">
        <v>0</v>
      </c>
      <c r="Q158">
        <v>24.97</v>
      </c>
      <c r="R158">
        <v>1</v>
      </c>
      <c r="S158">
        <v>1</v>
      </c>
      <c r="T158">
        <v>1</v>
      </c>
      <c r="U158">
        <v>1</v>
      </c>
      <c r="V158">
        <v>100</v>
      </c>
      <c r="W158" t="s">
        <v>273</v>
      </c>
      <c r="X158" t="s">
        <v>274</v>
      </c>
      <c r="Y158" t="s">
        <v>274</v>
      </c>
      <c r="Z158" t="s">
        <v>273</v>
      </c>
      <c r="AA158" t="s">
        <v>275</v>
      </c>
      <c r="AB158" t="s">
        <v>276</v>
      </c>
      <c r="AC158">
        <v>823</v>
      </c>
      <c r="AD158">
        <v>5</v>
      </c>
      <c r="AE158" t="s">
        <v>277</v>
      </c>
      <c r="AF158">
        <v>2.4069210000000001</v>
      </c>
      <c r="AG158">
        <v>100</v>
      </c>
      <c r="AH158">
        <v>21.7</v>
      </c>
      <c r="AI158">
        <v>1300</v>
      </c>
      <c r="AJ158">
        <v>800</v>
      </c>
      <c r="AK158">
        <v>1200</v>
      </c>
      <c r="AL158">
        <v>113.3</v>
      </c>
      <c r="AM158">
        <v>2.2000000000000002</v>
      </c>
      <c r="AN158" t="s">
        <v>273</v>
      </c>
      <c r="AO158" t="s">
        <v>278</v>
      </c>
      <c r="AP158" t="s">
        <v>297</v>
      </c>
      <c r="AQ158">
        <v>7</v>
      </c>
      <c r="AR158">
        <v>8</v>
      </c>
      <c r="AS158">
        <v>393.2</v>
      </c>
      <c r="AT158">
        <v>715.3</v>
      </c>
      <c r="AU158">
        <v>0.40698000000000001</v>
      </c>
      <c r="AV158">
        <v>37.200000000000003</v>
      </c>
      <c r="AW158">
        <v>231.7</v>
      </c>
      <c r="AX158" t="s">
        <v>280</v>
      </c>
      <c r="AY158">
        <v>0</v>
      </c>
      <c r="AZ158" t="s">
        <v>281</v>
      </c>
      <c r="BA158">
        <v>0.2</v>
      </c>
      <c r="BB158">
        <v>0.5</v>
      </c>
      <c r="BC158" t="s">
        <v>273</v>
      </c>
      <c r="BD158" t="s">
        <v>273</v>
      </c>
      <c r="BE158">
        <v>16.092400999999999</v>
      </c>
      <c r="BF158">
        <v>16.277695000000001</v>
      </c>
      <c r="BG158">
        <v>532.32960600000001</v>
      </c>
      <c r="BH158" t="s">
        <v>273</v>
      </c>
      <c r="BI158">
        <v>21.23724</v>
      </c>
      <c r="BJ158">
        <v>21.481774000000001</v>
      </c>
      <c r="BK158">
        <v>403.36980999999997</v>
      </c>
      <c r="BL158" t="s">
        <v>273</v>
      </c>
      <c r="BM158">
        <v>21.238012999999999</v>
      </c>
      <c r="BN158">
        <v>21.482555999999999</v>
      </c>
      <c r="BO158">
        <v>403.35512799999998</v>
      </c>
      <c r="BP158" t="s">
        <v>273</v>
      </c>
      <c r="BQ158">
        <v>14.984997999999999</v>
      </c>
      <c r="BR158">
        <v>15.157541999999999</v>
      </c>
      <c r="BS158">
        <v>571.66916600000002</v>
      </c>
      <c r="BT158" t="s">
        <v>273</v>
      </c>
      <c r="BU158">
        <v>4.3731119999999999</v>
      </c>
      <c r="BV158">
        <v>4.4234660000000003</v>
      </c>
      <c r="BW158">
        <v>1958.8937920000001</v>
      </c>
      <c r="BX158" t="s">
        <v>273</v>
      </c>
      <c r="BY158">
        <v>15.529811</v>
      </c>
      <c r="BZ158">
        <v>15.428832</v>
      </c>
      <c r="CA158">
        <v>18.053910999999999</v>
      </c>
      <c r="CB158">
        <v>21.238012999999999</v>
      </c>
      <c r="CC158">
        <v>11.822385000000001</v>
      </c>
      <c r="CD158">
        <v>16.238586999999999</v>
      </c>
      <c r="CE158" t="s">
        <v>273</v>
      </c>
      <c r="CF158">
        <v>15.708627999999999</v>
      </c>
      <c r="CG158">
        <v>15.606486</v>
      </c>
      <c r="CH158">
        <v>18.261790999999999</v>
      </c>
      <c r="CI158">
        <v>21.482555999999999</v>
      </c>
      <c r="CJ158">
        <v>11.958513</v>
      </c>
      <c r="CK158">
        <v>16.425566</v>
      </c>
      <c r="CL158" t="s">
        <v>273</v>
      </c>
      <c r="CM158">
        <v>551.61400800000001</v>
      </c>
      <c r="CN158">
        <v>555.22423900000001</v>
      </c>
      <c r="CO158">
        <v>474.49339099999997</v>
      </c>
      <c r="CP158">
        <v>403.35512799999998</v>
      </c>
      <c r="CQ158">
        <v>724.59671600000001</v>
      </c>
      <c r="CR158">
        <v>527.53734399999996</v>
      </c>
      <c r="CS158" t="s">
        <v>273</v>
      </c>
      <c r="CT158">
        <v>657.32509200000004</v>
      </c>
      <c r="CU158">
        <v>712.959655</v>
      </c>
      <c r="CV158">
        <v>565.34378600000002</v>
      </c>
      <c r="CW158">
        <v>1366.3612439999999</v>
      </c>
      <c r="CX158">
        <v>430.86793699999998</v>
      </c>
      <c r="CY158">
        <v>1087.0133969999999</v>
      </c>
      <c r="CZ158" t="s">
        <v>273</v>
      </c>
      <c r="DA158">
        <v>3.6123189999999998</v>
      </c>
      <c r="DB158">
        <v>510.01</v>
      </c>
      <c r="DC158">
        <v>3.8925809999999998</v>
      </c>
      <c r="DD158">
        <v>864</v>
      </c>
      <c r="DE158">
        <v>3.611799</v>
      </c>
      <c r="DF158">
        <v>505</v>
      </c>
      <c r="DG158">
        <v>10.268786</v>
      </c>
      <c r="DH158">
        <v>765</v>
      </c>
      <c r="DI158">
        <v>1.802557</v>
      </c>
      <c r="DJ158">
        <v>235</v>
      </c>
      <c r="DK158">
        <v>6.2462999999999997</v>
      </c>
      <c r="DL158">
        <v>365</v>
      </c>
      <c r="DM158" t="s">
        <v>273</v>
      </c>
      <c r="DN158">
        <v>2.5220259999999999</v>
      </c>
      <c r="DO158">
        <v>4.8937460000000002</v>
      </c>
      <c r="DP158">
        <v>2.94326</v>
      </c>
      <c r="DQ158" t="s">
        <v>282</v>
      </c>
      <c r="DR158">
        <v>3.1116830000000002</v>
      </c>
      <c r="DS158">
        <v>13.394406</v>
      </c>
      <c r="DT158">
        <v>24.343094000000001</v>
      </c>
      <c r="DU158">
        <v>109.458635</v>
      </c>
      <c r="DV158">
        <v>142.396185</v>
      </c>
      <c r="DW158" t="s">
        <v>283</v>
      </c>
      <c r="DX158" t="s">
        <v>273</v>
      </c>
      <c r="DY158">
        <v>22.382743999999999</v>
      </c>
      <c r="DZ158">
        <v>2.4988E-2</v>
      </c>
      <c r="EA158">
        <v>1.707781</v>
      </c>
      <c r="EB158">
        <v>1.4168190000000001</v>
      </c>
      <c r="EC158">
        <v>82.962581999999998</v>
      </c>
      <c r="ED158">
        <v>18.243554</v>
      </c>
      <c r="EE158">
        <v>861.98662100000001</v>
      </c>
      <c r="EF158">
        <v>9.8255479999999995</v>
      </c>
      <c r="EG158">
        <v>11</v>
      </c>
      <c r="EH158">
        <v>11</v>
      </c>
      <c r="EI158">
        <v>11</v>
      </c>
      <c r="EJ158">
        <v>11</v>
      </c>
      <c r="EK158" t="s">
        <v>273</v>
      </c>
      <c r="EL158" t="s">
        <v>273</v>
      </c>
      <c r="EM158">
        <v>18.648257999999998</v>
      </c>
      <c r="EN158">
        <v>1.2487E-2</v>
      </c>
      <c r="EO158">
        <v>1.5432699999999999</v>
      </c>
      <c r="EP158">
        <v>1.2316450000000001</v>
      </c>
      <c r="EQ158">
        <v>79.807460000000006</v>
      </c>
      <c r="ER158">
        <v>14.23889</v>
      </c>
      <c r="ES158">
        <v>677.17198299999995</v>
      </c>
      <c r="ET158">
        <v>4.9098899999999999</v>
      </c>
      <c r="EU158">
        <v>19</v>
      </c>
      <c r="EV158">
        <v>19</v>
      </c>
      <c r="EW158">
        <v>19</v>
      </c>
      <c r="EX158">
        <v>19</v>
      </c>
      <c r="EY158" t="s">
        <v>273</v>
      </c>
      <c r="EZ158" t="s">
        <v>273</v>
      </c>
      <c r="FA158">
        <v>26.000516999999999</v>
      </c>
      <c r="FB158">
        <v>2.5233999999999999E-2</v>
      </c>
      <c r="FC158">
        <v>1.706213</v>
      </c>
      <c r="FD158">
        <v>1.416728</v>
      </c>
      <c r="FE158">
        <v>83.033477000000005</v>
      </c>
      <c r="FF158">
        <v>21.210177999999999</v>
      </c>
      <c r="FG158">
        <v>862.04902900000002</v>
      </c>
      <c r="FH158">
        <v>9.9223160000000004</v>
      </c>
      <c r="FI158">
        <v>11</v>
      </c>
      <c r="FJ158">
        <v>11</v>
      </c>
      <c r="FK158">
        <v>11</v>
      </c>
      <c r="FL158">
        <v>11</v>
      </c>
      <c r="FM158" t="s">
        <v>273</v>
      </c>
      <c r="FN158" t="s">
        <v>273</v>
      </c>
      <c r="FO158">
        <v>29.44229</v>
      </c>
      <c r="FP158">
        <v>4.8909000000000001E-2</v>
      </c>
      <c r="FQ158">
        <v>4.6695580000000003</v>
      </c>
      <c r="FR158">
        <v>4.1081479999999999</v>
      </c>
      <c r="FS158">
        <v>87.977232000000001</v>
      </c>
      <c r="FT158">
        <v>25.767244999999999</v>
      </c>
      <c r="FU158">
        <v>890.23948299999995</v>
      </c>
      <c r="FV158">
        <v>19.23151</v>
      </c>
      <c r="FW158">
        <v>5</v>
      </c>
      <c r="FX158">
        <v>5</v>
      </c>
      <c r="FY158">
        <v>5</v>
      </c>
      <c r="FZ158">
        <v>5</v>
      </c>
      <c r="GA158" t="s">
        <v>273</v>
      </c>
      <c r="GB158" t="s">
        <v>273</v>
      </c>
      <c r="GC158">
        <v>29.884311</v>
      </c>
      <c r="GD158">
        <v>4.5031000000000002E-2</v>
      </c>
      <c r="GE158">
        <v>1.494604</v>
      </c>
      <c r="GF158">
        <v>1.1958899999999999</v>
      </c>
      <c r="GG158">
        <v>80.013824</v>
      </c>
      <c r="GH158">
        <v>23.110859000000001</v>
      </c>
      <c r="GI158">
        <v>1434.3994259999999</v>
      </c>
      <c r="GJ158">
        <v>17.706800000000001</v>
      </c>
      <c r="GK158">
        <v>22</v>
      </c>
      <c r="GL158">
        <v>22</v>
      </c>
      <c r="GM158">
        <v>20</v>
      </c>
      <c r="GN158">
        <v>22</v>
      </c>
      <c r="GO158" t="s">
        <v>273</v>
      </c>
      <c r="GP158" t="s">
        <v>273</v>
      </c>
      <c r="GQ158">
        <v>32.177630999999998</v>
      </c>
      <c r="GR158">
        <v>8.8331999999999994E-2</v>
      </c>
      <c r="GS158">
        <v>4.0600149999999999</v>
      </c>
      <c r="GT158">
        <v>3.5462720000000001</v>
      </c>
      <c r="GU158">
        <v>87.346282000000002</v>
      </c>
      <c r="GV158">
        <v>27.909946999999999</v>
      </c>
      <c r="GW158">
        <v>1261.1414460000001</v>
      </c>
      <c r="GX158">
        <v>34.733027999999997</v>
      </c>
      <c r="GY158">
        <v>58</v>
      </c>
      <c r="GZ158">
        <v>58</v>
      </c>
      <c r="HA158">
        <v>34</v>
      </c>
      <c r="HB158">
        <v>35</v>
      </c>
      <c r="HC158" t="s">
        <v>273</v>
      </c>
      <c r="HD158" t="s">
        <v>273</v>
      </c>
      <c r="HE158">
        <v>9</v>
      </c>
      <c r="HF158">
        <v>1E-3</v>
      </c>
      <c r="HG158">
        <v>8.0000000000000002E-3</v>
      </c>
      <c r="HH158">
        <v>0.111111</v>
      </c>
      <c r="HI158">
        <v>4750</v>
      </c>
    </row>
    <row r="159" spans="1:217" x14ac:dyDescent="0.3">
      <c r="A159">
        <v>859</v>
      </c>
      <c r="B159" t="s">
        <v>269</v>
      </c>
      <c r="F159" t="s">
        <v>270</v>
      </c>
      <c r="G159" t="s">
        <v>293</v>
      </c>
      <c r="H159" t="s">
        <v>294</v>
      </c>
      <c r="I159">
        <v>5500</v>
      </c>
      <c r="J159">
        <v>1</v>
      </c>
      <c r="K159">
        <v>78.340625000000003</v>
      </c>
      <c r="L159">
        <v>0.22</v>
      </c>
      <c r="M159">
        <v>5.0960999999999999E-2</v>
      </c>
      <c r="N159">
        <v>0</v>
      </c>
      <c r="O159">
        <v>0</v>
      </c>
      <c r="P159">
        <v>0</v>
      </c>
      <c r="Q159">
        <v>28.9</v>
      </c>
      <c r="R159">
        <v>1</v>
      </c>
      <c r="S159">
        <v>1</v>
      </c>
      <c r="T159">
        <v>1</v>
      </c>
      <c r="U159">
        <v>1</v>
      </c>
      <c r="V159">
        <v>100</v>
      </c>
      <c r="W159" t="s">
        <v>273</v>
      </c>
      <c r="X159" t="s">
        <v>274</v>
      </c>
      <c r="Y159" t="s">
        <v>274</v>
      </c>
      <c r="Z159" t="s">
        <v>273</v>
      </c>
      <c r="AA159" t="s">
        <v>275</v>
      </c>
      <c r="AB159" t="s">
        <v>276</v>
      </c>
      <c r="AC159">
        <v>469</v>
      </c>
      <c r="AD159">
        <v>5</v>
      </c>
      <c r="AE159" t="s">
        <v>277</v>
      </c>
      <c r="AF159">
        <v>2.962364</v>
      </c>
      <c r="AG159">
        <v>100</v>
      </c>
      <c r="AH159">
        <v>26.7</v>
      </c>
      <c r="AI159">
        <v>1600</v>
      </c>
      <c r="AJ159">
        <v>800</v>
      </c>
      <c r="AK159">
        <v>1200</v>
      </c>
      <c r="AL159">
        <v>150</v>
      </c>
      <c r="AM159">
        <v>2.2000000000000002</v>
      </c>
      <c r="AN159" t="s">
        <v>273</v>
      </c>
      <c r="AO159" t="s">
        <v>278</v>
      </c>
      <c r="AP159" t="s">
        <v>295</v>
      </c>
      <c r="AQ159">
        <v>4</v>
      </c>
      <c r="AR159">
        <v>8</v>
      </c>
      <c r="AS159">
        <v>224.3</v>
      </c>
      <c r="AT159">
        <v>408</v>
      </c>
      <c r="AU159">
        <v>0.23255999999999999</v>
      </c>
      <c r="AV159">
        <v>36.299999999999997</v>
      </c>
      <c r="AW159">
        <v>237</v>
      </c>
      <c r="AX159" t="s">
        <v>280</v>
      </c>
      <c r="AY159">
        <v>0</v>
      </c>
      <c r="AZ159" t="s">
        <v>281</v>
      </c>
      <c r="BA159">
        <v>0.2</v>
      </c>
      <c r="BB159">
        <v>0.5</v>
      </c>
      <c r="BC159" t="s">
        <v>273</v>
      </c>
      <c r="BD159" t="s">
        <v>273</v>
      </c>
      <c r="BE159">
        <v>17.117899999999999</v>
      </c>
      <c r="BF159">
        <v>17.315003000000001</v>
      </c>
      <c r="BG159">
        <v>500.438782</v>
      </c>
      <c r="BH159" t="s">
        <v>273</v>
      </c>
      <c r="BI159">
        <v>19.7529</v>
      </c>
      <c r="BJ159">
        <v>19.980343000000001</v>
      </c>
      <c r="BK159">
        <v>433.68120199999998</v>
      </c>
      <c r="BL159" t="s">
        <v>273</v>
      </c>
      <c r="BM159">
        <v>19.753625</v>
      </c>
      <c r="BN159">
        <v>19.981076999999999</v>
      </c>
      <c r="BO159">
        <v>433.665278</v>
      </c>
      <c r="BP159" t="s">
        <v>273</v>
      </c>
      <c r="BQ159">
        <v>13.458384000000001</v>
      </c>
      <c r="BR159">
        <v>13.613350000000001</v>
      </c>
      <c r="BS159">
        <v>636.51484100000005</v>
      </c>
      <c r="BT159" t="s">
        <v>273</v>
      </c>
      <c r="BU159">
        <v>5.5718589999999999</v>
      </c>
      <c r="BV159">
        <v>5.6360159999999997</v>
      </c>
      <c r="BW159">
        <v>1537.451219</v>
      </c>
      <c r="BX159" t="s">
        <v>273</v>
      </c>
      <c r="BY159">
        <v>15.495471999999999</v>
      </c>
      <c r="BZ159">
        <v>17.424393999999999</v>
      </c>
      <c r="CA159">
        <v>17.938997000000001</v>
      </c>
      <c r="CB159">
        <v>19.753625</v>
      </c>
      <c r="CC159">
        <v>11.280415</v>
      </c>
      <c r="CD159">
        <v>14.249043</v>
      </c>
      <c r="CE159" t="s">
        <v>273</v>
      </c>
      <c r="CF159">
        <v>15.673893</v>
      </c>
      <c r="CG159">
        <v>17.625025999999998</v>
      </c>
      <c r="CH159">
        <v>18.145555000000002</v>
      </c>
      <c r="CI159">
        <v>19.981076999999999</v>
      </c>
      <c r="CJ159">
        <v>11.410302</v>
      </c>
      <c r="CK159">
        <v>14.413112</v>
      </c>
      <c r="CL159" t="s">
        <v>273</v>
      </c>
      <c r="CM159">
        <v>552.83643300000006</v>
      </c>
      <c r="CN159">
        <v>491.63610399999999</v>
      </c>
      <c r="CO159">
        <v>477.53289599999999</v>
      </c>
      <c r="CP159">
        <v>433.665278</v>
      </c>
      <c r="CQ159">
        <v>759.41014700000005</v>
      </c>
      <c r="CR159">
        <v>601.19556299999999</v>
      </c>
      <c r="CS159" t="s">
        <v>273</v>
      </c>
      <c r="CT159">
        <v>658.00562600000001</v>
      </c>
      <c r="CU159">
        <v>629.87444100000005</v>
      </c>
      <c r="CV159">
        <v>568.28869699999996</v>
      </c>
      <c r="CW159">
        <v>1468.830291</v>
      </c>
      <c r="CX159">
        <v>449.49190700000003</v>
      </c>
      <c r="CY159">
        <v>1238.182695</v>
      </c>
      <c r="CZ159" t="s">
        <v>273</v>
      </c>
      <c r="DA159">
        <v>3.608063</v>
      </c>
      <c r="DB159">
        <v>510.01</v>
      </c>
      <c r="DC159">
        <v>3.8837510000000002</v>
      </c>
      <c r="DD159">
        <v>864</v>
      </c>
      <c r="DE159">
        <v>3.607504</v>
      </c>
      <c r="DF159">
        <v>505</v>
      </c>
      <c r="DG159">
        <v>10.267344</v>
      </c>
      <c r="DH159">
        <v>765</v>
      </c>
      <c r="DI159">
        <v>1.794265</v>
      </c>
      <c r="DJ159">
        <v>235</v>
      </c>
      <c r="DK159">
        <v>6.2432410000000003</v>
      </c>
      <c r="DL159">
        <v>365</v>
      </c>
      <c r="DM159" t="s">
        <v>273</v>
      </c>
      <c r="DN159">
        <v>3.6112470000000001</v>
      </c>
      <c r="DO159">
        <v>8.5164069999999992</v>
      </c>
      <c r="DP159">
        <v>4.5410940000000002</v>
      </c>
      <c r="DQ159" t="s">
        <v>282</v>
      </c>
      <c r="DR159">
        <v>5.2104819999999998</v>
      </c>
      <c r="DS159">
        <v>16.804827</v>
      </c>
      <c r="DT159">
        <v>35.072809999999997</v>
      </c>
      <c r="DU159">
        <v>85.369242</v>
      </c>
      <c r="DV159">
        <v>110.88767199999999</v>
      </c>
      <c r="DW159" t="s">
        <v>283</v>
      </c>
      <c r="DX159" t="s">
        <v>273</v>
      </c>
      <c r="DY159">
        <v>25.657527000000002</v>
      </c>
      <c r="DZ159">
        <v>5.0735000000000002E-2</v>
      </c>
      <c r="EA159">
        <v>1.9596709999999999</v>
      </c>
      <c r="EB159">
        <v>1.6331039999999999</v>
      </c>
      <c r="EC159">
        <v>83.335650999999999</v>
      </c>
      <c r="ED159">
        <v>21.103197999999999</v>
      </c>
      <c r="EE159">
        <v>999.31298200000003</v>
      </c>
      <c r="EF159">
        <v>11.377473</v>
      </c>
      <c r="EG159">
        <v>25</v>
      </c>
      <c r="EH159">
        <v>25</v>
      </c>
      <c r="EI159">
        <v>24</v>
      </c>
      <c r="EJ159">
        <v>25</v>
      </c>
      <c r="EK159" t="s">
        <v>273</v>
      </c>
      <c r="EL159" t="s">
        <v>273</v>
      </c>
      <c r="EM159">
        <v>24.232937</v>
      </c>
      <c r="EN159">
        <v>2.5316000000000002E-2</v>
      </c>
      <c r="EO159">
        <v>1.7717350000000001</v>
      </c>
      <c r="EP159">
        <v>1.394852</v>
      </c>
      <c r="EQ159">
        <v>78.728025000000002</v>
      </c>
      <c r="ER159">
        <v>18.635909999999999</v>
      </c>
      <c r="ES159">
        <v>784.78341399999999</v>
      </c>
      <c r="ET159">
        <v>5.6772280000000004</v>
      </c>
      <c r="EU159">
        <v>25</v>
      </c>
      <c r="EV159">
        <v>25</v>
      </c>
      <c r="EW159">
        <v>25</v>
      </c>
      <c r="EX159">
        <v>25</v>
      </c>
      <c r="EY159" t="s">
        <v>273</v>
      </c>
      <c r="EZ159" t="s">
        <v>273</v>
      </c>
      <c r="FA159">
        <v>29.696584000000001</v>
      </c>
      <c r="FB159">
        <v>5.1234000000000002E-2</v>
      </c>
      <c r="FC159">
        <v>1.958909</v>
      </c>
      <c r="FD159">
        <v>1.6329849999999999</v>
      </c>
      <c r="FE159">
        <v>83.361977999999993</v>
      </c>
      <c r="FF159">
        <v>24.432860999999999</v>
      </c>
      <c r="FG159">
        <v>999.39019099999996</v>
      </c>
      <c r="FH159">
        <v>11.489456000000001</v>
      </c>
      <c r="FI159">
        <v>25</v>
      </c>
      <c r="FJ159">
        <v>25</v>
      </c>
      <c r="FK159">
        <v>24</v>
      </c>
      <c r="FL159">
        <v>25</v>
      </c>
      <c r="FM159" t="s">
        <v>273</v>
      </c>
      <c r="FN159" t="s">
        <v>273</v>
      </c>
      <c r="FO159">
        <v>31.708590999999998</v>
      </c>
      <c r="FP159">
        <v>9.9250000000000005E-2</v>
      </c>
      <c r="FQ159">
        <v>5.4061399999999997</v>
      </c>
      <c r="FR159">
        <v>4.7510320000000004</v>
      </c>
      <c r="FS159">
        <v>87.882153000000002</v>
      </c>
      <c r="FT159">
        <v>27.740940999999999</v>
      </c>
      <c r="FU159">
        <v>1030.450466</v>
      </c>
      <c r="FV159">
        <v>22.25731</v>
      </c>
      <c r="FW159">
        <v>22</v>
      </c>
      <c r="FX159">
        <v>22</v>
      </c>
      <c r="FY159">
        <v>16</v>
      </c>
      <c r="FZ159">
        <v>15</v>
      </c>
      <c r="GA159" t="s">
        <v>273</v>
      </c>
      <c r="GB159" t="s">
        <v>273</v>
      </c>
      <c r="GC159">
        <v>30.743296999999998</v>
      </c>
      <c r="GD159">
        <v>9.1186000000000003E-2</v>
      </c>
      <c r="GE159">
        <v>1.604025</v>
      </c>
      <c r="GF159">
        <v>1.3726750000000001</v>
      </c>
      <c r="GG159">
        <v>85.576926</v>
      </c>
      <c r="GH159">
        <v>25.584009999999999</v>
      </c>
      <c r="GI159">
        <v>1664.186222</v>
      </c>
      <c r="GJ159">
        <v>20.448882000000001</v>
      </c>
      <c r="GK159">
        <v>38</v>
      </c>
      <c r="GL159">
        <v>38</v>
      </c>
      <c r="GM159">
        <v>17</v>
      </c>
      <c r="GN159">
        <v>27</v>
      </c>
      <c r="GO159" t="s">
        <v>273</v>
      </c>
      <c r="GP159" t="s">
        <v>273</v>
      </c>
      <c r="GQ159">
        <v>32.699807</v>
      </c>
      <c r="GR159">
        <v>0.17918799999999999</v>
      </c>
      <c r="GS159">
        <v>4.6996840000000004</v>
      </c>
      <c r="GT159">
        <v>4.0998340000000004</v>
      </c>
      <c r="GU159">
        <v>87.236388000000005</v>
      </c>
      <c r="GV159">
        <v>28.347618000000001</v>
      </c>
      <c r="GW159">
        <v>1459.767785</v>
      </c>
      <c r="GX159">
        <v>40.183698</v>
      </c>
      <c r="GY159">
        <v>59</v>
      </c>
      <c r="GZ159">
        <v>59</v>
      </c>
      <c r="HA159">
        <v>46</v>
      </c>
      <c r="HB159">
        <v>47</v>
      </c>
      <c r="HC159" t="s">
        <v>273</v>
      </c>
      <c r="HD159" t="s">
        <v>273</v>
      </c>
      <c r="HE159">
        <v>18</v>
      </c>
      <c r="HF159">
        <v>1E-3</v>
      </c>
      <c r="HG159">
        <v>8.0000000000000002E-3</v>
      </c>
      <c r="HH159">
        <v>5.5556000000000001E-2</v>
      </c>
      <c r="HI159">
        <v>5500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17BB4-B2D4-4B4F-945A-09F89A7D67F3}">
  <sheetPr codeName="Sheet3"/>
  <dimension ref="A1:G158"/>
  <sheetViews>
    <sheetView workbookViewId="0"/>
  </sheetViews>
  <sheetFormatPr defaultRowHeight="14.4" x14ac:dyDescent="0.3"/>
  <cols>
    <col min="1" max="2" width="8" style="1" bestFit="1" customWidth="1"/>
    <col min="3" max="3" width="9" style="1" bestFit="1" customWidth="1"/>
    <col min="4" max="4" width="6" style="1" bestFit="1" customWidth="1"/>
    <col min="5" max="5" width="11" style="1" bestFit="1" customWidth="1"/>
    <col min="6" max="6" width="12" style="1" bestFit="1" customWidth="1"/>
  </cols>
  <sheetData>
    <row r="1" spans="1:7" x14ac:dyDescent="0.3">
      <c r="A1" s="1" t="s">
        <v>32</v>
      </c>
      <c r="B1" s="1" t="s">
        <v>33</v>
      </c>
      <c r="C1" s="1" t="s">
        <v>34</v>
      </c>
      <c r="D1" s="1" t="s">
        <v>35</v>
      </c>
      <c r="E1" s="1" t="s">
        <v>36</v>
      </c>
      <c r="F1" s="1" t="s">
        <v>298</v>
      </c>
      <c r="G1" t="s">
        <v>16</v>
      </c>
    </row>
    <row r="2" spans="1:7" x14ac:dyDescent="0.3">
      <c r="A2" s="1" cm="1">
        <f t="array" aca="1" ref="A2" ca="1">IF(ISBLANK(INDIRECT(CONCATENATE("Input!",RSE_Setup!$B$16,ROW()+1))),"",INDIRECT(CONCATENATE("Input!",RSE_Setup!$B$16,ROW()+1)))</f>
        <v>5.0000000000000001E-4</v>
      </c>
      <c r="B2" s="1" cm="1">
        <f t="array" aca="1" ref="B2" ca="1">IF(ISBLANK(INDIRECT(CONCATENATE("Input!",RSE_Setup!$B$17,ROW()+1))),"",INDIRECT(CONCATENATE("Input!",RSE_Setup!$B$17,ROW()+1)))</f>
        <v>3.0000000000000001E-3</v>
      </c>
      <c r="C2" s="1" cm="1">
        <f t="array" aca="1" ref="C2" ca="1">IF(ISBLANK(INDIRECT(CONCATENATE("Input!",RSE_Setup!$B$18,ROW()+1))),"",INDIRECT(CONCATENATE("Input!",RSE_Setup!$B$18,ROW()+1)))</f>
        <v>3.2258000000000002E-2</v>
      </c>
      <c r="D2" s="1" cm="1">
        <f t="array" aca="1" ref="D2" ca="1">IF(ISBLANK(INDIRECT(CONCATENATE("Input!",RSE_Setup!$B$19,ROW()+1))),"",INDIRECT(CONCATENATE("Input!",RSE_Setup!$B$19,ROW()+1)))</f>
        <v>3250</v>
      </c>
      <c r="E2" s="1" cm="1">
        <f t="array" aca="1" ref="E2" ca="1">IF(ISBLANK(INDIRECT(CONCATENATE("Input!",RSE_Setup!$B$23,ROW()+1))),"",INDIRECT(CONCATENATE("Input!",RSE_Setup!$B$23,ROW()+1)))</f>
        <v>213.351179</v>
      </c>
      <c r="F2" s="1" cm="1">
        <f t="array" aca="1" ref="F2:F158" ca="1">(10.004056004844 + 0 * 1 + -2109.83946485462 * RLHP20 + -2816.92503514839 * RLHP60 + 91.1905068441117 * HP_ETW + 0.0355599304013232 * ETW + 3213472.51199457 * RLHP20^2 + 561986.791307527 * RLHP20 * RLHP60 + -29456.2085463343 * RLHP20 * HP_ETW + 16.2762909986332 * RLHP20 * ETW + 474562.109434974 * RLHP60^2 + -24328.2031175513 * RLHP60 * HP_ETW + 3.91809214389606 * RLHP60 * ETW + 2084.71147791282 * HP_ETW^2 + 0.237372073640269 * HP_ETW * ETW + -1.18980551633285E-07 * ETW^2)</f>
        <v>212.54640634229736</v>
      </c>
      <c r="G2" t="s">
        <v>302</v>
      </c>
    </row>
    <row r="3" spans="1:7" x14ac:dyDescent="0.3">
      <c r="A3" s="1" cm="1">
        <f t="array" aca="1" ref="A3" ca="1">IF(ISBLANK(INDIRECT(CONCATENATE("Input!",RSE_Setup!$B$16,ROW()+1))),"",INDIRECT(CONCATENATE("Input!",RSE_Setup!$B$16,ROW()+1)))</f>
        <v>5.0000000000000001E-4</v>
      </c>
      <c r="B3" s="1" cm="1">
        <f t="array" aca="1" ref="B3" ca="1">IF(ISBLANK(INDIRECT(CONCATENATE("Input!",RSE_Setup!$B$17,ROW()+1))),"",INDIRECT(CONCATENATE("Input!",RSE_Setup!$B$17,ROW()+1)))</f>
        <v>3.0000000000000001E-3</v>
      </c>
      <c r="C3" s="1" cm="1">
        <f t="array" aca="1" ref="C3" ca="1">IF(ISBLANK(INDIRECT(CONCATENATE("Input!",RSE_Setup!$B$18,ROW()+1))),"",INDIRECT(CONCATENATE("Input!",RSE_Setup!$B$18,ROW()+1)))</f>
        <v>3.2258000000000002E-2</v>
      </c>
      <c r="D3" s="1" cm="1">
        <f t="array" aca="1" ref="D3" ca="1">IF(ISBLANK(INDIRECT(CONCATENATE("Input!",RSE_Setup!$B$19,ROW()+1))),"",INDIRECT(CONCATENATE("Input!",RSE_Setup!$B$19,ROW()+1)))</f>
        <v>4250</v>
      </c>
      <c r="E3" s="1" cm="1">
        <f t="array" aca="1" ref="E3" ca="1">IF(ISBLANK(INDIRECT(CONCATENATE("Input!",RSE_Setup!$B$23,ROW()+1))),"",INDIRECT(CONCATENATE("Input!",RSE_Setup!$B$23,ROW()+1)))</f>
        <v>271.56359300000003</v>
      </c>
      <c r="F3" s="1">
        <f ca="1"/>
        <v>274.7635528888635</v>
      </c>
    </row>
    <row r="4" spans="1:7" x14ac:dyDescent="0.3">
      <c r="A4" s="1" cm="1">
        <f t="array" aca="1" ref="A4" ca="1">IF(ISBLANK(INDIRECT(CONCATENATE("Input!",RSE_Setup!$B$16,ROW()+1))),"",INDIRECT(CONCATENATE("Input!",RSE_Setup!$B$16,ROW()+1)))</f>
        <v>5.0000000000000001E-4</v>
      </c>
      <c r="B4" s="1" cm="1">
        <f t="array" aca="1" ref="B4" ca="1">IF(ISBLANK(INDIRECT(CONCATENATE("Input!",RSE_Setup!$B$17,ROW()+1))),"",INDIRECT(CONCATENATE("Input!",RSE_Setup!$B$17,ROW()+1)))</f>
        <v>4.7499999999999999E-3</v>
      </c>
      <c r="C4" s="1" cm="1">
        <f t="array" aca="1" ref="C4" ca="1">IF(ISBLANK(INDIRECT(CONCATENATE("Input!",RSE_Setup!$B$18,ROW()+1))),"",INDIRECT(CONCATENATE("Input!",RSE_Setup!$B$18,ROW()+1)))</f>
        <v>3.2258000000000002E-2</v>
      </c>
      <c r="D4" s="1" cm="1">
        <f t="array" aca="1" ref="D4" ca="1">IF(ISBLANK(INDIRECT(CONCATENATE("Input!",RSE_Setup!$B$19,ROW()+1))),"",INDIRECT(CONCATENATE("Input!",RSE_Setup!$B$19,ROW()+1)))</f>
        <v>3250</v>
      </c>
      <c r="E4" s="1" cm="1">
        <f t="array" aca="1" ref="E4" ca="1">IF(ISBLANK(INDIRECT(CONCATENATE("Input!",RSE_Setup!$B$23,ROW()+1))),"",INDIRECT(CONCATENATE("Input!",RSE_Setup!$B$23,ROW()+1)))</f>
        <v>235.87024299999999</v>
      </c>
      <c r="F4" s="1">
        <f ca="1"/>
        <v>235.455560092512</v>
      </c>
    </row>
    <row r="5" spans="1:7" x14ac:dyDescent="0.3">
      <c r="A5" s="1" cm="1">
        <f t="array" aca="1" ref="A5" ca="1">IF(ISBLANK(INDIRECT(CONCATENATE("Input!",RSE_Setup!$B$16,ROW()+1))),"",INDIRECT(CONCATENATE("Input!",RSE_Setup!$B$16,ROW()+1)))</f>
        <v>5.0000000000000001E-4</v>
      </c>
      <c r="B5" s="1" cm="1">
        <f t="array" aca="1" ref="B5" ca="1">IF(ISBLANK(INDIRECT(CONCATENATE("Input!",RSE_Setup!$B$17,ROW()+1))),"",INDIRECT(CONCATENATE("Input!",RSE_Setup!$B$17,ROW()+1)))</f>
        <v>4.7499999999999999E-3</v>
      </c>
      <c r="C5" s="1" cm="1">
        <f t="array" aca="1" ref="C5" ca="1">IF(ISBLANK(INDIRECT(CONCATENATE("Input!",RSE_Setup!$B$18,ROW()+1))),"",INDIRECT(CONCATENATE("Input!",RSE_Setup!$B$18,ROW()+1)))</f>
        <v>3.2258000000000002E-2</v>
      </c>
      <c r="D5" s="1" cm="1">
        <f t="array" aca="1" ref="D5" ca="1">IF(ISBLANK(INDIRECT(CONCATENATE("Input!",RSE_Setup!$B$19,ROW()+1))),"",INDIRECT(CONCATENATE("Input!",RSE_Setup!$B$19,ROW()+1)))</f>
        <v>4250</v>
      </c>
      <c r="E5" s="1" cm="1">
        <f t="array" aca="1" ref="E5" ca="1">IF(ISBLANK(INDIRECT(CONCATENATE("Input!",RSE_Setup!$B$23,ROW()+1))),"",INDIRECT(CONCATENATE("Input!",RSE_Setup!$B$23,ROW()+1)))</f>
        <v>300.84747299999998</v>
      </c>
      <c r="F5" s="1">
        <f ca="1"/>
        <v>304.52936789089625</v>
      </c>
    </row>
    <row r="6" spans="1:7" x14ac:dyDescent="0.3">
      <c r="A6" s="1" cm="1">
        <f t="array" aca="1" ref="A6" ca="1">IF(ISBLANK(INDIRECT(CONCATENATE("Input!",RSE_Setup!$B$16,ROW()+1))),"",INDIRECT(CONCATENATE("Input!",RSE_Setup!$B$16,ROW()+1)))</f>
        <v>5.0000000000000001E-4</v>
      </c>
      <c r="B6" s="1" cm="1">
        <f t="array" aca="1" ref="B6" ca="1">IF(ISBLANK(INDIRECT(CONCATENATE("Input!",RSE_Setup!$B$17,ROW()+1))),"",INDIRECT(CONCATENATE("Input!",RSE_Setup!$B$17,ROW()+1)))</f>
        <v>6.4999999999999997E-3</v>
      </c>
      <c r="C6" s="1" cm="1">
        <f t="array" aca="1" ref="C6" ca="1">IF(ISBLANK(INDIRECT(CONCATENATE("Input!",RSE_Setup!$B$18,ROW()+1))),"",INDIRECT(CONCATENATE("Input!",RSE_Setup!$B$18,ROW()+1)))</f>
        <v>3.2258000000000002E-2</v>
      </c>
      <c r="D6" s="1" cm="1">
        <f t="array" aca="1" ref="D6" ca="1">IF(ISBLANK(INDIRECT(CONCATENATE("Input!",RSE_Setup!$B$19,ROW()+1))),"",INDIRECT(CONCATENATE("Input!",RSE_Setup!$B$19,ROW()+1)))</f>
        <v>3250</v>
      </c>
      <c r="E6" s="1" cm="1">
        <f t="array" aca="1" ref="E6" ca="1">IF(ISBLANK(INDIRECT(CONCATENATE("Input!",RSE_Setup!$B$23,ROW()+1))),"",INDIRECT(CONCATENATE("Input!",RSE_Setup!$B$23,ROW()+1)))</f>
        <v>259.118472</v>
      </c>
      <c r="F6" s="1">
        <f ca="1"/>
        <v>261.27140676301588</v>
      </c>
    </row>
    <row r="7" spans="1:7" x14ac:dyDescent="0.3">
      <c r="A7" s="1" cm="1">
        <f t="array" aca="1" ref="A7" ca="1">IF(ISBLANK(INDIRECT(CONCATENATE("Input!",RSE_Setup!$B$16,ROW()+1))),"",INDIRECT(CONCATENATE("Input!",RSE_Setup!$B$16,ROW()+1)))</f>
        <v>5.0000000000000001E-4</v>
      </c>
      <c r="B7" s="1" cm="1">
        <f t="array" aca="1" ref="B7" ca="1">IF(ISBLANK(INDIRECT(CONCATENATE("Input!",RSE_Setup!$B$17,ROW()+1))),"",INDIRECT(CONCATENATE("Input!",RSE_Setup!$B$17,ROW()+1)))</f>
        <v>6.4999999999999997E-3</v>
      </c>
      <c r="C7" s="1" cm="1">
        <f t="array" aca="1" ref="C7" ca="1">IF(ISBLANK(INDIRECT(CONCATENATE("Input!",RSE_Setup!$B$18,ROW()+1))),"",INDIRECT(CONCATENATE("Input!",RSE_Setup!$B$18,ROW()+1)))</f>
        <v>3.2258000000000002E-2</v>
      </c>
      <c r="D7" s="1" cm="1">
        <f t="array" aca="1" ref="D7" ca="1">IF(ISBLANK(INDIRECT(CONCATENATE("Input!",RSE_Setup!$B$19,ROW()+1))),"",INDIRECT(CONCATENATE("Input!",RSE_Setup!$B$19,ROW()+1)))</f>
        <v>4250</v>
      </c>
      <c r="E7" s="1" cm="1">
        <f t="array" aca="1" ref="E7" ca="1">IF(ISBLANK(INDIRECT(CONCATENATE("Input!",RSE_Setup!$B$23,ROW()+1))),"",INDIRECT(CONCATENATE("Input!",RSE_Setup!$B$23,ROW()+1)))</f>
        <v>332.52328399999999</v>
      </c>
      <c r="F7" s="1">
        <f ca="1"/>
        <v>337.20187581321824</v>
      </c>
    </row>
    <row r="8" spans="1:7" x14ac:dyDescent="0.3">
      <c r="A8" s="1" cm="1">
        <f t="array" aca="1" ref="A8" ca="1">IF(ISBLANK(INDIRECT(CONCATENATE("Input!",RSE_Setup!$B$16,ROW()+1))),"",INDIRECT(CONCATENATE("Input!",RSE_Setup!$B$16,ROW()+1)))</f>
        <v>7.5000000000000002E-4</v>
      </c>
      <c r="B8" s="1" cm="1">
        <f t="array" aca="1" ref="B8" ca="1">IF(ISBLANK(INDIRECT(CONCATENATE("Input!",RSE_Setup!$B$17,ROW()+1))),"",INDIRECT(CONCATENATE("Input!",RSE_Setup!$B$17,ROW()+1)))</f>
        <v>4.0000000000000001E-3</v>
      </c>
      <c r="C8" s="1" cm="1">
        <f t="array" aca="1" ref="C8" ca="1">IF(ISBLANK(INDIRECT(CONCATENATE("Input!",RSE_Setup!$B$18,ROW()+1))),"",INDIRECT(CONCATENATE("Input!",RSE_Setup!$B$18,ROW()+1)))</f>
        <v>3.2258000000000002E-2</v>
      </c>
      <c r="D8" s="1" cm="1">
        <f t="array" aca="1" ref="D8" ca="1">IF(ISBLANK(INDIRECT(CONCATENATE("Input!",RSE_Setup!$B$19,ROW()+1))),"",INDIRECT(CONCATENATE("Input!",RSE_Setup!$B$19,ROW()+1)))</f>
        <v>3250</v>
      </c>
      <c r="E8" s="1" cm="1">
        <f t="array" aca="1" ref="E8" ca="1">IF(ISBLANK(INDIRECT(CONCATENATE("Input!",RSE_Setup!$B$23,ROW()+1))),"",INDIRECT(CONCATENATE("Input!",RSE_Setup!$B$23,ROW()+1)))</f>
        <v>239.610455</v>
      </c>
      <c r="F8" s="1">
        <f ca="1"/>
        <v>239.30710368800354</v>
      </c>
    </row>
    <row r="9" spans="1:7" x14ac:dyDescent="0.3">
      <c r="A9" s="1" cm="1">
        <f t="array" aca="1" ref="A9" ca="1">IF(ISBLANK(INDIRECT(CONCATENATE("Input!",RSE_Setup!$B$16,ROW()+1))),"",INDIRECT(CONCATENATE("Input!",RSE_Setup!$B$16,ROW()+1)))</f>
        <v>7.5000000000000002E-4</v>
      </c>
      <c r="B9" s="1" cm="1">
        <f t="array" aca="1" ref="B9" ca="1">IF(ISBLANK(INDIRECT(CONCATENATE("Input!",RSE_Setup!$B$17,ROW()+1))),"",INDIRECT(CONCATENATE("Input!",RSE_Setup!$B$17,ROW()+1)))</f>
        <v>4.0000000000000001E-3</v>
      </c>
      <c r="C9" s="1" cm="1">
        <f t="array" aca="1" ref="C9" ca="1">IF(ISBLANK(INDIRECT(CONCATENATE("Input!",RSE_Setup!$B$18,ROW()+1))),"",INDIRECT(CONCATENATE("Input!",RSE_Setup!$B$18,ROW()+1)))</f>
        <v>3.2258000000000002E-2</v>
      </c>
      <c r="D9" s="1" cm="1">
        <f t="array" aca="1" ref="D9" ca="1">IF(ISBLANK(INDIRECT(CONCATENATE("Input!",RSE_Setup!$B$19,ROW()+1))),"",INDIRECT(CONCATENATE("Input!",RSE_Setup!$B$19,ROW()+1)))</f>
        <v>4250</v>
      </c>
      <c r="E9" s="1" cm="1">
        <f t="array" aca="1" ref="E9" ca="1">IF(ISBLANK(INDIRECT(CONCATENATE("Input!",RSE_Setup!$B$23,ROW()+1))),"",INDIRECT(CONCATENATE("Input!",RSE_Setup!$B$23,ROW()+1)))</f>
        <v>304.90435300000001</v>
      </c>
      <c r="F9" s="1">
        <f ca="1"/>
        <v>309.51141512812404</v>
      </c>
    </row>
    <row r="10" spans="1:7" x14ac:dyDescent="0.3">
      <c r="A10" s="1" cm="1">
        <f t="array" aca="1" ref="A10" ca="1">IF(ISBLANK(INDIRECT(CONCATENATE("Input!",RSE_Setup!$B$16,ROW()+1))),"",INDIRECT(CONCATENATE("Input!",RSE_Setup!$B$16,ROW()+1)))</f>
        <v>7.5000000000000002E-4</v>
      </c>
      <c r="B10" s="1" cm="1">
        <f t="array" aca="1" ref="B10" ca="1">IF(ISBLANK(INDIRECT(CONCATENATE("Input!",RSE_Setup!$B$17,ROW()+1))),"",INDIRECT(CONCATENATE("Input!",RSE_Setup!$B$17,ROW()+1)))</f>
        <v>6.0000000000000001E-3</v>
      </c>
      <c r="C10" s="1" cm="1">
        <f t="array" aca="1" ref="C10" ca="1">IF(ISBLANK(INDIRECT(CONCATENATE("Input!",RSE_Setup!$B$18,ROW()+1))),"",INDIRECT(CONCATENATE("Input!",RSE_Setup!$B$18,ROW()+1)))</f>
        <v>3.2258000000000002E-2</v>
      </c>
      <c r="D10" s="1" cm="1">
        <f t="array" aca="1" ref="D10" ca="1">IF(ISBLANK(INDIRECT(CONCATENATE("Input!",RSE_Setup!$B$19,ROW()+1))),"",INDIRECT(CONCATENATE("Input!",RSE_Setup!$B$19,ROW()+1)))</f>
        <v>3250</v>
      </c>
      <c r="E10" s="1" cm="1">
        <f t="array" aca="1" ref="E10" ca="1">IF(ISBLANK(INDIRECT(CONCATENATE("Input!",RSE_Setup!$B$23,ROW()+1))),"",INDIRECT(CONCATENATE("Input!",RSE_Setup!$B$23,ROW()+1)))</f>
        <v>266.01151599999997</v>
      </c>
      <c r="F10" s="1">
        <f ca="1"/>
        <v>267.90551657635996</v>
      </c>
    </row>
    <row r="11" spans="1:7" x14ac:dyDescent="0.3">
      <c r="A11" s="1" cm="1">
        <f t="array" aca="1" ref="A11" ca="1">IF(ISBLANK(INDIRECT(CONCATENATE("Input!",RSE_Setup!$B$16,ROW()+1))),"",INDIRECT(CONCATENATE("Input!",RSE_Setup!$B$16,ROW()+1)))</f>
        <v>7.5000000000000002E-4</v>
      </c>
      <c r="B11" s="1" cm="1">
        <f t="array" aca="1" ref="B11" ca="1">IF(ISBLANK(INDIRECT(CONCATENATE("Input!",RSE_Setup!$B$17,ROW()+1))),"",INDIRECT(CONCATENATE("Input!",RSE_Setup!$B$17,ROW()+1)))</f>
        <v>6.0000000000000001E-3</v>
      </c>
      <c r="C11" s="1" cm="1">
        <f t="array" aca="1" ref="C11" ca="1">IF(ISBLANK(INDIRECT(CONCATENATE("Input!",RSE_Setup!$B$18,ROW()+1))),"",INDIRECT(CONCATENATE("Input!",RSE_Setup!$B$18,ROW()+1)))</f>
        <v>3.2258000000000002E-2</v>
      </c>
      <c r="D11" s="1" cm="1">
        <f t="array" aca="1" ref="D11" ca="1">IF(ISBLANK(INDIRECT(CONCATENATE("Input!",RSE_Setup!$B$19,ROW()+1))),"",INDIRECT(CONCATENATE("Input!",RSE_Setup!$B$19,ROW()+1)))</f>
        <v>4250</v>
      </c>
      <c r="E11" s="1" cm="1">
        <f t="array" aca="1" ref="E11" ca="1">IF(ISBLANK(INDIRECT(CONCATENATE("Input!",RSE_Setup!$B$23,ROW()+1))),"",INDIRECT(CONCATENATE("Input!",RSE_Setup!$B$23,ROW()+1)))</f>
        <v>341.494462</v>
      </c>
      <c r="F11" s="1">
        <f ca="1"/>
        <v>345.94601230427264</v>
      </c>
    </row>
    <row r="12" spans="1:7" x14ac:dyDescent="0.3">
      <c r="A12" s="1" cm="1">
        <f t="array" aca="1" ref="A12" ca="1">IF(ISBLANK(INDIRECT(CONCATENATE("Input!",RSE_Setup!$B$16,ROW()+1))),"",INDIRECT(CONCATENATE("Input!",RSE_Setup!$B$16,ROW()+1)))</f>
        <v>7.5000000000000002E-4</v>
      </c>
      <c r="B12" s="1" cm="1">
        <f t="array" aca="1" ref="B12" ca="1">IF(ISBLANK(INDIRECT(CONCATENATE("Input!",RSE_Setup!$B$17,ROW()+1))),"",INDIRECT(CONCATENATE("Input!",RSE_Setup!$B$17,ROW()+1)))</f>
        <v>8.0000000000000002E-3</v>
      </c>
      <c r="C12" s="1" cm="1">
        <f t="array" aca="1" ref="C12" ca="1">IF(ISBLANK(INDIRECT(CONCATENATE("Input!",RSE_Setup!$B$18,ROW()+1))),"",INDIRECT(CONCATENATE("Input!",RSE_Setup!$B$18,ROW()+1)))</f>
        <v>3.2258000000000002E-2</v>
      </c>
      <c r="D12" s="1" cm="1">
        <f t="array" aca="1" ref="D12" ca="1">IF(ISBLANK(INDIRECT(CONCATENATE("Input!",RSE_Setup!$B$19,ROW()+1))),"",INDIRECT(CONCATENATE("Input!",RSE_Setup!$B$19,ROW()+1)))</f>
        <v>4250</v>
      </c>
      <c r="E12" s="1" cm="1">
        <f t="array" aca="1" ref="E12" ca="1">IF(ISBLANK(INDIRECT(CONCATENATE("Input!",RSE_Setup!$B$23,ROW()+1))),"",INDIRECT(CONCATENATE("Input!",RSE_Setup!$B$23,ROW()+1)))</f>
        <v>381.40389499999998</v>
      </c>
      <c r="F12" s="1">
        <f ca="1"/>
        <v>386.17710635590089</v>
      </c>
    </row>
    <row r="13" spans="1:7" x14ac:dyDescent="0.3">
      <c r="A13" s="1" cm="1">
        <f t="array" aca="1" ref="A13" ca="1">IF(ISBLANK(INDIRECT(CONCATENATE("Input!",RSE_Setup!$B$16,ROW()+1))),"",INDIRECT(CONCATENATE("Input!",RSE_Setup!$B$16,ROW()+1)))</f>
        <v>1E-3</v>
      </c>
      <c r="B13" s="1" cm="1">
        <f t="array" aca="1" ref="B13" ca="1">IF(ISBLANK(INDIRECT(CONCATENATE("Input!",RSE_Setup!$B$17,ROW()+1))),"",INDIRECT(CONCATENATE("Input!",RSE_Setup!$B$17,ROW()+1)))</f>
        <v>5.0000000000000001E-3</v>
      </c>
      <c r="C13" s="1" cm="1">
        <f t="array" aca="1" ref="C13" ca="1">IF(ISBLANK(INDIRECT(CONCATENATE("Input!",RSE_Setup!$B$18,ROW()+1))),"",INDIRECT(CONCATENATE("Input!",RSE_Setup!$B$18,ROW()+1)))</f>
        <v>3.2258000000000002E-2</v>
      </c>
      <c r="D13" s="1" cm="1">
        <f t="array" aca="1" ref="D13" ca="1">IF(ISBLANK(INDIRECT(CONCATENATE("Input!",RSE_Setup!$B$19,ROW()+1))),"",INDIRECT(CONCATENATE("Input!",RSE_Setup!$B$19,ROW()+1)))</f>
        <v>3250</v>
      </c>
      <c r="E13" s="1" cm="1">
        <f t="array" aca="1" ref="E13" ca="1">IF(ISBLANK(INDIRECT(CONCATENATE("Input!",RSE_Setup!$B$23,ROW()+1))),"",INDIRECT(CONCATENATE("Input!",RSE_Setup!$B$23,ROW()+1)))</f>
        <v>266.44933099999997</v>
      </c>
      <c r="F13" s="1">
        <f ca="1"/>
        <v>267.69960271223272</v>
      </c>
    </row>
    <row r="14" spans="1:7" x14ac:dyDescent="0.3">
      <c r="A14" s="1" cm="1">
        <f t="array" aca="1" ref="A14" ca="1">IF(ISBLANK(INDIRECT(CONCATENATE("Input!",RSE_Setup!$B$16,ROW()+1))),"",INDIRECT(CONCATENATE("Input!",RSE_Setup!$B$16,ROW()+1)))</f>
        <v>1E-3</v>
      </c>
      <c r="B14" s="1" cm="1">
        <f t="array" aca="1" ref="B14" ca="1">IF(ISBLANK(INDIRECT(CONCATENATE("Input!",RSE_Setup!$B$17,ROW()+1))),"",INDIRECT(CONCATENATE("Input!",RSE_Setup!$B$17,ROW()+1)))</f>
        <v>5.0000000000000001E-3</v>
      </c>
      <c r="C14" s="1" cm="1">
        <f t="array" aca="1" ref="C14" ca="1">IF(ISBLANK(INDIRECT(CONCATENATE("Input!",RSE_Setup!$B$18,ROW()+1))),"",INDIRECT(CONCATENATE("Input!",RSE_Setup!$B$18,ROW()+1)))</f>
        <v>3.2258000000000002E-2</v>
      </c>
      <c r="D14" s="1" cm="1">
        <f t="array" aca="1" ref="D14" ca="1">IF(ISBLANK(INDIRECT(CONCATENATE("Input!",RSE_Setup!$B$19,ROW()+1))),"",INDIRECT(CONCATENATE("Input!",RSE_Setup!$B$19,ROW()+1)))</f>
        <v>4250</v>
      </c>
      <c r="E14" s="1" cm="1">
        <f t="array" aca="1" ref="E14" ca="1">IF(ISBLANK(INDIRECT(CONCATENATE("Input!",RSE_Setup!$B$23,ROW()+1))),"",INDIRECT(CONCATENATE("Input!",RSE_Setup!$B$23,ROW()+1)))</f>
        <v>341.55790999999999</v>
      </c>
      <c r="F14" s="1">
        <f ca="1"/>
        <v>345.89107904590759</v>
      </c>
    </row>
    <row r="15" spans="1:7" x14ac:dyDescent="0.3">
      <c r="A15" s="1" cm="1">
        <f t="array" aca="1" ref="A15" ca="1">IF(ISBLANK(INDIRECT(CONCATENATE("Input!",RSE_Setup!$B$16,ROW()+1))),"",INDIRECT(CONCATENATE("Input!",RSE_Setup!$B$16,ROW()+1)))</f>
        <v>1E-3</v>
      </c>
      <c r="B15" s="1" cm="1">
        <f t="array" aca="1" ref="B15" ca="1">IF(ISBLANK(INDIRECT(CONCATENATE("Input!",RSE_Setup!$B$17,ROW()+1))),"",INDIRECT(CONCATENATE("Input!",RSE_Setup!$B$17,ROW()+1)))</f>
        <v>6.4999999999999997E-3</v>
      </c>
      <c r="C15" s="1" cm="1">
        <f t="array" aca="1" ref="C15" ca="1">IF(ISBLANK(INDIRECT(CONCATENATE("Input!",RSE_Setup!$B$18,ROW()+1))),"",INDIRECT(CONCATENATE("Input!",RSE_Setup!$B$18,ROW()+1)))</f>
        <v>3.2258000000000002E-2</v>
      </c>
      <c r="D15" s="1" cm="1">
        <f t="array" aca="1" ref="D15" ca="1">IF(ISBLANK(INDIRECT(CONCATENATE("Input!",RSE_Setup!$B$19,ROW()+1))),"",INDIRECT(CONCATENATE("Input!",RSE_Setup!$B$19,ROW()+1)))</f>
        <v>3250</v>
      </c>
      <c r="E15" s="1" cm="1">
        <f t="array" aca="1" ref="E15" ca="1">IF(ISBLANK(INDIRECT(CONCATENATE("Input!",RSE_Setup!$B$23,ROW()+1))),"",INDIRECT(CONCATENATE("Input!",RSE_Setup!$B$23,ROW()+1)))</f>
        <v>287.37071200000003</v>
      </c>
      <c r="F15" s="1">
        <f ca="1"/>
        <v>290.42692217146907</v>
      </c>
    </row>
    <row r="16" spans="1:7" x14ac:dyDescent="0.3">
      <c r="A16" s="1" cm="1">
        <f t="array" aca="1" ref="A16" ca="1">IF(ISBLANK(INDIRECT(CONCATENATE("Input!",RSE_Setup!$B$16,ROW()+1))),"",INDIRECT(CONCATENATE("Input!",RSE_Setup!$B$16,ROW()+1)))</f>
        <v>1E-3</v>
      </c>
      <c r="B16" s="1" cm="1">
        <f t="array" aca="1" ref="B16" ca="1">IF(ISBLANK(INDIRECT(CONCATENATE("Input!",RSE_Setup!$B$17,ROW()+1))),"",INDIRECT(CONCATENATE("Input!",RSE_Setup!$B$17,ROW()+1)))</f>
        <v>6.4999999999999997E-3</v>
      </c>
      <c r="C16" s="1" cm="1">
        <f t="array" aca="1" ref="C16" ca="1">IF(ISBLANK(INDIRECT(CONCATENATE("Input!",RSE_Setup!$B$18,ROW()+1))),"",INDIRECT(CONCATENATE("Input!",RSE_Setup!$B$18,ROW()+1)))</f>
        <v>3.2258000000000002E-2</v>
      </c>
      <c r="D16" s="1" cm="1">
        <f t="array" aca="1" ref="D16" ca="1">IF(ISBLANK(INDIRECT(CONCATENATE("Input!",RSE_Setup!$B$19,ROW()+1))),"",INDIRECT(CONCATENATE("Input!",RSE_Setup!$B$19,ROW()+1)))</f>
        <v>4250</v>
      </c>
      <c r="E16" s="1" cm="1">
        <f t="array" aca="1" ref="E16" ca="1">IF(ISBLANK(INDIRECT(CONCATENATE("Input!",RSE_Setup!$B$23,ROW()+1))),"",INDIRECT(CONCATENATE("Input!",RSE_Setup!$B$23,ROW()+1)))</f>
        <v>369.35771699999998</v>
      </c>
      <c r="F16" s="1">
        <f ca="1"/>
        <v>374.49553672098801</v>
      </c>
    </row>
    <row r="17" spans="1:6" x14ac:dyDescent="0.3">
      <c r="A17" s="1" cm="1">
        <f t="array" aca="1" ref="A17" ca="1">IF(ISBLANK(INDIRECT(CONCATENATE("Input!",RSE_Setup!$B$16,ROW()+1))),"",INDIRECT(CONCATENATE("Input!",RSE_Setup!$B$16,ROW()+1)))</f>
        <v>1E-3</v>
      </c>
      <c r="B17" s="1" cm="1">
        <f t="array" aca="1" ref="B17" ca="1">IF(ISBLANK(INDIRECT(CONCATENATE("Input!",RSE_Setup!$B$17,ROW()+1))),"",INDIRECT(CONCATENATE("Input!",RSE_Setup!$B$17,ROW()+1)))</f>
        <v>8.0000000000000002E-3</v>
      </c>
      <c r="C17" s="1" cm="1">
        <f t="array" aca="1" ref="C17" ca="1">IF(ISBLANK(INDIRECT(CONCATENATE("Input!",RSE_Setup!$B$18,ROW()+1))),"",INDIRECT(CONCATENATE("Input!",RSE_Setup!$B$18,ROW()+1)))</f>
        <v>3.2258000000000002E-2</v>
      </c>
      <c r="D17" s="1" cm="1">
        <f t="array" aca="1" ref="D17" ca="1">IF(ISBLANK(INDIRECT(CONCATENATE("Input!",RSE_Setup!$B$19,ROW()+1))),"",INDIRECT(CONCATENATE("Input!",RSE_Setup!$B$19,ROW()+1)))</f>
        <v>4250</v>
      </c>
      <c r="E17" s="1" cm="1">
        <f t="array" aca="1" ref="E17" ca="1">IF(ISBLANK(INDIRECT(CONCATENATE("Input!",RSE_Setup!$B$23,ROW()+1))),"",INDIRECT(CONCATENATE("Input!",RSE_Setup!$B$23,ROW()+1)))</f>
        <v>399.94703700000002</v>
      </c>
      <c r="F17" s="1">
        <f ca="1"/>
        <v>405.23552388852585</v>
      </c>
    </row>
    <row r="18" spans="1:6" x14ac:dyDescent="0.3">
      <c r="A18" s="1" cm="1">
        <f t="array" aca="1" ref="A18" ca="1">IF(ISBLANK(INDIRECT(CONCATENATE("Input!",RSE_Setup!$B$16,ROW()+1))),"",INDIRECT(CONCATENATE("Input!",RSE_Setup!$B$16,ROW()+1)))</f>
        <v>2.9999999999999997E-4</v>
      </c>
      <c r="B18" s="1" cm="1">
        <f t="array" aca="1" ref="B18" ca="1">IF(ISBLANK(INDIRECT(CONCATENATE("Input!",RSE_Setup!$B$17,ROW()+1))),"",INDIRECT(CONCATENATE("Input!",RSE_Setup!$B$17,ROW()+1)))</f>
        <v>2E-3</v>
      </c>
      <c r="C18" s="1" cm="1">
        <f t="array" aca="1" ref="C18" ca="1">IF(ISBLANK(INDIRECT(CONCATENATE("Input!",RSE_Setup!$B$18,ROW()+1))),"",INDIRECT(CONCATENATE("Input!",RSE_Setup!$B$18,ROW()+1)))</f>
        <v>3.2258000000000002E-2</v>
      </c>
      <c r="D18" s="1" cm="1">
        <f t="array" aca="1" ref="D18" ca="1">IF(ISBLANK(INDIRECT(CONCATENATE("Input!",RSE_Setup!$B$19,ROW()+1))),"",INDIRECT(CONCATENATE("Input!",RSE_Setup!$B$19,ROW()+1)))</f>
        <v>5250</v>
      </c>
      <c r="E18" s="1" cm="1">
        <f t="array" aca="1" ref="E18" ca="1">IF(ISBLANK(INDIRECT(CONCATENATE("Input!",RSE_Setup!$B$23,ROW()+1))),"",INDIRECT(CONCATENATE("Input!",RSE_Setup!$B$23,ROW()+1)))</f>
        <v>299.64027199999998</v>
      </c>
      <c r="F18" s="1">
        <f ca="1"/>
        <v>299.903606546216</v>
      </c>
    </row>
    <row r="19" spans="1:6" x14ac:dyDescent="0.3">
      <c r="A19" s="1" cm="1">
        <f t="array" aca="1" ref="A19" ca="1">IF(ISBLANK(INDIRECT(CONCATENATE("Input!",RSE_Setup!$B$16,ROW()+1))),"",INDIRECT(CONCATENATE("Input!",RSE_Setup!$B$16,ROW()+1)))</f>
        <v>2.9999999999999997E-4</v>
      </c>
      <c r="B19" s="1" cm="1">
        <f t="array" aca="1" ref="B19" ca="1">IF(ISBLANK(INDIRECT(CONCATENATE("Input!",RSE_Setup!$B$17,ROW()+1))),"",INDIRECT(CONCATENATE("Input!",RSE_Setup!$B$17,ROW()+1)))</f>
        <v>2E-3</v>
      </c>
      <c r="C19" s="1" cm="1">
        <f t="array" aca="1" ref="C19" ca="1">IF(ISBLANK(INDIRECT(CONCATENATE("Input!",RSE_Setup!$B$18,ROW()+1))),"",INDIRECT(CONCATENATE("Input!",RSE_Setup!$B$18,ROW()+1)))</f>
        <v>3.2258000000000002E-2</v>
      </c>
      <c r="D19" s="1" cm="1">
        <f t="array" aca="1" ref="D19" ca="1">IF(ISBLANK(INDIRECT(CONCATENATE("Input!",RSE_Setup!$B$19,ROW()+1))),"",INDIRECT(CONCATENATE("Input!",RSE_Setup!$B$19,ROW()+1)))</f>
        <v>6500</v>
      </c>
      <c r="E19" s="1" cm="1">
        <f t="array" aca="1" ref="E19" ca="1">IF(ISBLANK(INDIRECT(CONCATENATE("Input!",RSE_Setup!$B$23,ROW()+1))),"",INDIRECT(CONCATENATE("Input!",RSE_Setup!$B$23,ROW()+1)))</f>
        <v>363.69812899999999</v>
      </c>
      <c r="F19" s="1">
        <f ca="1"/>
        <v>368.07626761934335</v>
      </c>
    </row>
    <row r="20" spans="1:6" x14ac:dyDescent="0.3">
      <c r="A20" s="1" cm="1">
        <f t="array" aca="1" ref="A20" ca="1">IF(ISBLANK(INDIRECT(CONCATENATE("Input!",RSE_Setup!$B$16,ROW()+1))),"",INDIRECT(CONCATENATE("Input!",RSE_Setup!$B$16,ROW()+1)))</f>
        <v>2.9999999999999997E-4</v>
      </c>
      <c r="B20" s="1" cm="1">
        <f t="array" aca="1" ref="B20" ca="1">IF(ISBLANK(INDIRECT(CONCATENATE("Input!",RSE_Setup!$B$17,ROW()+1))),"",INDIRECT(CONCATENATE("Input!",RSE_Setup!$B$17,ROW()+1)))</f>
        <v>3.0000000000000001E-3</v>
      </c>
      <c r="C20" s="1" cm="1">
        <f t="array" aca="1" ref="C20" ca="1">IF(ISBLANK(INDIRECT(CONCATENATE("Input!",RSE_Setup!$B$18,ROW()+1))),"",INDIRECT(CONCATENATE("Input!",RSE_Setup!$B$18,ROW()+1)))</f>
        <v>3.2258000000000002E-2</v>
      </c>
      <c r="D20" s="1" cm="1">
        <f t="array" aca="1" ref="D20" ca="1">IF(ISBLANK(INDIRECT(CONCATENATE("Input!",RSE_Setup!$B$19,ROW()+1))),"",INDIRECT(CONCATENATE("Input!",RSE_Setup!$B$19,ROW()+1)))</f>
        <v>5250</v>
      </c>
      <c r="E20" s="1" cm="1">
        <f t="array" aca="1" ref="E20" ca="1">IF(ISBLANK(INDIRECT(CONCATENATE("Input!",RSE_Setup!$B$23,ROW()+1))),"",INDIRECT(CONCATENATE("Input!",RSE_Setup!$B$23,ROW()+1)))</f>
        <v>318.68699700000002</v>
      </c>
      <c r="F20" s="1">
        <f ca="1"/>
        <v>319.41329267492301</v>
      </c>
    </row>
    <row r="21" spans="1:6" x14ac:dyDescent="0.3">
      <c r="A21" s="1" cm="1">
        <f t="array" aca="1" ref="A21" ca="1">IF(ISBLANK(INDIRECT(CONCATENATE("Input!",RSE_Setup!$B$16,ROW()+1))),"",INDIRECT(CONCATENATE("Input!",RSE_Setup!$B$16,ROW()+1)))</f>
        <v>2.9999999999999997E-4</v>
      </c>
      <c r="B21" s="1" cm="1">
        <f t="array" aca="1" ref="B21" ca="1">IF(ISBLANK(INDIRECT(CONCATENATE("Input!",RSE_Setup!$B$17,ROW()+1))),"",INDIRECT(CONCATENATE("Input!",RSE_Setup!$B$17,ROW()+1)))</f>
        <v>3.0000000000000001E-3</v>
      </c>
      <c r="C21" s="1" cm="1">
        <f t="array" aca="1" ref="C21" ca="1">IF(ISBLANK(INDIRECT(CONCATENATE("Input!",RSE_Setup!$B$18,ROW()+1))),"",INDIRECT(CONCATENATE("Input!",RSE_Setup!$B$18,ROW()+1)))</f>
        <v>3.2258000000000002E-2</v>
      </c>
      <c r="D21" s="1" cm="1">
        <f t="array" aca="1" ref="D21" ca="1">IF(ISBLANK(INDIRECT(CONCATENATE("Input!",RSE_Setup!$B$19,ROW()+1))),"",INDIRECT(CONCATENATE("Input!",RSE_Setup!$B$19,ROW()+1)))</f>
        <v>6500</v>
      </c>
      <c r="E21" s="1" cm="1">
        <f t="array" aca="1" ref="E21" ca="1">IF(ISBLANK(INDIRECT(CONCATENATE("Input!",RSE_Setup!$B$23,ROW()+1))),"",INDIRECT(CONCATENATE("Input!",RSE_Setup!$B$23,ROW()+1)))</f>
        <v>386.27533399999999</v>
      </c>
      <c r="F21" s="1">
        <f ca="1"/>
        <v>392.48356892792054</v>
      </c>
    </row>
    <row r="22" spans="1:6" x14ac:dyDescent="0.3">
      <c r="A22" s="1" cm="1">
        <f t="array" aca="1" ref="A22" ca="1">IF(ISBLANK(INDIRECT(CONCATENATE("Input!",RSE_Setup!$B$16,ROW()+1))),"",INDIRECT(CONCATENATE("Input!",RSE_Setup!$B$16,ROW()+1)))</f>
        <v>2.9999999999999997E-4</v>
      </c>
      <c r="B22" s="1" cm="1">
        <f t="array" aca="1" ref="B22" ca="1">IF(ISBLANK(INDIRECT(CONCATENATE("Input!",RSE_Setup!$B$17,ROW()+1))),"",INDIRECT(CONCATENATE("Input!",RSE_Setup!$B$17,ROW()+1)))</f>
        <v>4.0000000000000001E-3</v>
      </c>
      <c r="C22" s="1" cm="1">
        <f t="array" aca="1" ref="C22" ca="1">IF(ISBLANK(INDIRECT(CONCATENATE("Input!",RSE_Setup!$B$18,ROW()+1))),"",INDIRECT(CONCATENATE("Input!",RSE_Setup!$B$18,ROW()+1)))</f>
        <v>3.2258000000000002E-2</v>
      </c>
      <c r="D22" s="1" cm="1">
        <f t="array" aca="1" ref="D22" ca="1">IF(ISBLANK(INDIRECT(CONCATENATE("Input!",RSE_Setup!$B$19,ROW()+1))),"",INDIRECT(CONCATENATE("Input!",RSE_Setup!$B$19,ROW()+1)))</f>
        <v>5250</v>
      </c>
      <c r="E22" s="1" cm="1">
        <f t="array" aca="1" ref="E22" ca="1">IF(ISBLANK(INDIRECT(CONCATENATE("Input!",RSE_Setup!$B$23,ROW()+1))),"",INDIRECT(CONCATENATE("Input!",RSE_Setup!$B$23,ROW()+1)))</f>
        <v>337.59602899999999</v>
      </c>
      <c r="F22" s="1">
        <f ca="1"/>
        <v>339.87210302250003</v>
      </c>
    </row>
    <row r="23" spans="1:6" x14ac:dyDescent="0.3">
      <c r="A23" s="1" cm="1">
        <f t="array" aca="1" ref="A23" ca="1">IF(ISBLANK(INDIRECT(CONCATENATE("Input!",RSE_Setup!$B$16,ROW()+1))),"",INDIRECT(CONCATENATE("Input!",RSE_Setup!$B$16,ROW()+1)))</f>
        <v>2.9999999999999997E-4</v>
      </c>
      <c r="B23" s="1" cm="1">
        <f t="array" aca="1" ref="B23" ca="1">IF(ISBLANK(INDIRECT(CONCATENATE("Input!",RSE_Setup!$B$17,ROW()+1))),"",INDIRECT(CONCATENATE("Input!",RSE_Setup!$B$17,ROW()+1)))</f>
        <v>4.0000000000000001E-3</v>
      </c>
      <c r="C23" s="1" cm="1">
        <f t="array" aca="1" ref="C23" ca="1">IF(ISBLANK(INDIRECT(CONCATENATE("Input!",RSE_Setup!$B$18,ROW()+1))),"",INDIRECT(CONCATENATE("Input!",RSE_Setup!$B$18,ROW()+1)))</f>
        <v>3.2258000000000002E-2</v>
      </c>
      <c r="D23" s="1" cm="1">
        <f t="array" aca="1" ref="D23" ca="1">IF(ISBLANK(INDIRECT(CONCATENATE("Input!",RSE_Setup!$B$19,ROW()+1))),"",INDIRECT(CONCATENATE("Input!",RSE_Setup!$B$19,ROW()+1)))</f>
        <v>6500</v>
      </c>
      <c r="E23" s="1" cm="1">
        <f t="array" aca="1" ref="E23" ca="1">IF(ISBLANK(INDIRECT(CONCATENATE("Input!",RSE_Setup!$B$23,ROW()+1))),"",INDIRECT(CONCATENATE("Input!",RSE_Setup!$B$23,ROW()+1)))</f>
        <v>410.90610900000001</v>
      </c>
      <c r="F23" s="1">
        <f ca="1"/>
        <v>417.83999445536762</v>
      </c>
    </row>
    <row r="24" spans="1:6" x14ac:dyDescent="0.3">
      <c r="A24" s="1" cm="1">
        <f t="array" aca="1" ref="A24" ca="1">IF(ISBLANK(INDIRECT(CONCATENATE("Input!",RSE_Setup!$B$16,ROW()+1))),"",INDIRECT(CONCATENATE("Input!",RSE_Setup!$B$16,ROW()+1)))</f>
        <v>5.0000000000000001E-4</v>
      </c>
      <c r="B24" s="1" cm="1">
        <f t="array" aca="1" ref="B24" ca="1">IF(ISBLANK(INDIRECT(CONCATENATE("Input!",RSE_Setup!$B$17,ROW()+1))),"",INDIRECT(CONCATENATE("Input!",RSE_Setup!$B$17,ROW()+1)))</f>
        <v>3.0000000000000001E-3</v>
      </c>
      <c r="C24" s="1" cm="1">
        <f t="array" aca="1" ref="C24" ca="1">IF(ISBLANK(INDIRECT(CONCATENATE("Input!",RSE_Setup!$B$18,ROW()+1))),"",INDIRECT(CONCATENATE("Input!",RSE_Setup!$B$18,ROW()+1)))</f>
        <v>5.5556000000000001E-2</v>
      </c>
      <c r="D24" s="1" cm="1">
        <f t="array" aca="1" ref="D24" ca="1">IF(ISBLANK(INDIRECT(CONCATENATE("Input!",RSE_Setup!$B$19,ROW()+1))),"",INDIRECT(CONCATENATE("Input!",RSE_Setup!$B$19,ROW()+1)))</f>
        <v>3750</v>
      </c>
      <c r="E24" s="1" cm="1">
        <f t="array" aca="1" ref="E24" ca="1">IF(ISBLANK(INDIRECT(CONCATENATE("Input!",RSE_Setup!$B$23,ROW()+1))),"",INDIRECT(CONCATENATE("Input!",RSE_Setup!$B$23,ROW()+1)))</f>
        <v>264.15188999999998</v>
      </c>
      <c r="F24" s="1">
        <f ca="1"/>
        <v>268.76944658165667</v>
      </c>
    </row>
    <row r="25" spans="1:6" x14ac:dyDescent="0.3">
      <c r="A25" s="1" cm="1">
        <f t="array" aca="1" ref="A25" ca="1">IF(ISBLANK(INDIRECT(CONCATENATE("Input!",RSE_Setup!$B$16,ROW()+1))),"",INDIRECT(CONCATENATE("Input!",RSE_Setup!$B$16,ROW()+1)))</f>
        <v>5.0000000000000001E-4</v>
      </c>
      <c r="B25" s="1" cm="1">
        <f t="array" aca="1" ref="B25" ca="1">IF(ISBLANK(INDIRECT(CONCATENATE("Input!",RSE_Setup!$B$17,ROW()+1))),"",INDIRECT(CONCATENATE("Input!",RSE_Setup!$B$17,ROW()+1)))</f>
        <v>3.0000000000000001E-3</v>
      </c>
      <c r="C25" s="1" cm="1">
        <f t="array" aca="1" ref="C25" ca="1">IF(ISBLANK(INDIRECT(CONCATENATE("Input!",RSE_Setup!$B$18,ROW()+1))),"",INDIRECT(CONCATENATE("Input!",RSE_Setup!$B$18,ROW()+1)))</f>
        <v>3.2258000000000002E-2</v>
      </c>
      <c r="D25" s="1" cm="1">
        <f t="array" aca="1" ref="D25" ca="1">IF(ISBLANK(INDIRECT(CONCATENATE("Input!",RSE_Setup!$B$19,ROW()+1))),"",INDIRECT(CONCATENATE("Input!",RSE_Setup!$B$19,ROW()+1)))</f>
        <v>3750</v>
      </c>
      <c r="E25" s="1" cm="1">
        <f t="array" aca="1" ref="E25" ca="1">IF(ISBLANK(INDIRECT(CONCATENATE("Input!",RSE_Setup!$B$23,ROW()+1))),"",INDIRECT(CONCATENATE("Input!",RSE_Setup!$B$23,ROW()+1)))</f>
        <v>247.69477000000001</v>
      </c>
      <c r="F25" s="1">
        <f ca="1"/>
        <v>243.68472475348878</v>
      </c>
    </row>
    <row r="26" spans="1:6" x14ac:dyDescent="0.3">
      <c r="A26" s="1" cm="1">
        <f t="array" aca="1" ref="A26" ca="1">IF(ISBLANK(INDIRECT(CONCATENATE("Input!",RSE_Setup!$B$16,ROW()+1))),"",INDIRECT(CONCATENATE("Input!",RSE_Setup!$B$16,ROW()+1)))</f>
        <v>5.0000000000000001E-4</v>
      </c>
      <c r="B26" s="1" cm="1">
        <f t="array" aca="1" ref="B26" ca="1">IF(ISBLANK(INDIRECT(CONCATENATE("Input!",RSE_Setup!$B$17,ROW()+1))),"",INDIRECT(CONCATENATE("Input!",RSE_Setup!$B$17,ROW()+1)))</f>
        <v>3.0000000000000001E-3</v>
      </c>
      <c r="C26" s="1" cm="1">
        <f t="array" aca="1" ref="C26" ca="1">IF(ISBLANK(INDIRECT(CONCATENATE("Input!",RSE_Setup!$B$18,ROW()+1))),"",INDIRECT(CONCATENATE("Input!",RSE_Setup!$B$18,ROW()+1)))</f>
        <v>3.2258000000000002E-2</v>
      </c>
      <c r="D26" s="1" cm="1">
        <f t="array" aca="1" ref="D26" ca="1">IF(ISBLANK(INDIRECT(CONCATENATE("Input!",RSE_Setup!$B$19,ROW()+1))),"",INDIRECT(CONCATENATE("Input!",RSE_Setup!$B$19,ROW()+1)))</f>
        <v>5250</v>
      </c>
      <c r="E26" s="1" cm="1">
        <f t="array" aca="1" ref="E26" ca="1">IF(ISBLANK(INDIRECT(CONCATENATE("Input!",RSE_Setup!$B$23,ROW()+1))),"",INDIRECT(CONCATENATE("Input!",RSE_Setup!$B$23,ROW()+1)))</f>
        <v>334.23138299999999</v>
      </c>
      <c r="F26" s="1">
        <f ca="1"/>
        <v>336.74273833216307</v>
      </c>
    </row>
    <row r="27" spans="1:6" x14ac:dyDescent="0.3">
      <c r="A27" s="1" cm="1">
        <f t="array" aca="1" ref="A27" ca="1">IF(ISBLANK(INDIRECT(CONCATENATE("Input!",RSE_Setup!$B$16,ROW()+1))),"",INDIRECT(CONCATENATE("Input!",RSE_Setup!$B$16,ROW()+1)))</f>
        <v>5.0000000000000001E-4</v>
      </c>
      <c r="B27" s="1" cm="1">
        <f t="array" aca="1" ref="B27" ca="1">IF(ISBLANK(INDIRECT(CONCATENATE("Input!",RSE_Setup!$B$17,ROW()+1))),"",INDIRECT(CONCATENATE("Input!",RSE_Setup!$B$17,ROW()+1)))</f>
        <v>3.0000000000000001E-3</v>
      </c>
      <c r="C27" s="1" cm="1">
        <f t="array" aca="1" ref="C27" ca="1">IF(ISBLANK(INDIRECT(CONCATENATE("Input!",RSE_Setup!$B$18,ROW()+1))),"",INDIRECT(CONCATENATE("Input!",RSE_Setup!$B$18,ROW()+1)))</f>
        <v>3.2258000000000002E-2</v>
      </c>
      <c r="D27" s="1" cm="1">
        <f t="array" aca="1" ref="D27" ca="1">IF(ISBLANK(INDIRECT(CONCATENATE("Input!",RSE_Setup!$B$19,ROW()+1))),"",INDIRECT(CONCATENATE("Input!",RSE_Setup!$B$19,ROW()+1)))</f>
        <v>6500</v>
      </c>
      <c r="E27" s="1" cm="1">
        <f t="array" aca="1" ref="E27" ca="1">IF(ISBLANK(INDIRECT(CONCATENATE("Input!",RSE_Setup!$B$23,ROW()+1))),"",INDIRECT(CONCATENATE("Input!",RSE_Setup!$B$23,ROW()+1)))</f>
        <v>406.45403599999997</v>
      </c>
      <c r="F27" s="1">
        <f ca="1"/>
        <v>413.88208733481889</v>
      </c>
    </row>
    <row r="28" spans="1:6" x14ac:dyDescent="0.3">
      <c r="A28" s="1" cm="1">
        <f t="array" aca="1" ref="A28" ca="1">IF(ISBLANK(INDIRECT(CONCATENATE("Input!",RSE_Setup!$B$16,ROW()+1))),"",INDIRECT(CONCATENATE("Input!",RSE_Setup!$B$16,ROW()+1)))</f>
        <v>5.0000000000000001E-4</v>
      </c>
      <c r="B28" s="1" cm="1">
        <f t="array" aca="1" ref="B28" ca="1">IF(ISBLANK(INDIRECT(CONCATENATE("Input!",RSE_Setup!$B$17,ROW()+1))),"",INDIRECT(CONCATENATE("Input!",RSE_Setup!$B$17,ROW()+1)))</f>
        <v>4.7499999999999999E-3</v>
      </c>
      <c r="C28" s="1" cm="1">
        <f t="array" aca="1" ref="C28" ca="1">IF(ISBLANK(INDIRECT(CONCATENATE("Input!",RSE_Setup!$B$18,ROW()+1))),"",INDIRECT(CONCATENATE("Input!",RSE_Setup!$B$18,ROW()+1)))</f>
        <v>5.5556000000000001E-2</v>
      </c>
      <c r="D28" s="1" cm="1">
        <f t="array" aca="1" ref="D28" ca="1">IF(ISBLANK(INDIRECT(CONCATENATE("Input!",RSE_Setup!$B$19,ROW()+1))),"",INDIRECT(CONCATENATE("Input!",RSE_Setup!$B$19,ROW()+1)))</f>
        <v>3000</v>
      </c>
      <c r="E28" s="1" cm="1">
        <f t="array" aca="1" ref="E28" ca="1">IF(ISBLANK(INDIRECT(CONCATENATE("Input!",RSE_Setup!$B$23,ROW()+1))),"",INDIRECT(CONCATENATE("Input!",RSE_Setup!$B$23,ROW()+1)))</f>
        <v>237.29702800000001</v>
      </c>
      <c r="F28" s="1">
        <f ca="1"/>
        <v>238.09503028653799</v>
      </c>
    </row>
    <row r="29" spans="1:6" x14ac:dyDescent="0.3">
      <c r="A29" s="1" cm="1">
        <f t="array" aca="1" ref="A29" ca="1">IF(ISBLANK(INDIRECT(CONCATENATE("Input!",RSE_Setup!$B$16,ROW()+1))),"",INDIRECT(CONCATENATE("Input!",RSE_Setup!$B$16,ROW()+1)))</f>
        <v>5.0000000000000001E-4</v>
      </c>
      <c r="B29" s="1" cm="1">
        <f t="array" aca="1" ref="B29" ca="1">IF(ISBLANK(INDIRECT(CONCATENATE("Input!",RSE_Setup!$B$17,ROW()+1))),"",INDIRECT(CONCATENATE("Input!",RSE_Setup!$B$17,ROW()+1)))</f>
        <v>4.7499999999999999E-3</v>
      </c>
      <c r="C29" s="1" cm="1">
        <f t="array" aca="1" ref="C29" ca="1">IF(ISBLANK(INDIRECT(CONCATENATE("Input!",RSE_Setup!$B$18,ROW()+1))),"",INDIRECT(CONCATENATE("Input!",RSE_Setup!$B$18,ROW()+1)))</f>
        <v>5.5556000000000001E-2</v>
      </c>
      <c r="D29" s="1" cm="1">
        <f t="array" aca="1" ref="D29" ca="1">IF(ISBLANK(INDIRECT(CONCATENATE("Input!",RSE_Setup!$B$19,ROW()+1))),"",INDIRECT(CONCATENATE("Input!",RSE_Setup!$B$19,ROW()+1)))</f>
        <v>3750</v>
      </c>
      <c r="E29" s="1" cm="1">
        <f t="array" aca="1" ref="E29" ca="1">IF(ISBLANK(INDIRECT(CONCATENATE("Input!",RSE_Setup!$B$23,ROW()+1))),"",INDIRECT(CONCATENATE("Input!",RSE_Setup!$B$23,ROW()+1)))</f>
        <v>289.840734</v>
      </c>
      <c r="F29" s="1">
        <f ca="1"/>
        <v>294.11503362437315</v>
      </c>
    </row>
    <row r="30" spans="1:6" x14ac:dyDescent="0.3">
      <c r="A30" s="1" cm="1">
        <f t="array" aca="1" ref="A30" ca="1">IF(ISBLANK(INDIRECT(CONCATENATE("Input!",RSE_Setup!$B$16,ROW()+1))),"",INDIRECT(CONCATENATE("Input!",RSE_Setup!$B$16,ROW()+1)))</f>
        <v>5.0000000000000001E-4</v>
      </c>
      <c r="B30" s="1" cm="1">
        <f t="array" aca="1" ref="B30" ca="1">IF(ISBLANK(INDIRECT(CONCATENATE("Input!",RSE_Setup!$B$17,ROW()+1))),"",INDIRECT(CONCATENATE("Input!",RSE_Setup!$B$17,ROW()+1)))</f>
        <v>4.7499999999999999E-3</v>
      </c>
      <c r="C30" s="1" cm="1">
        <f t="array" aca="1" ref="C30" ca="1">IF(ISBLANK(INDIRECT(CONCATENATE("Input!",RSE_Setup!$B$18,ROW()+1))),"",INDIRECT(CONCATENATE("Input!",RSE_Setup!$B$18,ROW()+1)))</f>
        <v>3.2258000000000002E-2</v>
      </c>
      <c r="D30" s="1" cm="1">
        <f t="array" aca="1" ref="D30" ca="1">IF(ISBLANK(INDIRECT(CONCATENATE("Input!",RSE_Setup!$B$19,ROW()+1))),"",INDIRECT(CONCATENATE("Input!",RSE_Setup!$B$19,ROW()+1)))</f>
        <v>3750</v>
      </c>
      <c r="E30" s="1" cm="1">
        <f t="array" aca="1" ref="E30" ca="1">IF(ISBLANK(INDIRECT(CONCATENATE("Input!",RSE_Setup!$B$23,ROW()+1))),"",INDIRECT(CONCATENATE("Input!",RSE_Setup!$B$23,ROW()+1)))</f>
        <v>273.55230799999998</v>
      </c>
      <c r="F30" s="1">
        <f ca="1"/>
        <v>270.02220912961246</v>
      </c>
    </row>
    <row r="31" spans="1:6" x14ac:dyDescent="0.3">
      <c r="A31" s="1" cm="1">
        <f t="array" aca="1" ref="A31" ca="1">IF(ISBLANK(INDIRECT(CONCATENATE("Input!",RSE_Setup!$B$16,ROW()+1))),"",INDIRECT(CONCATENATE("Input!",RSE_Setup!$B$16,ROW()+1)))</f>
        <v>5.0000000000000001E-4</v>
      </c>
      <c r="B31" s="1" cm="1">
        <f t="array" aca="1" ref="B31" ca="1">IF(ISBLANK(INDIRECT(CONCATENATE("Input!",RSE_Setup!$B$17,ROW()+1))),"",INDIRECT(CONCATENATE("Input!",RSE_Setup!$B$17,ROW()+1)))</f>
        <v>4.7499999999999999E-3</v>
      </c>
      <c r="C31" s="1" cm="1">
        <f t="array" aca="1" ref="C31" ca="1">IF(ISBLANK(INDIRECT(CONCATENATE("Input!",RSE_Setup!$B$18,ROW()+1))),"",INDIRECT(CONCATENATE("Input!",RSE_Setup!$B$18,ROW()+1)))</f>
        <v>3.2258000000000002E-2</v>
      </c>
      <c r="D31" s="1" cm="1">
        <f t="array" aca="1" ref="D31" ca="1">IF(ISBLANK(INDIRECT(CONCATENATE("Input!",RSE_Setup!$B$19,ROW()+1))),"",INDIRECT(CONCATENATE("Input!",RSE_Setup!$B$19,ROW()+1)))</f>
        <v>5250</v>
      </c>
      <c r="E31" s="1" cm="1">
        <f t="array" aca="1" ref="E31" ca="1">IF(ISBLANK(INDIRECT(CONCATENATE("Input!",RSE_Setup!$B$23,ROW()+1))),"",INDIRECT(CONCATENATE("Input!",RSE_Setup!$B$23,ROW()+1)))</f>
        <v>370.822069</v>
      </c>
      <c r="F31" s="1">
        <f ca="1"/>
        <v>373.36521458601396</v>
      </c>
    </row>
    <row r="32" spans="1:6" x14ac:dyDescent="0.3">
      <c r="A32" s="1" cm="1">
        <f t="array" aca="1" ref="A32" ca="1">IF(ISBLANK(INDIRECT(CONCATENATE("Input!",RSE_Setup!$B$16,ROW()+1))),"",INDIRECT(CONCATENATE("Input!",RSE_Setup!$B$16,ROW()+1)))</f>
        <v>5.0000000000000001E-4</v>
      </c>
      <c r="B32" s="1" cm="1">
        <f t="array" aca="1" ref="B32" ca="1">IF(ISBLANK(INDIRECT(CONCATENATE("Input!",RSE_Setup!$B$17,ROW()+1))),"",INDIRECT(CONCATENATE("Input!",RSE_Setup!$B$17,ROW()+1)))</f>
        <v>4.7499999999999999E-3</v>
      </c>
      <c r="C32" s="1" cm="1">
        <f t="array" aca="1" ref="C32" ca="1">IF(ISBLANK(INDIRECT(CONCATENATE("Input!",RSE_Setup!$B$18,ROW()+1))),"",INDIRECT(CONCATENATE("Input!",RSE_Setup!$B$18,ROW()+1)))</f>
        <v>3.2258000000000002E-2</v>
      </c>
      <c r="D32" s="1" cm="1">
        <f t="array" aca="1" ref="D32" ca="1">IF(ISBLANK(INDIRECT(CONCATENATE("Input!",RSE_Setup!$B$19,ROW()+1))),"",INDIRECT(CONCATENATE("Input!",RSE_Setup!$B$19,ROW()+1)))</f>
        <v>6500</v>
      </c>
      <c r="E32" s="1" cm="1">
        <f t="array" aca="1" ref="E32" ca="1">IF(ISBLANK(INDIRECT(CONCATENATE("Input!",RSE_Setup!$B$23,ROW()+1))),"",INDIRECT(CONCATENATE("Input!",RSE_Setup!$B$23,ROW()+1)))</f>
        <v>451.77830599999999</v>
      </c>
      <c r="F32" s="1">
        <f ca="1"/>
        <v>459.07539015344236</v>
      </c>
    </row>
    <row r="33" spans="1:6" x14ac:dyDescent="0.3">
      <c r="A33" s="1" cm="1">
        <f t="array" aca="1" ref="A33" ca="1">IF(ISBLANK(INDIRECT(CONCATENATE("Input!",RSE_Setup!$B$16,ROW()+1))),"",INDIRECT(CONCATENATE("Input!",RSE_Setup!$B$16,ROW()+1)))</f>
        <v>5.0000000000000001E-4</v>
      </c>
      <c r="B33" s="1" cm="1">
        <f t="array" aca="1" ref="B33" ca="1">IF(ISBLANK(INDIRECT(CONCATENATE("Input!",RSE_Setup!$B$17,ROW()+1))),"",INDIRECT(CONCATENATE("Input!",RSE_Setup!$B$17,ROW()+1)))</f>
        <v>6.4999999999999997E-3</v>
      </c>
      <c r="C33" s="1" cm="1">
        <f t="array" aca="1" ref="C33" ca="1">IF(ISBLANK(INDIRECT(CONCATENATE("Input!",RSE_Setup!$B$18,ROW()+1))),"",INDIRECT(CONCATENATE("Input!",RSE_Setup!$B$18,ROW()+1)))</f>
        <v>5.5556000000000001E-2</v>
      </c>
      <c r="D33" s="1" cm="1">
        <f t="array" aca="1" ref="D33" ca="1">IF(ISBLANK(INDIRECT(CONCATENATE("Input!",RSE_Setup!$B$19,ROW()+1))),"",INDIRECT(CONCATENATE("Input!",RSE_Setup!$B$19,ROW()+1)))</f>
        <v>3000</v>
      </c>
      <c r="E33" s="1" cm="1">
        <f t="array" aca="1" ref="E33" ca="1">IF(ISBLANK(INDIRECT(CONCATENATE("Input!",RSE_Setup!$B$23,ROW()+1))),"",INDIRECT(CONCATENATE("Input!",RSE_Setup!$B$23,ROW()+1)))</f>
        <v>259.64230400000002</v>
      </c>
      <c r="F33" s="1">
        <f ca="1"/>
        <v>261.20481431068009</v>
      </c>
    </row>
    <row r="34" spans="1:6" x14ac:dyDescent="0.3">
      <c r="A34" s="1" cm="1">
        <f t="array" aca="1" ref="A34" ca="1">IF(ISBLANK(INDIRECT(CONCATENATE("Input!",RSE_Setup!$B$16,ROW()+1))),"",INDIRECT(CONCATENATE("Input!",RSE_Setup!$B$16,ROW()+1)))</f>
        <v>5.0000000000000001E-4</v>
      </c>
      <c r="B34" s="1" cm="1">
        <f t="array" aca="1" ref="B34" ca="1">IF(ISBLANK(INDIRECT(CONCATENATE("Input!",RSE_Setup!$B$17,ROW()+1))),"",INDIRECT(CONCATENATE("Input!",RSE_Setup!$B$17,ROW()+1)))</f>
        <v>6.4999999999999997E-3</v>
      </c>
      <c r="C34" s="1" cm="1">
        <f t="array" aca="1" ref="C34" ca="1">IF(ISBLANK(INDIRECT(CONCATENATE("Input!",RSE_Setup!$B$18,ROW()+1))),"",INDIRECT(CONCATENATE("Input!",RSE_Setup!$B$18,ROW()+1)))</f>
        <v>5.5556000000000001E-2</v>
      </c>
      <c r="D34" s="1" cm="1">
        <f t="array" aca="1" ref="D34" ca="1">IF(ISBLANK(INDIRECT(CONCATENATE("Input!",RSE_Setup!$B$19,ROW()+1))),"",INDIRECT(CONCATENATE("Input!",RSE_Setup!$B$19,ROW()+1)))</f>
        <v>3750</v>
      </c>
      <c r="E34" s="1" cm="1">
        <f t="array" aca="1" ref="E34" ca="1">IF(ISBLANK(INDIRECT(CONCATENATE("Input!",RSE_Setup!$B$23,ROW()+1))),"",INDIRECT(CONCATENATE("Input!",RSE_Setup!$B$23,ROW()+1)))</f>
        <v>317.91967</v>
      </c>
      <c r="F34" s="1">
        <f ca="1"/>
        <v>322.36731358737882</v>
      </c>
    </row>
    <row r="35" spans="1:6" x14ac:dyDescent="0.3">
      <c r="A35" s="1" cm="1">
        <f t="array" aca="1" ref="A35" ca="1">IF(ISBLANK(INDIRECT(CONCATENATE("Input!",RSE_Setup!$B$16,ROW()+1))),"",INDIRECT(CONCATENATE("Input!",RSE_Setup!$B$16,ROW()+1)))</f>
        <v>5.0000000000000001E-4</v>
      </c>
      <c r="B35" s="1" cm="1">
        <f t="array" aca="1" ref="B35" ca="1">IF(ISBLANK(INDIRECT(CONCATENATE("Input!",RSE_Setup!$B$17,ROW()+1))),"",INDIRECT(CONCATENATE("Input!",RSE_Setup!$B$17,ROW()+1)))</f>
        <v>6.4999999999999997E-3</v>
      </c>
      <c r="C35" s="1" cm="1">
        <f t="array" aca="1" ref="C35" ca="1">IF(ISBLANK(INDIRECT(CONCATENATE("Input!",RSE_Setup!$B$18,ROW()+1))),"",INDIRECT(CONCATENATE("Input!",RSE_Setup!$B$18,ROW()+1)))</f>
        <v>3.2258000000000002E-2</v>
      </c>
      <c r="D35" s="1" cm="1">
        <f t="array" aca="1" ref="D35" ca="1">IF(ISBLANK(INDIRECT(CONCATENATE("Input!",RSE_Setup!$B$19,ROW()+1))),"",INDIRECT(CONCATENATE("Input!",RSE_Setup!$B$19,ROW()+1)))</f>
        <v>3750</v>
      </c>
      <c r="E35" s="1" cm="1">
        <f t="array" aca="1" ref="E35" ca="1">IF(ISBLANK(INDIRECT(CONCATENATE("Input!",RSE_Setup!$B$23,ROW()+1))),"",INDIRECT(CONCATENATE("Input!",RSE_Setup!$B$23,ROW()+1)))</f>
        <v>301.46015999999997</v>
      </c>
      <c r="F35" s="1">
        <f ca="1"/>
        <v>299.26638642602541</v>
      </c>
    </row>
    <row r="36" spans="1:6" x14ac:dyDescent="0.3">
      <c r="A36" s="1" cm="1">
        <f t="array" aca="1" ref="A36" ca="1">IF(ISBLANK(INDIRECT(CONCATENATE("Input!",RSE_Setup!$B$16,ROW()+1))),"",INDIRECT(CONCATENATE("Input!",RSE_Setup!$B$16,ROW()+1)))</f>
        <v>5.0000000000000001E-4</v>
      </c>
      <c r="B36" s="1" cm="1">
        <f t="array" aca="1" ref="B36" ca="1">IF(ISBLANK(INDIRECT(CONCATENATE("Input!",RSE_Setup!$B$17,ROW()+1))),"",INDIRECT(CONCATENATE("Input!",RSE_Setup!$B$17,ROW()+1)))</f>
        <v>6.4999999999999997E-3</v>
      </c>
      <c r="C36" s="1" cm="1">
        <f t="array" aca="1" ref="C36" ca="1">IF(ISBLANK(INDIRECT(CONCATENATE("Input!",RSE_Setup!$B$18,ROW()+1))),"",INDIRECT(CONCATENATE("Input!",RSE_Setup!$B$18,ROW()+1)))</f>
        <v>3.2258000000000002E-2</v>
      </c>
      <c r="D36" s="1" cm="1">
        <f t="array" aca="1" ref="D36" ca="1">IF(ISBLANK(INDIRECT(CONCATENATE("Input!",RSE_Setup!$B$19,ROW()+1))),"",INDIRECT(CONCATENATE("Input!",RSE_Setup!$B$19,ROW()+1)))</f>
        <v>5250</v>
      </c>
      <c r="E36" s="1" cm="1">
        <f t="array" aca="1" ref="E36" ca="1">IF(ISBLANK(INDIRECT(CONCATENATE("Input!",RSE_Setup!$B$23,ROW()+1))),"",INDIRECT(CONCATENATE("Input!",RSE_Setup!$B$23,ROW()+1)))</f>
        <v>412.51493599999998</v>
      </c>
      <c r="F36" s="1">
        <f ca="1"/>
        <v>412.89438376015403</v>
      </c>
    </row>
    <row r="37" spans="1:6" x14ac:dyDescent="0.3">
      <c r="A37" s="1" cm="1">
        <f t="array" aca="1" ref="A37" ca="1">IF(ISBLANK(INDIRECT(CONCATENATE("Input!",RSE_Setup!$B$16,ROW()+1))),"",INDIRECT(CONCATENATE("Input!",RSE_Setup!$B$16,ROW()+1)))</f>
        <v>5.0000000000000001E-4</v>
      </c>
      <c r="B37" s="1" cm="1">
        <f t="array" aca="1" ref="B37" ca="1">IF(ISBLANK(INDIRECT(CONCATENATE("Input!",RSE_Setup!$B$17,ROW()+1))),"",INDIRECT(CONCATENATE("Input!",RSE_Setup!$B$17,ROW()+1)))</f>
        <v>6.4999999999999997E-3</v>
      </c>
      <c r="C37" s="1" cm="1">
        <f t="array" aca="1" ref="C37" ca="1">IF(ISBLANK(INDIRECT(CONCATENATE("Input!",RSE_Setup!$B$18,ROW()+1))),"",INDIRECT(CONCATENATE("Input!",RSE_Setup!$B$18,ROW()+1)))</f>
        <v>3.2258000000000002E-2</v>
      </c>
      <c r="D37" s="1" cm="1">
        <f t="array" aca="1" ref="D37" ca="1">IF(ISBLANK(INDIRECT(CONCATENATE("Input!",RSE_Setup!$B$19,ROW()+1))),"",INDIRECT(CONCATENATE("Input!",RSE_Setup!$B$19,ROW()+1)))</f>
        <v>6500</v>
      </c>
      <c r="E37" s="1" cm="1">
        <f t="array" aca="1" ref="E37" ca="1">IF(ISBLANK(INDIRECT(CONCATENATE("Input!",RSE_Setup!$B$23,ROW()+1))),"",INDIRECT(CONCATENATE("Input!",RSE_Setup!$B$23,ROW()+1)))</f>
        <v>502.286586</v>
      </c>
      <c r="F37" s="1">
        <f ca="1"/>
        <v>507.17538589235505</v>
      </c>
    </row>
    <row r="38" spans="1:6" x14ac:dyDescent="0.3">
      <c r="A38" s="1" cm="1">
        <f t="array" aca="1" ref="A38" ca="1">IF(ISBLANK(INDIRECT(CONCATENATE("Input!",RSE_Setup!$B$16,ROW()+1))),"",INDIRECT(CONCATENATE("Input!",RSE_Setup!$B$16,ROW()+1)))</f>
        <v>7.5000000000000002E-4</v>
      </c>
      <c r="B38" s="1" cm="1">
        <f t="array" aca="1" ref="B38" ca="1">IF(ISBLANK(INDIRECT(CONCATENATE("Input!",RSE_Setup!$B$17,ROW()+1))),"",INDIRECT(CONCATENATE("Input!",RSE_Setup!$B$17,ROW()+1)))</f>
        <v>4.0000000000000001E-3</v>
      </c>
      <c r="C38" s="1" cm="1">
        <f t="array" aca="1" ref="C38" ca="1">IF(ISBLANK(INDIRECT(CONCATENATE("Input!",RSE_Setup!$B$18,ROW()+1))),"",INDIRECT(CONCATENATE("Input!",RSE_Setup!$B$18,ROW()+1)))</f>
        <v>5.5556000000000001E-2</v>
      </c>
      <c r="D38" s="1" cm="1">
        <f t="array" aca="1" ref="D38" ca="1">IF(ISBLANK(INDIRECT(CONCATENATE("Input!",RSE_Setup!$B$19,ROW()+1))),"",INDIRECT(CONCATENATE("Input!",RSE_Setup!$B$19,ROW()+1)))</f>
        <v>3750</v>
      </c>
      <c r="E38" s="1" cm="1">
        <f t="array" aca="1" ref="E38" ca="1">IF(ISBLANK(INDIRECT(CONCATENATE("Input!",RSE_Setup!$B$23,ROW()+1))),"",INDIRECT(CONCATENATE("Input!",RSE_Setup!$B$23,ROW()+1)))</f>
        <v>293.66331400000001</v>
      </c>
      <c r="F38" s="1">
        <f ca="1"/>
        <v>298.78536021122915</v>
      </c>
    </row>
    <row r="39" spans="1:6" x14ac:dyDescent="0.3">
      <c r="A39" s="1" cm="1">
        <f t="array" aca="1" ref="A39" ca="1">IF(ISBLANK(INDIRECT(CONCATENATE("Input!",RSE_Setup!$B$16,ROW()+1))),"",INDIRECT(CONCATENATE("Input!",RSE_Setup!$B$16,ROW()+1)))</f>
        <v>7.5000000000000002E-4</v>
      </c>
      <c r="B39" s="1" cm="1">
        <f t="array" aca="1" ref="B39" ca="1">IF(ISBLANK(INDIRECT(CONCATENATE("Input!",RSE_Setup!$B$17,ROW()+1))),"",INDIRECT(CONCATENATE("Input!",RSE_Setup!$B$17,ROW()+1)))</f>
        <v>4.0000000000000001E-3</v>
      </c>
      <c r="C39" s="1" cm="1">
        <f t="array" aca="1" ref="C39" ca="1">IF(ISBLANK(INDIRECT(CONCATENATE("Input!",RSE_Setup!$B$18,ROW()+1))),"",INDIRECT(CONCATENATE("Input!",RSE_Setup!$B$18,ROW()+1)))</f>
        <v>3.2258000000000002E-2</v>
      </c>
      <c r="D39" s="1" cm="1">
        <f t="array" aca="1" ref="D39" ca="1">IF(ISBLANK(INDIRECT(CONCATENATE("Input!",RSE_Setup!$B$19,ROW()+1))),"",INDIRECT(CONCATENATE("Input!",RSE_Setup!$B$19,ROW()+1)))</f>
        <v>3750</v>
      </c>
      <c r="E39" s="1" cm="1">
        <f t="array" aca="1" ref="E39" ca="1">IF(ISBLANK(INDIRECT(CONCATENATE("Input!",RSE_Setup!$B$23,ROW()+1))),"",INDIRECT(CONCATENATE("Input!",RSE_Setup!$B$23,ROW()+1)))</f>
        <v>277.20852100000002</v>
      </c>
      <c r="F39" s="1">
        <f ca="1"/>
        <v>274.43900454597207</v>
      </c>
    </row>
    <row r="40" spans="1:6" x14ac:dyDescent="0.3">
      <c r="A40" s="1" cm="1">
        <f t="array" aca="1" ref="A40" ca="1">IF(ISBLANK(INDIRECT(CONCATENATE("Input!",RSE_Setup!$B$16,ROW()+1))),"",INDIRECT(CONCATENATE("Input!",RSE_Setup!$B$16,ROW()+1)))</f>
        <v>7.5000000000000002E-4</v>
      </c>
      <c r="B40" s="1" cm="1">
        <f t="array" aca="1" ref="B40" ca="1">IF(ISBLANK(INDIRECT(CONCATENATE("Input!",RSE_Setup!$B$17,ROW()+1))),"",INDIRECT(CONCATENATE("Input!",RSE_Setup!$B$17,ROW()+1)))</f>
        <v>4.0000000000000001E-3</v>
      </c>
      <c r="C40" s="1" cm="1">
        <f t="array" aca="1" ref="C40" ca="1">IF(ISBLANK(INDIRECT(CONCATENATE("Input!",RSE_Setup!$B$18,ROW()+1))),"",INDIRECT(CONCATENATE("Input!",RSE_Setup!$B$18,ROW()+1)))</f>
        <v>3.2258000000000002E-2</v>
      </c>
      <c r="D40" s="1" cm="1">
        <f t="array" aca="1" ref="D40" ca="1">IF(ISBLANK(INDIRECT(CONCATENATE("Input!",RSE_Setup!$B$19,ROW()+1))),"",INDIRECT(CONCATENATE("Input!",RSE_Setup!$B$19,ROW()+1)))</f>
        <v>5250</v>
      </c>
      <c r="E40" s="1" cm="1">
        <f t="array" aca="1" ref="E40" ca="1">IF(ISBLANK(INDIRECT(CONCATENATE("Input!",RSE_Setup!$B$23,ROW()+1))),"",INDIRECT(CONCATENATE("Input!",RSE_Setup!$B$23,ROW()+1)))</f>
        <v>377.06175999999999</v>
      </c>
      <c r="F40" s="1">
        <f ca="1"/>
        <v>379.47776546497801</v>
      </c>
    </row>
    <row r="41" spans="1:6" x14ac:dyDescent="0.3">
      <c r="A41" s="1" cm="1">
        <f t="array" aca="1" ref="A41" ca="1">IF(ISBLANK(INDIRECT(CONCATENATE("Input!",RSE_Setup!$B$16,ROW()+1))),"",INDIRECT(CONCATENATE("Input!",RSE_Setup!$B$16,ROW()+1)))</f>
        <v>7.5000000000000002E-4</v>
      </c>
      <c r="B41" s="1" cm="1">
        <f t="array" aca="1" ref="B41" ca="1">IF(ISBLANK(INDIRECT(CONCATENATE("Input!",RSE_Setup!$B$17,ROW()+1))),"",INDIRECT(CONCATENATE("Input!",RSE_Setup!$B$17,ROW()+1)))</f>
        <v>4.0000000000000001E-3</v>
      </c>
      <c r="C41" s="1" cm="1">
        <f t="array" aca="1" ref="C41" ca="1">IF(ISBLANK(INDIRECT(CONCATENATE("Input!",RSE_Setup!$B$18,ROW()+1))),"",INDIRECT(CONCATENATE("Input!",RSE_Setup!$B$18,ROW()+1)))</f>
        <v>3.2258000000000002E-2</v>
      </c>
      <c r="D41" s="1" cm="1">
        <f t="array" aca="1" ref="D41" ca="1">IF(ISBLANK(INDIRECT(CONCATENATE("Input!",RSE_Setup!$B$19,ROW()+1))),"",INDIRECT(CONCATENATE("Input!",RSE_Setup!$B$19,ROW()+1)))</f>
        <v>6500</v>
      </c>
      <c r="E41" s="1" cm="1">
        <f t="array" aca="1" ref="E41" ca="1">IF(ISBLANK(INDIRECT(CONCATENATE("Input!",RSE_Setup!$B$23,ROW()+1))),"",INDIRECT(CONCATENATE("Input!",RSE_Setup!$B$23,ROW()+1)))</f>
        <v>459.52932800000002</v>
      </c>
      <c r="F41" s="1">
        <f ca="1"/>
        <v>466.60107058457669</v>
      </c>
    </row>
    <row r="42" spans="1:6" x14ac:dyDescent="0.3">
      <c r="A42" s="1" cm="1">
        <f t="array" aca="1" ref="A42" ca="1">IF(ISBLANK(INDIRECT(CONCATENATE("Input!",RSE_Setup!$B$16,ROW()+1))),"",INDIRECT(CONCATENATE("Input!",RSE_Setup!$B$16,ROW()+1)))</f>
        <v>7.5000000000000002E-4</v>
      </c>
      <c r="B42" s="1" cm="1">
        <f t="array" aca="1" ref="B42" ca="1">IF(ISBLANK(INDIRECT(CONCATENATE("Input!",RSE_Setup!$B$17,ROW()+1))),"",INDIRECT(CONCATENATE("Input!",RSE_Setup!$B$17,ROW()+1)))</f>
        <v>6.0000000000000001E-3</v>
      </c>
      <c r="C42" s="1" cm="1">
        <f t="array" aca="1" ref="C42" ca="1">IF(ISBLANK(INDIRECT(CONCATENATE("Input!",RSE_Setup!$B$18,ROW()+1))),"",INDIRECT(CONCATENATE("Input!",RSE_Setup!$B$18,ROW()+1)))</f>
        <v>5.5556000000000001E-2</v>
      </c>
      <c r="D42" s="1" cm="1">
        <f t="array" aca="1" ref="D42" ca="1">IF(ISBLANK(INDIRECT(CONCATENATE("Input!",RSE_Setup!$B$19,ROW()+1))),"",INDIRECT(CONCATENATE("Input!",RSE_Setup!$B$19,ROW()+1)))</f>
        <v>3000</v>
      </c>
      <c r="E42" s="1" cm="1">
        <f t="array" aca="1" ref="E42" ca="1">IF(ISBLANK(INDIRECT(CONCATENATE("Input!",RSE_Setup!$B$23,ROW()+1))),"",INDIRECT(CONCATENATE("Input!",RSE_Setup!$B$23,ROW()+1)))</f>
        <v>265.94533300000001</v>
      </c>
      <c r="F42" s="1">
        <f ca="1"/>
        <v>267.42324900603489</v>
      </c>
    </row>
    <row r="43" spans="1:6" x14ac:dyDescent="0.3">
      <c r="A43" s="1" cm="1">
        <f t="array" aca="1" ref="A43" ca="1">IF(ISBLANK(INDIRECT(CONCATENATE("Input!",RSE_Setup!$B$16,ROW()+1))),"",INDIRECT(CONCATENATE("Input!",RSE_Setup!$B$16,ROW()+1)))</f>
        <v>7.5000000000000002E-4</v>
      </c>
      <c r="B43" s="1" cm="1">
        <f t="array" aca="1" ref="B43" ca="1">IF(ISBLANK(INDIRECT(CONCATENATE("Input!",RSE_Setup!$B$17,ROW()+1))),"",INDIRECT(CONCATENATE("Input!",RSE_Setup!$B$17,ROW()+1)))</f>
        <v>6.0000000000000001E-3</v>
      </c>
      <c r="C43" s="1" cm="1">
        <f t="array" aca="1" ref="C43" ca="1">IF(ISBLANK(INDIRECT(CONCATENATE("Input!",RSE_Setup!$B$18,ROW()+1))),"",INDIRECT(CONCATENATE("Input!",RSE_Setup!$B$18,ROW()+1)))</f>
        <v>5.5556000000000001E-2</v>
      </c>
      <c r="D43" s="1" cm="1">
        <f t="array" aca="1" ref="D43" ca="1">IF(ISBLANK(INDIRECT(CONCATENATE("Input!",RSE_Setup!$B$19,ROW()+1))),"",INDIRECT(CONCATENATE("Input!",RSE_Setup!$B$19,ROW()+1)))</f>
        <v>3750</v>
      </c>
      <c r="E43" s="1" cm="1">
        <f t="array" aca="1" ref="E43" ca="1">IF(ISBLANK(INDIRECT(CONCATENATE("Input!",RSE_Setup!$B$23,ROW()+1))),"",INDIRECT(CONCATENATE("Input!",RSE_Setup!$B$23,ROW()+1)))</f>
        <v>324.89443999999997</v>
      </c>
      <c r="F43" s="1">
        <f ca="1"/>
        <v>330.16826829101626</v>
      </c>
    </row>
    <row r="44" spans="1:6" x14ac:dyDescent="0.3">
      <c r="A44" s="1" cm="1">
        <f t="array" aca="1" ref="A44" ca="1">IF(ISBLANK(INDIRECT(CONCATENATE("Input!",RSE_Setup!$B$16,ROW()+1))),"",INDIRECT(CONCATENATE("Input!",RSE_Setup!$B$16,ROW()+1)))</f>
        <v>7.5000000000000002E-4</v>
      </c>
      <c r="B44" s="1" cm="1">
        <f t="array" aca="1" ref="B44" ca="1">IF(ISBLANK(INDIRECT(CONCATENATE("Input!",RSE_Setup!$B$17,ROW()+1))),"",INDIRECT(CONCATENATE("Input!",RSE_Setup!$B$17,ROW()+1)))</f>
        <v>6.0000000000000001E-3</v>
      </c>
      <c r="C44" s="1" cm="1">
        <f t="array" aca="1" ref="C44" ca="1">IF(ISBLANK(INDIRECT(CONCATENATE("Input!",RSE_Setup!$B$18,ROW()+1))),"",INDIRECT(CONCATENATE("Input!",RSE_Setup!$B$18,ROW()+1)))</f>
        <v>3.2258000000000002E-2</v>
      </c>
      <c r="D44" s="1" cm="1">
        <f t="array" aca="1" ref="D44" ca="1">IF(ISBLANK(INDIRECT(CONCATENATE("Input!",RSE_Setup!$B$19,ROW()+1))),"",INDIRECT(CONCATENATE("Input!",RSE_Setup!$B$19,ROW()+1)))</f>
        <v>3750</v>
      </c>
      <c r="E44" s="1" cm="1">
        <f t="array" aca="1" ref="E44" ca="1">IF(ISBLANK(INDIRECT(CONCATENATE("Input!",RSE_Setup!$B$23,ROW()+1))),"",INDIRECT(CONCATENATE("Input!",RSE_Setup!$B$23,ROW()+1)))</f>
        <v>309.58935500000001</v>
      </c>
      <c r="F44" s="1">
        <f ca="1"/>
        <v>306.95550957822468</v>
      </c>
    </row>
    <row r="45" spans="1:6" x14ac:dyDescent="0.3">
      <c r="A45" s="1" cm="1">
        <f t="array" aca="1" ref="A45" ca="1">IF(ISBLANK(INDIRECT(CONCATENATE("Input!",RSE_Setup!$B$16,ROW()+1))),"",INDIRECT(CONCATENATE("Input!",RSE_Setup!$B$16,ROW()+1)))</f>
        <v>7.5000000000000002E-4</v>
      </c>
      <c r="B45" s="1" cm="1">
        <f t="array" aca="1" ref="B45" ca="1">IF(ISBLANK(INDIRECT(CONCATENATE("Input!",RSE_Setup!$B$17,ROW()+1))),"",INDIRECT(CONCATENATE("Input!",RSE_Setup!$B$17,ROW()+1)))</f>
        <v>6.0000000000000001E-3</v>
      </c>
      <c r="C45" s="1" cm="1">
        <f t="array" aca="1" ref="C45" ca="1">IF(ISBLANK(INDIRECT(CONCATENATE("Input!",RSE_Setup!$B$18,ROW()+1))),"",INDIRECT(CONCATENATE("Input!",RSE_Setup!$B$18,ROW()+1)))</f>
        <v>3.2258000000000002E-2</v>
      </c>
      <c r="D45" s="1" cm="1">
        <f t="array" aca="1" ref="D45" ca="1">IF(ISBLANK(INDIRECT(CONCATENATE("Input!",RSE_Setup!$B$19,ROW()+1))),"",INDIRECT(CONCATENATE("Input!",RSE_Setup!$B$19,ROW()+1)))</f>
        <v>5250</v>
      </c>
      <c r="E45" s="1" cm="1">
        <f t="array" aca="1" ref="E45" ca="1">IF(ISBLANK(INDIRECT(CONCATENATE("Input!",RSE_Setup!$B$23,ROW()+1))),"",INDIRECT(CONCATENATE("Input!",RSE_Setup!$B$23,ROW()+1)))</f>
        <v>423.11845199999999</v>
      </c>
      <c r="F45" s="1">
        <f ca="1"/>
        <v>423.74854692891859</v>
      </c>
    </row>
    <row r="46" spans="1:6" x14ac:dyDescent="0.3">
      <c r="A46" s="1" cm="1">
        <f t="array" aca="1" ref="A46" ca="1">IF(ISBLANK(INDIRECT(CONCATENATE("Input!",RSE_Setup!$B$16,ROW()+1))),"",INDIRECT(CONCATENATE("Input!",RSE_Setup!$B$16,ROW()+1)))</f>
        <v>7.5000000000000002E-4</v>
      </c>
      <c r="B46" s="1" cm="1">
        <f t="array" aca="1" ref="B46" ca="1">IF(ISBLANK(INDIRECT(CONCATENATE("Input!",RSE_Setup!$B$17,ROW()+1))),"",INDIRECT(CONCATENATE("Input!",RSE_Setup!$B$17,ROW()+1)))</f>
        <v>6.0000000000000001E-3</v>
      </c>
      <c r="C46" s="1" cm="1">
        <f t="array" aca="1" ref="C46" ca="1">IF(ISBLANK(INDIRECT(CONCATENATE("Input!",RSE_Setup!$B$18,ROW()+1))),"",INDIRECT(CONCATENATE("Input!",RSE_Setup!$B$18,ROW()+1)))</f>
        <v>3.2258000000000002E-2</v>
      </c>
      <c r="D46" s="1" cm="1">
        <f t="array" aca="1" ref="D46" ca="1">IF(ISBLANK(INDIRECT(CONCATENATE("Input!",RSE_Setup!$B$19,ROW()+1))),"",INDIRECT(CONCATENATE("Input!",RSE_Setup!$B$19,ROW()+1)))</f>
        <v>6500</v>
      </c>
      <c r="E46" s="1" cm="1">
        <f t="array" aca="1" ref="E46" ca="1">IF(ISBLANK(INDIRECT(CONCATENATE("Input!",RSE_Setup!$B$23,ROW()+1))),"",INDIRECT(CONCATENATE("Input!",RSE_Setup!$B$23,ROW()+1)))</f>
        <v>516.56284700000003</v>
      </c>
      <c r="F46" s="1">
        <f ca="1"/>
        <v>520.66708240825756</v>
      </c>
    </row>
    <row r="47" spans="1:6" x14ac:dyDescent="0.3">
      <c r="A47" s="1" cm="1">
        <f t="array" aca="1" ref="A47" ca="1">IF(ISBLANK(INDIRECT(CONCATENATE("Input!",RSE_Setup!$B$16,ROW()+1))),"",INDIRECT(CONCATENATE("Input!",RSE_Setup!$B$16,ROW()+1)))</f>
        <v>7.5000000000000002E-4</v>
      </c>
      <c r="B47" s="1" cm="1">
        <f t="array" aca="1" ref="B47" ca="1">IF(ISBLANK(INDIRECT(CONCATENATE("Input!",RSE_Setup!$B$17,ROW()+1))),"",INDIRECT(CONCATENATE("Input!",RSE_Setup!$B$17,ROW()+1)))</f>
        <v>8.0000000000000002E-3</v>
      </c>
      <c r="C47" s="1" cm="1">
        <f t="array" aca="1" ref="C47" ca="1">IF(ISBLANK(INDIRECT(CONCATENATE("Input!",RSE_Setup!$B$18,ROW()+1))),"",INDIRECT(CONCATENATE("Input!",RSE_Setup!$B$18,ROW()+1)))</f>
        <v>3.2258000000000002E-2</v>
      </c>
      <c r="D47" s="1" cm="1">
        <f t="array" aca="1" ref="D47" ca="1">IF(ISBLANK(INDIRECT(CONCATENATE("Input!",RSE_Setup!$B$19,ROW()+1))),"",INDIRECT(CONCATENATE("Input!",RSE_Setup!$B$19,ROW()+1)))</f>
        <v>5250</v>
      </c>
      <c r="E47" s="1" cm="1">
        <f t="array" aca="1" ref="E47" ca="1">IF(ISBLANK(INDIRECT(CONCATENATE("Input!",RSE_Setup!$B$23,ROW()+1))),"",INDIRECT(CONCATENATE("Input!",RSE_Setup!$B$23,ROW()+1)))</f>
        <v>472.62609600000002</v>
      </c>
      <c r="F47" s="1">
        <f ca="1"/>
        <v>471.81582526833904</v>
      </c>
    </row>
    <row r="48" spans="1:6" x14ac:dyDescent="0.3">
      <c r="A48" s="1" cm="1">
        <f t="array" aca="1" ref="A48" ca="1">IF(ISBLANK(INDIRECT(CONCATENATE("Input!",RSE_Setup!$B$16,ROW()+1))),"",INDIRECT(CONCATENATE("Input!",RSE_Setup!$B$16,ROW()+1)))</f>
        <v>7.5000000000000002E-4</v>
      </c>
      <c r="B48" s="1" cm="1">
        <f t="array" aca="1" ref="B48" ca="1">IF(ISBLANK(INDIRECT(CONCATENATE("Input!",RSE_Setup!$B$17,ROW()+1))),"",INDIRECT(CONCATENATE("Input!",RSE_Setup!$B$17,ROW()+1)))</f>
        <v>8.0000000000000002E-3</v>
      </c>
      <c r="C48" s="1" cm="1">
        <f t="array" aca="1" ref="C48" ca="1">IF(ISBLANK(INDIRECT(CONCATENATE("Input!",RSE_Setup!$B$18,ROW()+1))),"",INDIRECT(CONCATENATE("Input!",RSE_Setup!$B$18,ROW()+1)))</f>
        <v>3.2258000000000002E-2</v>
      </c>
      <c r="D48" s="1" cm="1">
        <f t="array" aca="1" ref="D48" ca="1">IF(ISBLANK(INDIRECT(CONCATENATE("Input!",RSE_Setup!$B$19,ROW()+1))),"",INDIRECT(CONCATENATE("Input!",RSE_Setup!$B$19,ROW()+1)))</f>
        <v>6500</v>
      </c>
      <c r="E48" s="1" cm="1">
        <f t="array" aca="1" ref="E48" ca="1">IF(ISBLANK(INDIRECT(CONCATENATE("Input!",RSE_Setup!$B$23,ROW()+1))),"",INDIRECT(CONCATENATE("Input!",RSE_Setup!$B$23,ROW()+1)))</f>
        <v>574.82851100000005</v>
      </c>
      <c r="F48" s="1">
        <f ca="1"/>
        <v>578.52959110741813</v>
      </c>
    </row>
    <row r="49" spans="1:6" x14ac:dyDescent="0.3">
      <c r="A49" s="1" cm="1">
        <f t="array" aca="1" ref="A49" ca="1">IF(ISBLANK(INDIRECT(CONCATENATE("Input!",RSE_Setup!$B$16,ROW()+1))),"",INDIRECT(CONCATENATE("Input!",RSE_Setup!$B$16,ROW()+1)))</f>
        <v>1E-3</v>
      </c>
      <c r="B49" s="1" cm="1">
        <f t="array" aca="1" ref="B49" ca="1">IF(ISBLANK(INDIRECT(CONCATENATE("Input!",RSE_Setup!$B$17,ROW()+1))),"",INDIRECT(CONCATENATE("Input!",RSE_Setup!$B$17,ROW()+1)))</f>
        <v>5.0000000000000001E-3</v>
      </c>
      <c r="C49" s="1" cm="1">
        <f t="array" aca="1" ref="C49" ca="1">IF(ISBLANK(INDIRECT(CONCATENATE("Input!",RSE_Setup!$B$18,ROW()+1))),"",INDIRECT(CONCATENATE("Input!",RSE_Setup!$B$18,ROW()+1)))</f>
        <v>5.5556000000000001E-2</v>
      </c>
      <c r="D49" s="1" cm="1">
        <f t="array" aca="1" ref="D49" ca="1">IF(ISBLANK(INDIRECT(CONCATENATE("Input!",RSE_Setup!$B$19,ROW()+1))),"",INDIRECT(CONCATENATE("Input!",RSE_Setup!$B$19,ROW()+1)))</f>
        <v>3750</v>
      </c>
      <c r="E49" s="1" cm="1">
        <f t="array" aca="1" ref="E49" ca="1">IF(ISBLANK(INDIRECT(CONCATENATE("Input!",RSE_Setup!$B$23,ROW()+1))),"",INDIRECT(CONCATENATE("Input!",RSE_Setup!$B$23,ROW()+1)))</f>
        <v>324.97970800000002</v>
      </c>
      <c r="F49" s="1">
        <f ca="1"/>
        <v>330.43307551932469</v>
      </c>
    </row>
    <row r="50" spans="1:6" x14ac:dyDescent="0.3">
      <c r="A50" s="1" cm="1">
        <f t="array" aca="1" ref="A50" ca="1">IF(ISBLANK(INDIRECT(CONCATENATE("Input!",RSE_Setup!$B$16,ROW()+1))),"",INDIRECT(CONCATENATE("Input!",RSE_Setup!$B$16,ROW()+1)))</f>
        <v>1E-3</v>
      </c>
      <c r="B50" s="1" cm="1">
        <f t="array" aca="1" ref="B50" ca="1">IF(ISBLANK(INDIRECT(CONCATENATE("Input!",RSE_Setup!$B$17,ROW()+1))),"",INDIRECT(CONCATENATE("Input!",RSE_Setup!$B$17,ROW()+1)))</f>
        <v>5.0000000000000001E-3</v>
      </c>
      <c r="C50" s="1" cm="1">
        <f t="array" aca="1" ref="C50" ca="1">IF(ISBLANK(INDIRECT(CONCATENATE("Input!",RSE_Setup!$B$18,ROW()+1))),"",INDIRECT(CONCATENATE("Input!",RSE_Setup!$B$18,ROW()+1)))</f>
        <v>3.2258000000000002E-2</v>
      </c>
      <c r="D50" s="1" cm="1">
        <f t="array" aca="1" ref="D50" ca="1">IF(ISBLANK(INDIRECT(CONCATENATE("Input!",RSE_Setup!$B$19,ROW()+1))),"",INDIRECT(CONCATENATE("Input!",RSE_Setup!$B$19,ROW()+1)))</f>
        <v>3750</v>
      </c>
      <c r="E50" s="1" cm="1">
        <f t="array" aca="1" ref="E50" ca="1">IF(ISBLANK(INDIRECT(CONCATENATE("Input!",RSE_Setup!$B$23,ROW()+1))),"",INDIRECT(CONCATENATE("Input!",RSE_Setup!$B$23,ROW()+1)))</f>
        <v>309.29530799999998</v>
      </c>
      <c r="F50" s="1">
        <f ca="1"/>
        <v>306.8250860169785</v>
      </c>
    </row>
    <row r="51" spans="1:6" x14ac:dyDescent="0.3">
      <c r="A51" s="1" cm="1">
        <f t="array" aca="1" ref="A51" ca="1">IF(ISBLANK(INDIRECT(CONCATENATE("Input!",RSE_Setup!$B$16,ROW()+1))),"",INDIRECT(CONCATENATE("Input!",RSE_Setup!$B$16,ROW()+1)))</f>
        <v>1E-3</v>
      </c>
      <c r="B51" s="1" cm="1">
        <f t="array" aca="1" ref="B51" ca="1">IF(ISBLANK(INDIRECT(CONCATENATE("Input!",RSE_Setup!$B$17,ROW()+1))),"",INDIRECT(CONCATENATE("Input!",RSE_Setup!$B$17,ROW()+1)))</f>
        <v>5.0000000000000001E-3</v>
      </c>
      <c r="C51" s="1" cm="1">
        <f t="array" aca="1" ref="C51" ca="1">IF(ISBLANK(INDIRECT(CONCATENATE("Input!",RSE_Setup!$B$18,ROW()+1))),"",INDIRECT(CONCATENATE("Input!",RSE_Setup!$B$18,ROW()+1)))</f>
        <v>3.2258000000000002E-2</v>
      </c>
      <c r="D51" s="1" cm="1">
        <f t="array" aca="1" ref="D51" ca="1">IF(ISBLANK(INDIRECT(CONCATENATE("Input!",RSE_Setup!$B$19,ROW()+1))),"",INDIRECT(CONCATENATE("Input!",RSE_Setup!$B$19,ROW()+1)))</f>
        <v>5250</v>
      </c>
      <c r="E51" s="1" cm="1">
        <f t="array" aca="1" ref="E51" ca="1">IF(ISBLANK(INDIRECT(CONCATENATE("Input!",RSE_Setup!$B$23,ROW()+1))),"",INDIRECT(CONCATENATE("Input!",RSE_Setup!$B$23,ROW()+1)))</f>
        <v>424.04286300000001</v>
      </c>
      <c r="F51" s="1">
        <f ca="1"/>
        <v>423.84459427631589</v>
      </c>
    </row>
    <row r="52" spans="1:6" x14ac:dyDescent="0.3">
      <c r="A52" s="1" cm="1">
        <f t="array" aca="1" ref="A52" ca="1">IF(ISBLANK(INDIRECT(CONCATENATE("Input!",RSE_Setup!$B$16,ROW()+1))),"",INDIRECT(CONCATENATE("Input!",RSE_Setup!$B$16,ROW()+1)))</f>
        <v>1E-3</v>
      </c>
      <c r="B52" s="1" cm="1">
        <f t="array" aca="1" ref="B52" ca="1">IF(ISBLANK(INDIRECT(CONCATENATE("Input!",RSE_Setup!$B$17,ROW()+1))),"",INDIRECT(CONCATENATE("Input!",RSE_Setup!$B$17,ROW()+1)))</f>
        <v>5.0000000000000001E-3</v>
      </c>
      <c r="C52" s="1" cm="1">
        <f t="array" aca="1" ref="C52" ca="1">IF(ISBLANK(INDIRECT(CONCATENATE("Input!",RSE_Setup!$B$18,ROW()+1))),"",INDIRECT(CONCATENATE("Input!",RSE_Setup!$B$18,ROW()+1)))</f>
        <v>3.2258000000000002E-2</v>
      </c>
      <c r="D52" s="1" cm="1">
        <f t="array" aca="1" ref="D52" ca="1">IF(ISBLANK(INDIRECT(CONCATENATE("Input!",RSE_Setup!$B$19,ROW()+1))),"",INDIRECT(CONCATENATE("Input!",RSE_Setup!$B$19,ROW()+1)))</f>
        <v>6500</v>
      </c>
      <c r="E52" s="1" cm="1">
        <f t="array" aca="1" ref="E52" ca="1">IF(ISBLANK(INDIRECT(CONCATENATE("Input!",RSE_Setup!$B$23,ROW()+1))),"",INDIRECT(CONCATENATE("Input!",RSE_Setup!$B$23,ROW()+1)))</f>
        <v>514.40993700000001</v>
      </c>
      <c r="F52" s="1">
        <f ca="1"/>
        <v>520.95185551285772</v>
      </c>
    </row>
    <row r="53" spans="1:6" x14ac:dyDescent="0.3">
      <c r="A53" s="1" cm="1">
        <f t="array" aca="1" ref="A53" ca="1">IF(ISBLANK(INDIRECT(CONCATENATE("Input!",RSE_Setup!$B$16,ROW()+1))),"",INDIRECT(CONCATENATE("Input!",RSE_Setup!$B$16,ROW()+1)))</f>
        <v>1E-3</v>
      </c>
      <c r="B53" s="1" cm="1">
        <f t="array" aca="1" ref="B53" ca="1">IF(ISBLANK(INDIRECT(CONCATENATE("Input!",RSE_Setup!$B$17,ROW()+1))),"",INDIRECT(CONCATENATE("Input!",RSE_Setup!$B$17,ROW()+1)))</f>
        <v>6.4999999999999997E-3</v>
      </c>
      <c r="C53" s="1" cm="1">
        <f t="array" aca="1" ref="C53" ca="1">IF(ISBLANK(INDIRECT(CONCATENATE("Input!",RSE_Setup!$B$18,ROW()+1))),"",INDIRECT(CONCATENATE("Input!",RSE_Setup!$B$18,ROW()+1)))</f>
        <v>5.5556000000000001E-2</v>
      </c>
      <c r="D53" s="1" cm="1">
        <f t="array" aca="1" ref="D53" ca="1">IF(ISBLANK(INDIRECT(CONCATENATE("Input!",RSE_Setup!$B$19,ROW()+1))),"",INDIRECT(CONCATENATE("Input!",RSE_Setup!$B$19,ROW()+1)))</f>
        <v>3750</v>
      </c>
      <c r="E53" s="1" cm="1">
        <f t="array" aca="1" ref="E53" ca="1">IF(ISBLANK(INDIRECT(CONCATENATE("Input!",RSE_Setup!$B$23,ROW()+1))),"",INDIRECT(CONCATENATE("Input!",RSE_Setup!$B$23,ROW()+1)))</f>
        <v>346.87917800000002</v>
      </c>
      <c r="F53" s="1">
        <f ca="1"/>
        <v>355.24876637213407</v>
      </c>
    </row>
    <row r="54" spans="1:6" x14ac:dyDescent="0.3">
      <c r="A54" s="1" cm="1">
        <f t="array" aca="1" ref="A54" ca="1">IF(ISBLANK(INDIRECT(CONCATENATE("Input!",RSE_Setup!$B$16,ROW()+1))),"",INDIRECT(CONCATENATE("Input!",RSE_Setup!$B$16,ROW()+1)))</f>
        <v>1E-3</v>
      </c>
      <c r="B54" s="1" cm="1">
        <f t="array" aca="1" ref="B54" ca="1">IF(ISBLANK(INDIRECT(CONCATENATE("Input!",RSE_Setup!$B$17,ROW()+1))),"",INDIRECT(CONCATENATE("Input!",RSE_Setup!$B$17,ROW()+1)))</f>
        <v>6.4999999999999997E-3</v>
      </c>
      <c r="C54" s="1" cm="1">
        <f t="array" aca="1" ref="C54" ca="1">IF(ISBLANK(INDIRECT(CONCATENATE("Input!",RSE_Setup!$B$18,ROW()+1))),"",INDIRECT(CONCATENATE("Input!",RSE_Setup!$B$18,ROW()+1)))</f>
        <v>3.2258000000000002E-2</v>
      </c>
      <c r="D54" s="1" cm="1">
        <f t="array" aca="1" ref="D54" ca="1">IF(ISBLANK(INDIRECT(CONCATENATE("Input!",RSE_Setup!$B$19,ROW()+1))),"",INDIRECT(CONCATENATE("Input!",RSE_Setup!$B$19,ROW()+1)))</f>
        <v>3750</v>
      </c>
      <c r="E54" s="1" cm="1">
        <f t="array" aca="1" ref="E54" ca="1">IF(ISBLANK(INDIRECT(CONCATENATE("Input!",RSE_Setup!$B$23,ROW()+1))),"",INDIRECT(CONCATENATE("Input!",RSE_Setup!$B$23,ROW()+1)))</f>
        <v>335.53814699999998</v>
      </c>
      <c r="F54" s="1">
        <f ca="1"/>
        <v>332.49097458413689</v>
      </c>
    </row>
    <row r="55" spans="1:6" x14ac:dyDescent="0.3">
      <c r="A55" s="1" cm="1">
        <f t="array" aca="1" ref="A55" ca="1">IF(ISBLANK(INDIRECT(CONCATENATE("Input!",RSE_Setup!$B$16,ROW()+1))),"",INDIRECT(CONCATENATE("Input!",RSE_Setup!$B$16,ROW()+1)))</f>
        <v>1E-3</v>
      </c>
      <c r="B55" s="1" cm="1">
        <f t="array" aca="1" ref="B55" ca="1">IF(ISBLANK(INDIRECT(CONCATENATE("Input!",RSE_Setup!$B$17,ROW()+1))),"",INDIRECT(CONCATENATE("Input!",RSE_Setup!$B$17,ROW()+1)))</f>
        <v>6.4999999999999997E-3</v>
      </c>
      <c r="C55" s="1" cm="1">
        <f t="array" aca="1" ref="C55" ca="1">IF(ISBLANK(INDIRECT(CONCATENATE("Input!",RSE_Setup!$B$18,ROW()+1))),"",INDIRECT(CONCATENATE("Input!",RSE_Setup!$B$18,ROW()+1)))</f>
        <v>3.2258000000000002E-2</v>
      </c>
      <c r="D55" s="1" cm="1">
        <f t="array" aca="1" ref="D55" ca="1">IF(ISBLANK(INDIRECT(CONCATENATE("Input!",RSE_Setup!$B$19,ROW()+1))),"",INDIRECT(CONCATENATE("Input!",RSE_Setup!$B$19,ROW()+1)))</f>
        <v>5250</v>
      </c>
      <c r="E55" s="1" cm="1">
        <f t="array" aca="1" ref="E55" ca="1">IF(ISBLANK(INDIRECT(CONCATENATE("Input!",RSE_Setup!$B$23,ROW()+1))),"",INDIRECT(CONCATENATE("Input!",RSE_Setup!$B$23,ROW()+1)))</f>
        <v>459.922887</v>
      </c>
      <c r="F55" s="1">
        <f ca="1"/>
        <v>458.32619016724038</v>
      </c>
    </row>
    <row r="56" spans="1:6" x14ac:dyDescent="0.3">
      <c r="A56" s="1" cm="1">
        <f t="array" aca="1" ref="A56" ca="1">IF(ISBLANK(INDIRECT(CONCATENATE("Input!",RSE_Setup!$B$16,ROW()+1))),"",INDIRECT(CONCATENATE("Input!",RSE_Setup!$B$16,ROW()+1)))</f>
        <v>1E-3</v>
      </c>
      <c r="B56" s="1" cm="1">
        <f t="array" aca="1" ref="B56" ca="1">IF(ISBLANK(INDIRECT(CONCATENATE("Input!",RSE_Setup!$B$17,ROW()+1))),"",INDIRECT(CONCATENATE("Input!",RSE_Setup!$B$17,ROW()+1)))</f>
        <v>6.4999999999999997E-3</v>
      </c>
      <c r="C56" s="1" cm="1">
        <f t="array" aca="1" ref="C56" ca="1">IF(ISBLANK(INDIRECT(CONCATENATE("Input!",RSE_Setup!$B$18,ROW()+1))),"",INDIRECT(CONCATENATE("Input!",RSE_Setup!$B$18,ROW()+1)))</f>
        <v>3.2258000000000002E-2</v>
      </c>
      <c r="D56" s="1" cm="1">
        <f t="array" aca="1" ref="D56" ca="1">IF(ISBLANK(INDIRECT(CONCATENATE("Input!",RSE_Setup!$B$19,ROW()+1))),"",INDIRECT(CONCATENATE("Input!",RSE_Setup!$B$19,ROW()+1)))</f>
        <v>6500</v>
      </c>
      <c r="E56" s="1" cm="1">
        <f t="array" aca="1" ref="E56" ca="1">IF(ISBLANK(INDIRECT(CONCATENATE("Input!",RSE_Setup!$B$23,ROW()+1))),"",INDIRECT(CONCATENATE("Input!",RSE_Setup!$B$23,ROW()+1)))</f>
        <v>561.37266299999999</v>
      </c>
      <c r="F56" s="1">
        <f ca="1"/>
        <v>562.77987417358713</v>
      </c>
    </row>
    <row r="57" spans="1:6" x14ac:dyDescent="0.3">
      <c r="A57" s="1" cm="1">
        <f t="array" aca="1" ref="A57" ca="1">IF(ISBLANK(INDIRECT(CONCATENATE("Input!",RSE_Setup!$B$16,ROW()+1))),"",INDIRECT(CONCATENATE("Input!",RSE_Setup!$B$16,ROW()+1)))</f>
        <v>1E-3</v>
      </c>
      <c r="B57" s="1" cm="1">
        <f t="array" aca="1" ref="B57" ca="1">IF(ISBLANK(INDIRECT(CONCATENATE("Input!",RSE_Setup!$B$17,ROW()+1))),"",INDIRECT(CONCATENATE("Input!",RSE_Setup!$B$17,ROW()+1)))</f>
        <v>8.0000000000000002E-3</v>
      </c>
      <c r="C57" s="1" cm="1">
        <f t="array" aca="1" ref="C57" ca="1">IF(ISBLANK(INDIRECT(CONCATENATE("Input!",RSE_Setup!$B$18,ROW()+1))),"",INDIRECT(CONCATENATE("Input!",RSE_Setup!$B$18,ROW()+1)))</f>
        <v>3.2258000000000002E-2</v>
      </c>
      <c r="D57" s="1" cm="1">
        <f t="array" aca="1" ref="D57" ca="1">IF(ISBLANK(INDIRECT(CONCATENATE("Input!",RSE_Setup!$B$19,ROW()+1))),"",INDIRECT(CONCATENATE("Input!",RSE_Setup!$B$19,ROW()+1)))</f>
        <v>5250</v>
      </c>
      <c r="E57" s="1" cm="1">
        <f t="array" aca="1" ref="E57" ca="1">IF(ISBLANK(INDIRECT(CONCATENATE("Input!",RSE_Setup!$B$23,ROW()+1))),"",INDIRECT(CONCATENATE("Input!",RSE_Setup!$B$23,ROW()+1)))</f>
        <v>495.08682299999998</v>
      </c>
      <c r="F57" s="1">
        <f ca="1"/>
        <v>494.94331555062229</v>
      </c>
    </row>
    <row r="58" spans="1:6" x14ac:dyDescent="0.3">
      <c r="A58" s="1" cm="1">
        <f t="array" aca="1" ref="A58" ca="1">IF(ISBLANK(INDIRECT(CONCATENATE("Input!",RSE_Setup!$B$16,ROW()+1))),"",INDIRECT(CONCATENATE("Input!",RSE_Setup!$B$16,ROW()+1)))</f>
        <v>1E-3</v>
      </c>
      <c r="B58" s="1" cm="1">
        <f t="array" aca="1" ref="B58" ca="1">IF(ISBLANK(INDIRECT(CONCATENATE("Input!",RSE_Setup!$B$17,ROW()+1))),"",INDIRECT(CONCATENATE("Input!",RSE_Setup!$B$17,ROW()+1)))</f>
        <v>8.0000000000000002E-3</v>
      </c>
      <c r="C58" s="1" cm="1">
        <f t="array" aca="1" ref="C58" ca="1">IF(ISBLANK(INDIRECT(CONCATENATE("Input!",RSE_Setup!$B$18,ROW()+1))),"",INDIRECT(CONCATENATE("Input!",RSE_Setup!$B$18,ROW()+1)))</f>
        <v>3.2258000000000002E-2</v>
      </c>
      <c r="D58" s="1" cm="1">
        <f t="array" aca="1" ref="D58" ca="1">IF(ISBLANK(INDIRECT(CONCATENATE("Input!",RSE_Setup!$B$19,ROW()+1))),"",INDIRECT(CONCATENATE("Input!",RSE_Setup!$B$19,ROW()+1)))</f>
        <v>6500</v>
      </c>
      <c r="E58" s="1" cm="1">
        <f t="array" aca="1" ref="E58" ca="1">IF(ISBLANK(INDIRECT(CONCATENATE("Input!",RSE_Setup!$B$23,ROW()+1))),"",INDIRECT(CONCATENATE("Input!",RSE_Setup!$B$23,ROW()+1)))</f>
        <v>602.82892300000003</v>
      </c>
      <c r="F58" s="1">
        <f ca="1"/>
        <v>606.74342232677418</v>
      </c>
    </row>
    <row r="59" spans="1:6" x14ac:dyDescent="0.3">
      <c r="A59" s="1" cm="1">
        <f t="array" aca="1" ref="A59" ca="1">IF(ISBLANK(INDIRECT(CONCATENATE("Input!",RSE_Setup!$B$16,ROW()+1))),"",INDIRECT(CONCATENATE("Input!",RSE_Setup!$B$16,ROW()+1)))</f>
        <v>2.9999999999999997E-4</v>
      </c>
      <c r="B59" s="1" cm="1">
        <f t="array" aca="1" ref="B59" ca="1">IF(ISBLANK(INDIRECT(CONCATENATE("Input!",RSE_Setup!$B$17,ROW()+1))),"",INDIRECT(CONCATENATE("Input!",RSE_Setup!$B$17,ROW()+1)))</f>
        <v>2E-3</v>
      </c>
      <c r="C59" s="1" cm="1">
        <f t="array" aca="1" ref="C59" ca="1">IF(ISBLANK(INDIRECT(CONCATENATE("Input!",RSE_Setup!$B$18,ROW()+1))),"",INDIRECT(CONCATENATE("Input!",RSE_Setup!$B$18,ROW()+1)))</f>
        <v>5.5556000000000001E-2</v>
      </c>
      <c r="D59" s="1" cm="1">
        <f t="array" aca="1" ref="D59" ca="1">IF(ISBLANK(INDIRECT(CONCATENATE("Input!",RSE_Setup!$B$19,ROW()+1))),"",INDIRECT(CONCATENATE("Input!",RSE_Setup!$B$19,ROW()+1)))</f>
        <v>6000</v>
      </c>
      <c r="E59" s="1" cm="1">
        <f t="array" aca="1" ref="E59" ca="1">IF(ISBLANK(INDIRECT(CONCATENATE("Input!",RSE_Setup!$B$23,ROW()+1))),"",INDIRECT(CONCATENATE("Input!",RSE_Setup!$B$23,ROW()+1)))</f>
        <v>372.59556099999998</v>
      </c>
      <c r="F59" s="1">
        <f ca="1"/>
        <v>379.08375813695784</v>
      </c>
    </row>
    <row r="60" spans="1:6" x14ac:dyDescent="0.3">
      <c r="A60" s="1" cm="1">
        <f t="array" aca="1" ref="A60" ca="1">IF(ISBLANK(INDIRECT(CONCATENATE("Input!",RSE_Setup!$B$16,ROW()+1))),"",INDIRECT(CONCATENATE("Input!",RSE_Setup!$B$16,ROW()+1)))</f>
        <v>2.9999999999999997E-4</v>
      </c>
      <c r="B60" s="1" cm="1">
        <f t="array" aca="1" ref="B60" ca="1">IF(ISBLANK(INDIRECT(CONCATENATE("Input!",RSE_Setup!$B$17,ROW()+1))),"",INDIRECT(CONCATENATE("Input!",RSE_Setup!$B$17,ROW()+1)))</f>
        <v>2E-3</v>
      </c>
      <c r="C60" s="1" cm="1">
        <f t="array" aca="1" ref="C60" ca="1">IF(ISBLANK(INDIRECT(CONCATENATE("Input!",RSE_Setup!$B$18,ROW()+1))),"",INDIRECT(CONCATENATE("Input!",RSE_Setup!$B$18,ROW()+1)))</f>
        <v>3.2258000000000002E-2</v>
      </c>
      <c r="D60" s="1" cm="1">
        <f t="array" aca="1" ref="D60" ca="1">IF(ISBLANK(INDIRECT(CONCATENATE("Input!",RSE_Setup!$B$19,ROW()+1))),"",INDIRECT(CONCATENATE("Input!",RSE_Setup!$B$19,ROW()+1)))</f>
        <v>6000</v>
      </c>
      <c r="E60" s="1" cm="1">
        <f t="array" aca="1" ref="E60" ca="1">IF(ISBLANK(INDIRECT(CONCATENATE("Input!",RSE_Setup!$B$23,ROW()+1))),"",INDIRECT(CONCATENATE("Input!",RSE_Setup!$B$23,ROW()+1)))</f>
        <v>346.162869</v>
      </c>
      <c r="F60" s="1">
        <f ca="1"/>
        <v>340.85182089695491</v>
      </c>
    </row>
    <row r="61" spans="1:6" x14ac:dyDescent="0.3">
      <c r="A61" s="1" cm="1">
        <f t="array" aca="1" ref="A61" ca="1">IF(ISBLANK(INDIRECT(CONCATENATE("Input!",RSE_Setup!$B$16,ROW()+1))),"",INDIRECT(CONCATENATE("Input!",RSE_Setup!$B$16,ROW()+1)))</f>
        <v>2.9999999999999997E-4</v>
      </c>
      <c r="B61" s="1" cm="1">
        <f t="array" aca="1" ref="B61" ca="1">IF(ISBLANK(INDIRECT(CONCATENATE("Input!",RSE_Setup!$B$17,ROW()+1))),"",INDIRECT(CONCATENATE("Input!",RSE_Setup!$B$17,ROW()+1)))</f>
        <v>2E-3</v>
      </c>
      <c r="C61" s="1" cm="1">
        <f t="array" aca="1" ref="C61" ca="1">IF(ISBLANK(INDIRECT(CONCATENATE("Input!",RSE_Setup!$B$18,ROW()+1))),"",INDIRECT(CONCATENATE("Input!",RSE_Setup!$B$18,ROW()+1)))</f>
        <v>3.2258000000000002E-2</v>
      </c>
      <c r="D61" s="1" cm="1">
        <f t="array" aca="1" ref="D61" ca="1">IF(ISBLANK(INDIRECT(CONCATENATE("Input!",RSE_Setup!$B$19,ROW()+1))),"",INDIRECT(CONCATENATE("Input!",RSE_Setup!$B$19,ROW()+1)))</f>
        <v>8000</v>
      </c>
      <c r="E61" s="1" cm="1">
        <f t="array" aca="1" ref="E61" ca="1">IF(ISBLANK(INDIRECT(CONCATENATE("Input!",RSE_Setup!$B$23,ROW()+1))),"",INDIRECT(CONCATENATE("Input!",RSE_Setup!$B$23,ROW()+1)))</f>
        <v>451.38122800000002</v>
      </c>
      <c r="F61" s="1">
        <f ca="1"/>
        <v>449.39266613160902</v>
      </c>
    </row>
    <row r="62" spans="1:6" x14ac:dyDescent="0.3">
      <c r="A62" s="1" cm="1">
        <f t="array" aca="1" ref="A62" ca="1">IF(ISBLANK(INDIRECT(CONCATENATE("Input!",RSE_Setup!$B$16,ROW()+1))),"",INDIRECT(CONCATENATE("Input!",RSE_Setup!$B$16,ROW()+1)))</f>
        <v>2.9999999999999997E-4</v>
      </c>
      <c r="B62" s="1" cm="1">
        <f t="array" aca="1" ref="B62" ca="1">IF(ISBLANK(INDIRECT(CONCATENATE("Input!",RSE_Setup!$B$17,ROW()+1))),"",INDIRECT(CONCATENATE("Input!",RSE_Setup!$B$17,ROW()+1)))</f>
        <v>2E-3</v>
      </c>
      <c r="C62" s="1" cm="1">
        <f t="array" aca="1" ref="C62" ca="1">IF(ISBLANK(INDIRECT(CONCATENATE("Input!",RSE_Setup!$B$18,ROW()+1))),"",INDIRECT(CONCATENATE("Input!",RSE_Setup!$B$18,ROW()+1)))</f>
        <v>3.2258000000000002E-2</v>
      </c>
      <c r="D62" s="1" cm="1">
        <f t="array" aca="1" ref="D62" ca="1">IF(ISBLANK(INDIRECT(CONCATENATE("Input!",RSE_Setup!$B$19,ROW()+1))),"",INDIRECT(CONCATENATE("Input!",RSE_Setup!$B$19,ROW()+1)))</f>
        <v>10000</v>
      </c>
      <c r="E62" s="1" cm="1">
        <f t="array" aca="1" ref="E62" ca="1">IF(ISBLANK(INDIRECT(CONCATENATE("Input!",RSE_Setup!$B$23,ROW()+1))),"",INDIRECT(CONCATENATE("Input!",RSE_Setup!$B$23,ROW()+1)))</f>
        <v>554.05878199999995</v>
      </c>
      <c r="F62" s="1">
        <f ca="1"/>
        <v>556.98166695319685</v>
      </c>
    </row>
    <row r="63" spans="1:6" x14ac:dyDescent="0.3">
      <c r="A63" s="1" cm="1">
        <f t="array" aca="1" ref="A63" ca="1">IF(ISBLANK(INDIRECT(CONCATENATE("Input!",RSE_Setup!$B$16,ROW()+1))),"",INDIRECT(CONCATENATE("Input!",RSE_Setup!$B$16,ROW()+1)))</f>
        <v>2.9999999999999997E-4</v>
      </c>
      <c r="B63" s="1" cm="1">
        <f t="array" aca="1" ref="B63" ca="1">IF(ISBLANK(INDIRECT(CONCATENATE("Input!",RSE_Setup!$B$17,ROW()+1))),"",INDIRECT(CONCATENATE("Input!",RSE_Setup!$B$17,ROW()+1)))</f>
        <v>3.0000000000000001E-3</v>
      </c>
      <c r="C63" s="1" cm="1">
        <f t="array" aca="1" ref="C63" ca="1">IF(ISBLANK(INDIRECT(CONCATENATE("Input!",RSE_Setup!$B$18,ROW()+1))),"",INDIRECT(CONCATENATE("Input!",RSE_Setup!$B$18,ROW()+1)))</f>
        <v>5.5556000000000001E-2</v>
      </c>
      <c r="D63" s="1" cm="1">
        <f t="array" aca="1" ref="D63" ca="1">IF(ISBLANK(INDIRECT(CONCATENATE("Input!",RSE_Setup!$B$19,ROW()+1))),"",INDIRECT(CONCATENATE("Input!",RSE_Setup!$B$19,ROW()+1)))</f>
        <v>6000</v>
      </c>
      <c r="E63" s="1" cm="1">
        <f t="array" aca="1" ref="E63" ca="1">IF(ISBLANK(INDIRECT(CONCATENATE("Input!",RSE_Setup!$B$23,ROW()+1))),"",INDIRECT(CONCATENATE("Input!",RSE_Setup!$B$23,ROW()+1)))</f>
        <v>394.72116</v>
      </c>
      <c r="F63" s="1">
        <f ca="1"/>
        <v>400.9652148973542</v>
      </c>
    </row>
    <row r="64" spans="1:6" x14ac:dyDescent="0.3">
      <c r="A64" s="1" cm="1">
        <f t="array" aca="1" ref="A64" ca="1">IF(ISBLANK(INDIRECT(CONCATENATE("Input!",RSE_Setup!$B$16,ROW()+1))),"",INDIRECT(CONCATENATE("Input!",RSE_Setup!$B$16,ROW()+1)))</f>
        <v>2.9999999999999997E-4</v>
      </c>
      <c r="B64" s="1" cm="1">
        <f t="array" aca="1" ref="B64" ca="1">IF(ISBLANK(INDIRECT(CONCATENATE("Input!",RSE_Setup!$B$17,ROW()+1))),"",INDIRECT(CONCATENATE("Input!",RSE_Setup!$B$17,ROW()+1)))</f>
        <v>3.0000000000000001E-3</v>
      </c>
      <c r="C64" s="1" cm="1">
        <f t="array" aca="1" ref="C64" ca="1">IF(ISBLANK(INDIRECT(CONCATENATE("Input!",RSE_Setup!$B$18,ROW()+1))),"",INDIRECT(CONCATENATE("Input!",RSE_Setup!$B$18,ROW()+1)))</f>
        <v>3.2258000000000002E-2</v>
      </c>
      <c r="D64" s="1" cm="1">
        <f t="array" aca="1" ref="D64" ca="1">IF(ISBLANK(INDIRECT(CONCATENATE("Input!",RSE_Setup!$B$19,ROW()+1))),"",INDIRECT(CONCATENATE("Input!",RSE_Setup!$B$19,ROW()+1)))</f>
        <v>6000</v>
      </c>
      <c r="E64" s="1" cm="1">
        <f t="array" aca="1" ref="E64" ca="1">IF(ISBLANK(INDIRECT(CONCATENATE("Input!",RSE_Setup!$B$23,ROW()+1))),"",INDIRECT(CONCATENATE("Input!",RSE_Setup!$B$23,ROW()+1)))</f>
        <v>367.79927400000003</v>
      </c>
      <c r="F64" s="1">
        <f ca="1"/>
        <v>363.30007613358407</v>
      </c>
    </row>
    <row r="65" spans="1:6" x14ac:dyDescent="0.3">
      <c r="A65" s="1" cm="1">
        <f t="array" aca="1" ref="A65" ca="1">IF(ISBLANK(INDIRECT(CONCATENATE("Input!",RSE_Setup!$B$16,ROW()+1))),"",INDIRECT(CONCATENATE("Input!",RSE_Setup!$B$16,ROW()+1)))</f>
        <v>2.9999999999999997E-4</v>
      </c>
      <c r="B65" s="1" cm="1">
        <f t="array" aca="1" ref="B65" ca="1">IF(ISBLANK(INDIRECT(CONCATENATE("Input!",RSE_Setup!$B$17,ROW()+1))),"",INDIRECT(CONCATENATE("Input!",RSE_Setup!$B$17,ROW()+1)))</f>
        <v>3.0000000000000001E-3</v>
      </c>
      <c r="C65" s="1" cm="1">
        <f t="array" aca="1" ref="C65" ca="1">IF(ISBLANK(INDIRECT(CONCATENATE("Input!",RSE_Setup!$B$18,ROW()+1))),"",INDIRECT(CONCATENATE("Input!",RSE_Setup!$B$18,ROW()+1)))</f>
        <v>3.2258000000000002E-2</v>
      </c>
      <c r="D65" s="1" cm="1">
        <f t="array" aca="1" ref="D65" ca="1">IF(ISBLANK(INDIRECT(CONCATENATE("Input!",RSE_Setup!$B$19,ROW()+1))),"",INDIRECT(CONCATENATE("Input!",RSE_Setup!$B$19,ROW()+1)))</f>
        <v>8000</v>
      </c>
      <c r="E65" s="1" cm="1">
        <f t="array" aca="1" ref="E65" ca="1">IF(ISBLANK(INDIRECT(CONCATENATE("Input!",RSE_Setup!$B$23,ROW()+1))),"",INDIRECT(CONCATENATE("Input!",RSE_Setup!$B$23,ROW()+1)))</f>
        <v>479.85001899999997</v>
      </c>
      <c r="F65" s="1">
        <f ca="1"/>
        <v>479.67710565603028</v>
      </c>
    </row>
    <row r="66" spans="1:6" x14ac:dyDescent="0.3">
      <c r="A66" s="1" cm="1">
        <f t="array" aca="1" ref="A66" ca="1">IF(ISBLANK(INDIRECT(CONCATENATE("Input!",RSE_Setup!$B$16,ROW()+1))),"",INDIRECT(CONCATENATE("Input!",RSE_Setup!$B$16,ROW()+1)))</f>
        <v>2.9999999999999997E-4</v>
      </c>
      <c r="B66" s="1" cm="1">
        <f t="array" aca="1" ref="B66" ca="1">IF(ISBLANK(INDIRECT(CONCATENATE("Input!",RSE_Setup!$B$17,ROW()+1))),"",INDIRECT(CONCATENATE("Input!",RSE_Setup!$B$17,ROW()+1)))</f>
        <v>3.0000000000000001E-3</v>
      </c>
      <c r="C66" s="1" cm="1">
        <f t="array" aca="1" ref="C66" ca="1">IF(ISBLANK(INDIRECT(CONCATENATE("Input!",RSE_Setup!$B$18,ROW()+1))),"",INDIRECT(CONCATENATE("Input!",RSE_Setup!$B$18,ROW()+1)))</f>
        <v>3.2258000000000002E-2</v>
      </c>
      <c r="D66" s="1" cm="1">
        <f t="array" aca="1" ref="D66" ca="1">IF(ISBLANK(INDIRECT(CONCATENATE("Input!",RSE_Setup!$B$19,ROW()+1))),"",INDIRECT(CONCATENATE("Input!",RSE_Setup!$B$19,ROW()+1)))</f>
        <v>10000</v>
      </c>
      <c r="E66" s="1" cm="1">
        <f t="array" aca="1" ref="E66" ca="1">IF(ISBLANK(INDIRECT(CONCATENATE("Input!",RSE_Setup!$B$23,ROW()+1))),"",INDIRECT(CONCATENATE("Input!",RSE_Setup!$B$23,ROW()+1)))</f>
        <v>590.15406299999995</v>
      </c>
      <c r="F66" s="1">
        <f ca="1"/>
        <v>595.10229076541032</v>
      </c>
    </row>
    <row r="67" spans="1:6" x14ac:dyDescent="0.3">
      <c r="A67" s="1" cm="1">
        <f t="array" aca="1" ref="A67" ca="1">IF(ISBLANK(INDIRECT(CONCATENATE("Input!",RSE_Setup!$B$16,ROW()+1))),"",INDIRECT(CONCATENATE("Input!",RSE_Setup!$B$16,ROW()+1)))</f>
        <v>2.9999999999999997E-4</v>
      </c>
      <c r="B67" s="1" cm="1">
        <f t="array" aca="1" ref="B67" ca="1">IF(ISBLANK(INDIRECT(CONCATENATE("Input!",RSE_Setup!$B$17,ROW()+1))),"",INDIRECT(CONCATENATE("Input!",RSE_Setup!$B$17,ROW()+1)))</f>
        <v>4.0000000000000001E-3</v>
      </c>
      <c r="C67" s="1" cm="1">
        <f t="array" aca="1" ref="C67" ca="1">IF(ISBLANK(INDIRECT(CONCATENATE("Input!",RSE_Setup!$B$18,ROW()+1))),"",INDIRECT(CONCATENATE("Input!",RSE_Setup!$B$18,ROW()+1)))</f>
        <v>5.5556000000000001E-2</v>
      </c>
      <c r="D67" s="1" cm="1">
        <f t="array" aca="1" ref="D67" ca="1">IF(ISBLANK(INDIRECT(CONCATENATE("Input!",RSE_Setup!$B$19,ROW()+1))),"",INDIRECT(CONCATENATE("Input!",RSE_Setup!$B$19,ROW()+1)))</f>
        <v>6000</v>
      </c>
      <c r="E67" s="1" cm="1">
        <f t="array" aca="1" ref="E67" ca="1">IF(ISBLANK(INDIRECT(CONCATENATE("Input!",RSE_Setup!$B$23,ROW()+1))),"",INDIRECT(CONCATENATE("Input!",RSE_Setup!$B$23,ROW()+1)))</f>
        <v>417.82119699999998</v>
      </c>
      <c r="F67" s="1">
        <f ca="1"/>
        <v>423.79579587662056</v>
      </c>
    </row>
    <row r="68" spans="1:6" x14ac:dyDescent="0.3">
      <c r="A68" s="1" cm="1">
        <f t="array" aca="1" ref="A68" ca="1">IF(ISBLANK(INDIRECT(CONCATENATE("Input!",RSE_Setup!$B$16,ROW()+1))),"",INDIRECT(CONCATENATE("Input!",RSE_Setup!$B$16,ROW()+1)))</f>
        <v>2.9999999999999997E-4</v>
      </c>
      <c r="B68" s="1" cm="1">
        <f t="array" aca="1" ref="B68" ca="1">IF(ISBLANK(INDIRECT(CONCATENATE("Input!",RSE_Setup!$B$17,ROW()+1))),"",INDIRECT(CONCATENATE("Input!",RSE_Setup!$B$17,ROW()+1)))</f>
        <v>4.0000000000000001E-3</v>
      </c>
      <c r="C68" s="1" cm="1">
        <f t="array" aca="1" ref="C68" ca="1">IF(ISBLANK(INDIRECT(CONCATENATE("Input!",RSE_Setup!$B$18,ROW()+1))),"",INDIRECT(CONCATENATE("Input!",RSE_Setup!$B$18,ROW()+1)))</f>
        <v>3.2258000000000002E-2</v>
      </c>
      <c r="D68" s="1" cm="1">
        <f t="array" aca="1" ref="D68" ca="1">IF(ISBLANK(INDIRECT(CONCATENATE("Input!",RSE_Setup!$B$19,ROW()+1))),"",INDIRECT(CONCATENATE("Input!",RSE_Setup!$B$19,ROW()+1)))</f>
        <v>6000</v>
      </c>
      <c r="E68" s="1" cm="1">
        <f t="array" aca="1" ref="E68" ca="1">IF(ISBLANK(INDIRECT(CONCATENATE("Input!",RSE_Setup!$B$23,ROW()+1))),"",INDIRECT(CONCATENATE("Input!",RSE_Setup!$B$23,ROW()+1)))</f>
        <v>391.35901899999999</v>
      </c>
      <c r="F68" s="1">
        <f ca="1"/>
        <v>386.69745558908312</v>
      </c>
    </row>
    <row r="69" spans="1:6" x14ac:dyDescent="0.3">
      <c r="A69" s="1" cm="1">
        <f t="array" aca="1" ref="A69" ca="1">IF(ISBLANK(INDIRECT(CONCATENATE("Input!",RSE_Setup!$B$16,ROW()+1))),"",INDIRECT(CONCATENATE("Input!",RSE_Setup!$B$16,ROW()+1)))</f>
        <v>2.9999999999999997E-4</v>
      </c>
      <c r="B69" s="1" cm="1">
        <f t="array" aca="1" ref="B69" ca="1">IF(ISBLANK(INDIRECT(CONCATENATE("Input!",RSE_Setup!$B$17,ROW()+1))),"",INDIRECT(CONCATENATE("Input!",RSE_Setup!$B$17,ROW()+1)))</f>
        <v>4.0000000000000001E-3</v>
      </c>
      <c r="C69" s="1" cm="1">
        <f t="array" aca="1" ref="C69" ca="1">IF(ISBLANK(INDIRECT(CONCATENATE("Input!",RSE_Setup!$B$18,ROW()+1))),"",INDIRECT(CONCATENATE("Input!",RSE_Setup!$B$18,ROW()+1)))</f>
        <v>3.2258000000000002E-2</v>
      </c>
      <c r="D69" s="1" cm="1">
        <f t="array" aca="1" ref="D69" ca="1">IF(ISBLANK(INDIRECT(CONCATENATE("Input!",RSE_Setup!$B$19,ROW()+1))),"",INDIRECT(CONCATENATE("Input!",RSE_Setup!$B$19,ROW()+1)))</f>
        <v>8000</v>
      </c>
      <c r="E69" s="1" cm="1">
        <f t="array" aca="1" ref="E69" ca="1">IF(ISBLANK(INDIRECT(CONCATENATE("Input!",RSE_Setup!$B$23,ROW()+1))),"",INDIRECT(CONCATENATE("Input!",RSE_Setup!$B$23,ROW()+1)))</f>
        <v>510.80646300000001</v>
      </c>
      <c r="F69" s="1">
        <f ca="1"/>
        <v>510.91066939932148</v>
      </c>
    </row>
    <row r="70" spans="1:6" x14ac:dyDescent="0.3">
      <c r="A70" s="1" cm="1">
        <f t="array" aca="1" ref="A70" ca="1">IF(ISBLANK(INDIRECT(CONCATENATE("Input!",RSE_Setup!$B$16,ROW()+1))),"",INDIRECT(CONCATENATE("Input!",RSE_Setup!$B$16,ROW()+1)))</f>
        <v>2.9999999999999997E-4</v>
      </c>
      <c r="B70" s="1" cm="1">
        <f t="array" aca="1" ref="B70" ca="1">IF(ISBLANK(INDIRECT(CONCATENATE("Input!",RSE_Setup!$B$17,ROW()+1))),"",INDIRECT(CONCATENATE("Input!",RSE_Setup!$B$17,ROW()+1)))</f>
        <v>4.0000000000000001E-3</v>
      </c>
      <c r="C70" s="1" cm="1">
        <f t="array" aca="1" ref="C70" ca="1">IF(ISBLANK(INDIRECT(CONCATENATE("Input!",RSE_Setup!$B$18,ROW()+1))),"",INDIRECT(CONCATENATE("Input!",RSE_Setup!$B$18,ROW()+1)))</f>
        <v>3.2258000000000002E-2</v>
      </c>
      <c r="D70" s="1" cm="1">
        <f t="array" aca="1" ref="D70" ca="1">IF(ISBLANK(INDIRECT(CONCATENATE("Input!",RSE_Setup!$B$19,ROW()+1))),"",INDIRECT(CONCATENATE("Input!",RSE_Setup!$B$19,ROW()+1)))</f>
        <v>10000</v>
      </c>
      <c r="E70" s="1" cm="1">
        <f t="array" aca="1" ref="E70" ca="1">IF(ISBLANK(INDIRECT(CONCATENATE("Input!",RSE_Setup!$B$23,ROW()+1))),"",INDIRECT(CONCATENATE("Input!",RSE_Setup!$B$23,ROW()+1)))</f>
        <v>628.19983300000001</v>
      </c>
      <c r="F70" s="1">
        <f ca="1"/>
        <v>634.17203879649367</v>
      </c>
    </row>
    <row r="71" spans="1:6" x14ac:dyDescent="0.3">
      <c r="A71" s="1" cm="1">
        <f t="array" aca="1" ref="A71" ca="1">IF(ISBLANK(INDIRECT(CONCATENATE("Input!",RSE_Setup!$B$16,ROW()+1))),"",INDIRECT(CONCATENATE("Input!",RSE_Setup!$B$16,ROW()+1)))</f>
        <v>5.0000000000000001E-4</v>
      </c>
      <c r="B71" s="1" cm="1">
        <f t="array" aca="1" ref="B71" ca="1">IF(ISBLANK(INDIRECT(CONCATENATE("Input!",RSE_Setup!$B$17,ROW()+1))),"",INDIRECT(CONCATENATE("Input!",RSE_Setup!$B$17,ROW()+1)))</f>
        <v>3.0000000000000001E-3</v>
      </c>
      <c r="C71" s="1" cm="1">
        <f t="array" aca="1" ref="C71" ca="1">IF(ISBLANK(INDIRECT(CONCATENATE("Input!",RSE_Setup!$B$18,ROW()+1))),"",INDIRECT(CONCATENATE("Input!",RSE_Setup!$B$18,ROW()+1)))</f>
        <v>5.5556000000000001E-2</v>
      </c>
      <c r="D71" s="1" cm="1">
        <f t="array" aca="1" ref="D71" ca="1">IF(ISBLANK(INDIRECT(CONCATENATE("Input!",RSE_Setup!$B$19,ROW()+1))),"",INDIRECT(CONCATENATE("Input!",RSE_Setup!$B$19,ROW()+1)))</f>
        <v>3375</v>
      </c>
      <c r="E71" s="1" cm="1">
        <f t="array" aca="1" ref="E71" ca="1">IF(ISBLANK(INDIRECT(CONCATENATE("Input!",RSE_Setup!$B$23,ROW()+1))),"",INDIRECT(CONCATENATE("Input!",RSE_Setup!$B$23,ROW()+1)))</f>
        <v>248.068341</v>
      </c>
      <c r="F71" s="1">
        <f ca="1"/>
        <v>243.34742452224435</v>
      </c>
    </row>
    <row r="72" spans="1:6" x14ac:dyDescent="0.3">
      <c r="A72" s="1" cm="1">
        <f t="array" aca="1" ref="A72" ca="1">IF(ISBLANK(INDIRECT(CONCATENATE("Input!",RSE_Setup!$B$16,ROW()+1))),"",INDIRECT(CONCATENATE("Input!",RSE_Setup!$B$16,ROW()+1)))</f>
        <v>5.0000000000000001E-4</v>
      </c>
      <c r="B72" s="1" cm="1">
        <f t="array" aca="1" ref="B72" ca="1">IF(ISBLANK(INDIRECT(CONCATENATE("Input!",RSE_Setup!$B$17,ROW()+1))),"",INDIRECT(CONCATENATE("Input!",RSE_Setup!$B$17,ROW()+1)))</f>
        <v>3.0000000000000001E-3</v>
      </c>
      <c r="C72" s="1" cm="1">
        <f t="array" aca="1" ref="C72" ca="1">IF(ISBLANK(INDIRECT(CONCATENATE("Input!",RSE_Setup!$B$18,ROW()+1))),"",INDIRECT(CONCATENATE("Input!",RSE_Setup!$B$18,ROW()+1)))</f>
        <v>5.5556000000000001E-2</v>
      </c>
      <c r="D72" s="1" cm="1">
        <f t="array" aca="1" ref="D72" ca="1">IF(ISBLANK(INDIRECT(CONCATENATE("Input!",RSE_Setup!$B$19,ROW()+1))),"",INDIRECT(CONCATENATE("Input!",RSE_Setup!$B$19,ROW()+1)))</f>
        <v>4500</v>
      </c>
      <c r="E72" s="1" cm="1">
        <f t="array" aca="1" ref="E72" ca="1">IF(ISBLANK(INDIRECT(CONCATENATE("Input!",RSE_Setup!$B$23,ROW()+1))),"",INDIRECT(CONCATENATE("Input!",RSE_Setup!$B$23,ROW()+1)))</f>
        <v>322.16657900000001</v>
      </c>
      <c r="F72" s="1">
        <f ca="1"/>
        <v>319.51310086004077</v>
      </c>
    </row>
    <row r="73" spans="1:6" x14ac:dyDescent="0.3">
      <c r="A73" s="1" cm="1">
        <f t="array" aca="1" ref="A73" ca="1">IF(ISBLANK(INDIRECT(CONCATENATE("Input!",RSE_Setup!$B$16,ROW()+1))),"",INDIRECT(CONCATENATE("Input!",RSE_Setup!$B$16,ROW()+1)))</f>
        <v>5.0000000000000001E-4</v>
      </c>
      <c r="B73" s="1" cm="1">
        <f t="array" aca="1" ref="B73" ca="1">IF(ISBLANK(INDIRECT(CONCATENATE("Input!",RSE_Setup!$B$17,ROW()+1))),"",INDIRECT(CONCATENATE("Input!",RSE_Setup!$B$17,ROW()+1)))</f>
        <v>3.0000000000000001E-3</v>
      </c>
      <c r="C73" s="1" cm="1">
        <f t="array" aca="1" ref="C73" ca="1">IF(ISBLANK(INDIRECT(CONCATENATE("Input!",RSE_Setup!$B$18,ROW()+1))),"",INDIRECT(CONCATENATE("Input!",RSE_Setup!$B$18,ROW()+1)))</f>
        <v>5.5556000000000001E-2</v>
      </c>
      <c r="D73" s="1" cm="1">
        <f t="array" aca="1" ref="D73" ca="1">IF(ISBLANK(INDIRECT(CONCATENATE("Input!",RSE_Setup!$B$19,ROW()+1))),"",INDIRECT(CONCATENATE("Input!",RSE_Setup!$B$19,ROW()+1)))</f>
        <v>6000</v>
      </c>
      <c r="E73" s="1" cm="1">
        <f t="array" aca="1" ref="E73" ca="1">IF(ISBLANK(INDIRECT(CONCATENATE("Input!",RSE_Setup!$B$23,ROW()+1))),"",INDIRECT(CONCATENATE("Input!",RSE_Setup!$B$23,ROW()+1)))</f>
        <v>414.15662400000002</v>
      </c>
      <c r="F73" s="1">
        <f ca="1"/>
        <v>420.59885005504668</v>
      </c>
    </row>
    <row r="74" spans="1:6" x14ac:dyDescent="0.3">
      <c r="A74" s="1" cm="1">
        <f t="array" aca="1" ref="A74" ca="1">IF(ISBLANK(INDIRECT(CONCATENATE("Input!",RSE_Setup!$B$16,ROW()+1))),"",INDIRECT(CONCATENATE("Input!",RSE_Setup!$B$16,ROW()+1)))</f>
        <v>5.0000000000000001E-4</v>
      </c>
      <c r="B74" s="1" cm="1">
        <f t="array" aca="1" ref="B74" ca="1">IF(ISBLANK(INDIRECT(CONCATENATE("Input!",RSE_Setup!$B$17,ROW()+1))),"",INDIRECT(CONCATENATE("Input!",RSE_Setup!$B$17,ROW()+1)))</f>
        <v>3.0000000000000001E-3</v>
      </c>
      <c r="C74" s="1" cm="1">
        <f t="array" aca="1" ref="C74" ca="1">IF(ISBLANK(INDIRECT(CONCATENATE("Input!",RSE_Setup!$B$18,ROW()+1))),"",INDIRECT(CONCATENATE("Input!",RSE_Setup!$B$18,ROW()+1)))</f>
        <v>3.2258000000000002E-2</v>
      </c>
      <c r="D74" s="1" cm="1">
        <f t="array" aca="1" ref="D74" ca="1">IF(ISBLANK(INDIRECT(CONCATENATE("Input!",RSE_Setup!$B$19,ROW()+1))),"",INDIRECT(CONCATENATE("Input!",RSE_Setup!$B$19,ROW()+1)))</f>
        <v>6000</v>
      </c>
      <c r="E74" s="1" cm="1">
        <f t="array" aca="1" ref="E74" ca="1">IF(ISBLANK(INDIRECT(CONCATENATE("Input!",RSE_Setup!$B$23,ROW()+1))),"",INDIRECT(CONCATENATE("Input!",RSE_Setup!$B$23,ROW()+1)))</f>
        <v>386.76280400000002</v>
      </c>
      <c r="F74" s="1">
        <f ca="1"/>
        <v>383.07096544061903</v>
      </c>
    </row>
    <row r="75" spans="1:6" x14ac:dyDescent="0.3">
      <c r="A75" s="1" cm="1">
        <f t="array" aca="1" ref="A75" ca="1">IF(ISBLANK(INDIRECT(CONCATENATE("Input!",RSE_Setup!$B$16,ROW()+1))),"",INDIRECT(CONCATENATE("Input!",RSE_Setup!$B$16,ROW()+1)))</f>
        <v>5.0000000000000001E-4</v>
      </c>
      <c r="B75" s="1" cm="1">
        <f t="array" aca="1" ref="B75" ca="1">IF(ISBLANK(INDIRECT(CONCATENATE("Input!",RSE_Setup!$B$17,ROW()+1))),"",INDIRECT(CONCATENATE("Input!",RSE_Setup!$B$17,ROW()+1)))</f>
        <v>3.0000000000000001E-3</v>
      </c>
      <c r="C75" s="1" cm="1">
        <f t="array" aca="1" ref="C75" ca="1">IF(ISBLANK(INDIRECT(CONCATENATE("Input!",RSE_Setup!$B$18,ROW()+1))),"",INDIRECT(CONCATENATE("Input!",RSE_Setup!$B$18,ROW()+1)))</f>
        <v>3.2258000000000002E-2</v>
      </c>
      <c r="D75" s="1" cm="1">
        <f t="array" aca="1" ref="D75" ca="1">IF(ISBLANK(INDIRECT(CONCATENATE("Input!",RSE_Setup!$B$19,ROW()+1))),"",INDIRECT(CONCATENATE("Input!",RSE_Setup!$B$19,ROW()+1)))</f>
        <v>8000</v>
      </c>
      <c r="E75" s="1" cm="1">
        <f t="array" aca="1" ref="E75" ca="1">IF(ISBLANK(INDIRECT(CONCATENATE("Input!",RSE_Setup!$B$23,ROW()+1))),"",INDIRECT(CONCATENATE("Input!",RSE_Setup!$B$23,ROW()+1)))</f>
        <v>505.79611899999998</v>
      </c>
      <c r="F75" s="1">
        <f ca="1"/>
        <v>505.95851136251872</v>
      </c>
    </row>
    <row r="76" spans="1:6" x14ac:dyDescent="0.3">
      <c r="A76" s="1" cm="1">
        <f t="array" aca="1" ref="A76" ca="1">IF(ISBLANK(INDIRECT(CONCATENATE("Input!",RSE_Setup!$B$16,ROW()+1))),"",INDIRECT(CONCATENATE("Input!",RSE_Setup!$B$16,ROW()+1)))</f>
        <v>5.0000000000000001E-4</v>
      </c>
      <c r="B76" s="1" cm="1">
        <f t="array" aca="1" ref="B76" ca="1">IF(ISBLANK(INDIRECT(CONCATENATE("Input!",RSE_Setup!$B$17,ROW()+1))),"",INDIRECT(CONCATENATE("Input!",RSE_Setup!$B$17,ROW()+1)))</f>
        <v>3.0000000000000001E-3</v>
      </c>
      <c r="C76" s="1" cm="1">
        <f t="array" aca="1" ref="C76" ca="1">IF(ISBLANK(INDIRECT(CONCATENATE("Input!",RSE_Setup!$B$18,ROW()+1))),"",INDIRECT(CONCATENATE("Input!",RSE_Setup!$B$18,ROW()+1)))</f>
        <v>3.2258000000000002E-2</v>
      </c>
      <c r="D76" s="1" cm="1">
        <f t="array" aca="1" ref="D76" ca="1">IF(ISBLANK(INDIRECT(CONCATENATE("Input!",RSE_Setup!$B$19,ROW()+1))),"",INDIRECT(CONCATENATE("Input!",RSE_Setup!$B$19,ROW()+1)))</f>
        <v>10000</v>
      </c>
      <c r="E76" s="1" cm="1">
        <f t="array" aca="1" ref="E76" ca="1">IF(ISBLANK(INDIRECT(CONCATENATE("Input!",RSE_Setup!$B$23,ROW()+1))),"",INDIRECT(CONCATENATE("Input!",RSE_Setup!$B$23,ROW()+1)))</f>
        <v>622.23944400000005</v>
      </c>
      <c r="F76" s="1">
        <f ca="1"/>
        <v>627.8942128713519</v>
      </c>
    </row>
    <row r="77" spans="1:6" x14ac:dyDescent="0.3">
      <c r="A77" s="1" cm="1">
        <f t="array" aca="1" ref="A77" ca="1">IF(ISBLANK(INDIRECT(CONCATENATE("Input!",RSE_Setup!$B$16,ROW()+1))),"",INDIRECT(CONCATENATE("Input!",RSE_Setup!$B$16,ROW()+1)))</f>
        <v>5.0000000000000001E-4</v>
      </c>
      <c r="B77" s="1" cm="1">
        <f t="array" aca="1" ref="B77" ca="1">IF(ISBLANK(INDIRECT(CONCATENATE("Input!",RSE_Setup!$B$17,ROW()+1))),"",INDIRECT(CONCATENATE("Input!",RSE_Setup!$B$17,ROW()+1)))</f>
        <v>4.7499999999999999E-3</v>
      </c>
      <c r="C77" s="1" cm="1">
        <f t="array" aca="1" ref="C77" ca="1">IF(ISBLANK(INDIRECT(CONCATENATE("Input!",RSE_Setup!$B$18,ROW()+1))),"",INDIRECT(CONCATENATE("Input!",RSE_Setup!$B$18,ROW()+1)))</f>
        <v>5.5556000000000001E-2</v>
      </c>
      <c r="D77" s="1" cm="1">
        <f t="array" aca="1" ref="D77" ca="1">IF(ISBLANK(INDIRECT(CONCATENATE("Input!",RSE_Setup!$B$19,ROW()+1))),"",INDIRECT(CONCATENATE("Input!",RSE_Setup!$B$19,ROW()+1)))</f>
        <v>3375</v>
      </c>
      <c r="E77" s="1" cm="1">
        <f t="array" aca="1" ref="E77" ca="1">IF(ISBLANK(INDIRECT(CONCATENATE("Input!",RSE_Setup!$B$23,ROW()+1))),"",INDIRECT(CONCATENATE("Input!",RSE_Setup!$B$23,ROW()+1)))</f>
        <v>271.75068099999999</v>
      </c>
      <c r="F77" s="1">
        <f ca="1"/>
        <v>266.12176359552905</v>
      </c>
    </row>
    <row r="78" spans="1:6" x14ac:dyDescent="0.3">
      <c r="A78" s="1" cm="1">
        <f t="array" aca="1" ref="A78" ca="1">IF(ISBLANK(INDIRECT(CONCATENATE("Input!",RSE_Setup!$B$16,ROW()+1))),"",INDIRECT(CONCATENATE("Input!",RSE_Setup!$B$16,ROW()+1)))</f>
        <v>5.0000000000000001E-4</v>
      </c>
      <c r="B78" s="1" cm="1">
        <f t="array" aca="1" ref="B78" ca="1">IF(ISBLANK(INDIRECT(CONCATENATE("Input!",RSE_Setup!$B$17,ROW()+1))),"",INDIRECT(CONCATENATE("Input!",RSE_Setup!$B$17,ROW()+1)))</f>
        <v>4.7499999999999999E-3</v>
      </c>
      <c r="C78" s="1" cm="1">
        <f t="array" aca="1" ref="C78" ca="1">IF(ISBLANK(INDIRECT(CONCATENATE("Input!",RSE_Setup!$B$18,ROW()+1))),"",INDIRECT(CONCATENATE("Input!",RSE_Setup!$B$18,ROW()+1)))</f>
        <v>5.5556000000000001E-2</v>
      </c>
      <c r="D78" s="1" cm="1">
        <f t="array" aca="1" ref="D78" ca="1">IF(ISBLANK(INDIRECT(CONCATENATE("Input!",RSE_Setup!$B$19,ROW()+1))),"",INDIRECT(CONCATENATE("Input!",RSE_Setup!$B$19,ROW()+1)))</f>
        <v>4500</v>
      </c>
      <c r="E78" s="1" cm="1">
        <f t="array" aca="1" ref="E78" ca="1">IF(ISBLANK(INDIRECT(CONCATENATE("Input!",RSE_Setup!$B$23,ROW()+1))),"",INDIRECT(CONCATENATE("Input!",RSE_Setup!$B$23,ROW()+1)))</f>
        <v>353.44651099999999</v>
      </c>
      <c r="F78" s="1">
        <f ca="1"/>
        <v>350.00118384162084</v>
      </c>
    </row>
    <row r="79" spans="1:6" x14ac:dyDescent="0.3">
      <c r="A79" s="1" cm="1">
        <f t="array" aca="1" ref="A79" ca="1">IF(ISBLANK(INDIRECT(CONCATENATE("Input!",RSE_Setup!$B$16,ROW()+1))),"",INDIRECT(CONCATENATE("Input!",RSE_Setup!$B$16,ROW()+1)))</f>
        <v>5.0000000000000001E-4</v>
      </c>
      <c r="B79" s="1" cm="1">
        <f t="array" aca="1" ref="B79" ca="1">IF(ISBLANK(INDIRECT(CONCATENATE("Input!",RSE_Setup!$B$17,ROW()+1))),"",INDIRECT(CONCATENATE("Input!",RSE_Setup!$B$17,ROW()+1)))</f>
        <v>4.7499999999999999E-3</v>
      </c>
      <c r="C79" s="1" cm="1">
        <f t="array" aca="1" ref="C79" ca="1">IF(ISBLANK(INDIRECT(CONCATENATE("Input!",RSE_Setup!$B$18,ROW()+1))),"",INDIRECT(CONCATENATE("Input!",RSE_Setup!$B$18,ROW()+1)))</f>
        <v>5.5556000000000001E-2</v>
      </c>
      <c r="D79" s="1" cm="1">
        <f t="array" aca="1" ref="D79" ca="1">IF(ISBLANK(INDIRECT(CONCATENATE("Input!",RSE_Setup!$B$19,ROW()+1))),"",INDIRECT(CONCATENATE("Input!",RSE_Setup!$B$19,ROW()+1)))</f>
        <v>6000</v>
      </c>
      <c r="E79" s="1" cm="1">
        <f t="array" aca="1" ref="E79" ca="1">IF(ISBLANK(INDIRECT(CONCATENATE("Input!",RSE_Setup!$B$23,ROW()+1))),"",INDIRECT(CONCATENATE("Input!",RSE_Setup!$B$23,ROW()+1)))</f>
        <v>456.773934</v>
      </c>
      <c r="F79" s="1">
        <f ca="1"/>
        <v>461.37192491435388</v>
      </c>
    </row>
    <row r="80" spans="1:6" x14ac:dyDescent="0.3">
      <c r="A80" s="1" cm="1">
        <f t="array" aca="1" ref="A80" ca="1">IF(ISBLANK(INDIRECT(CONCATENATE("Input!",RSE_Setup!$B$16,ROW()+1))),"",INDIRECT(CONCATENATE("Input!",RSE_Setup!$B$16,ROW()+1)))</f>
        <v>5.0000000000000001E-4</v>
      </c>
      <c r="B80" s="1" cm="1">
        <f t="array" aca="1" ref="B80" ca="1">IF(ISBLANK(INDIRECT(CONCATENATE("Input!",RSE_Setup!$B$17,ROW()+1))),"",INDIRECT(CONCATENATE("Input!",RSE_Setup!$B$17,ROW()+1)))</f>
        <v>4.7499999999999999E-3</v>
      </c>
      <c r="C80" s="1" cm="1">
        <f t="array" aca="1" ref="C80" ca="1">IF(ISBLANK(INDIRECT(CONCATENATE("Input!",RSE_Setup!$B$18,ROW()+1))),"",INDIRECT(CONCATENATE("Input!",RSE_Setup!$B$18,ROW()+1)))</f>
        <v>3.2258000000000002E-2</v>
      </c>
      <c r="D80" s="1" cm="1">
        <f t="array" aca="1" ref="D80" ca="1">IF(ISBLANK(INDIRECT(CONCATENATE("Input!",RSE_Setup!$B$19,ROW()+1))),"",INDIRECT(CONCATENATE("Input!",RSE_Setup!$B$19,ROW()+1)))</f>
        <v>6000</v>
      </c>
      <c r="E80" s="1" cm="1">
        <f t="array" aca="1" ref="E80" ca="1">IF(ISBLANK(INDIRECT(CONCATENATE("Input!",RSE_Setup!$B$23,ROW()+1))),"",INDIRECT(CONCATENATE("Input!",RSE_Setup!$B$23,ROW()+1)))</f>
        <v>429.56818199999998</v>
      </c>
      <c r="F80" s="1">
        <f ca="1"/>
        <v>424.83593763333351</v>
      </c>
    </row>
    <row r="81" spans="1:6" x14ac:dyDescent="0.3">
      <c r="A81" s="1" cm="1">
        <f t="array" aca="1" ref="A81" ca="1">IF(ISBLANK(INDIRECT(CONCATENATE("Input!",RSE_Setup!$B$16,ROW()+1))),"",INDIRECT(CONCATENATE("Input!",RSE_Setup!$B$16,ROW()+1)))</f>
        <v>5.0000000000000001E-4</v>
      </c>
      <c r="B81" s="1" cm="1">
        <f t="array" aca="1" ref="B81" ca="1">IF(ISBLANK(INDIRECT(CONCATENATE("Input!",RSE_Setup!$B$17,ROW()+1))),"",INDIRECT(CONCATENATE("Input!",RSE_Setup!$B$17,ROW()+1)))</f>
        <v>4.7499999999999999E-3</v>
      </c>
      <c r="C81" s="1" cm="1">
        <f t="array" aca="1" ref="C81" ca="1">IF(ISBLANK(INDIRECT(CONCATENATE("Input!",RSE_Setup!$B$18,ROW()+1))),"",INDIRECT(CONCATENATE("Input!",RSE_Setup!$B$18,ROW()+1)))</f>
        <v>3.2258000000000002E-2</v>
      </c>
      <c r="D81" s="1" cm="1">
        <f t="array" aca="1" ref="D81" ca="1">IF(ISBLANK(INDIRECT(CONCATENATE("Input!",RSE_Setup!$B$19,ROW()+1))),"",INDIRECT(CONCATENATE("Input!",RSE_Setup!$B$19,ROW()+1)))</f>
        <v>8000</v>
      </c>
      <c r="E81" s="1" cm="1">
        <f t="array" aca="1" ref="E81" ca="1">IF(ISBLANK(INDIRECT(CONCATENATE("Input!",RSE_Setup!$B$23,ROW()+1))),"",INDIRECT(CONCATENATE("Input!",RSE_Setup!$B$23,ROW()+1)))</f>
        <v>561.79854899999998</v>
      </c>
      <c r="F81" s="1">
        <f ca="1"/>
        <v>561.43680605886925</v>
      </c>
    </row>
    <row r="82" spans="1:6" x14ac:dyDescent="0.3">
      <c r="A82" s="1" cm="1">
        <f t="array" aca="1" ref="A82" ca="1">IF(ISBLANK(INDIRECT(CONCATENATE("Input!",RSE_Setup!$B$16,ROW()+1))),"",INDIRECT(CONCATENATE("Input!",RSE_Setup!$B$16,ROW()+1)))</f>
        <v>5.0000000000000001E-4</v>
      </c>
      <c r="B82" s="1" cm="1">
        <f t="array" aca="1" ref="B82" ca="1">IF(ISBLANK(INDIRECT(CONCATENATE("Input!",RSE_Setup!$B$17,ROW()+1))),"",INDIRECT(CONCATENATE("Input!",RSE_Setup!$B$17,ROW()+1)))</f>
        <v>4.7499999999999999E-3</v>
      </c>
      <c r="C82" s="1" cm="1">
        <f t="array" aca="1" ref="C82" ca="1">IF(ISBLANK(INDIRECT(CONCATENATE("Input!",RSE_Setup!$B$18,ROW()+1))),"",INDIRECT(CONCATENATE("Input!",RSE_Setup!$B$18,ROW()+1)))</f>
        <v>3.2258000000000002E-2</v>
      </c>
      <c r="D82" s="1" cm="1">
        <f t="array" aca="1" ref="D82" ca="1">IF(ISBLANK(INDIRECT(CONCATENATE("Input!",RSE_Setup!$B$19,ROW()+1))),"",INDIRECT(CONCATENATE("Input!",RSE_Setup!$B$19,ROW()+1)))</f>
        <v>10000</v>
      </c>
      <c r="E82" s="1" cm="1">
        <f t="array" aca="1" ref="E82" ca="1">IF(ISBLANK(INDIRECT(CONCATENATE("Input!",RSE_Setup!$B$23,ROW()+1))),"",INDIRECT(CONCATENATE("Input!",RSE_Setup!$B$23,ROW()+1)))</f>
        <v>692.82342500000004</v>
      </c>
      <c r="F82" s="1">
        <f ca="1"/>
        <v>697.08583007133882</v>
      </c>
    </row>
    <row r="83" spans="1:6" x14ac:dyDescent="0.3">
      <c r="A83" s="1" cm="1">
        <f t="array" aca="1" ref="A83" ca="1">IF(ISBLANK(INDIRECT(CONCATENATE("Input!",RSE_Setup!$B$16,ROW()+1))),"",INDIRECT(CONCATENATE("Input!",RSE_Setup!$B$16,ROW()+1)))</f>
        <v>5.0000000000000001E-4</v>
      </c>
      <c r="B83" s="1" cm="1">
        <f t="array" aca="1" ref="B83" ca="1">IF(ISBLANK(INDIRECT(CONCATENATE("Input!",RSE_Setup!$B$17,ROW()+1))),"",INDIRECT(CONCATENATE("Input!",RSE_Setup!$B$17,ROW()+1)))</f>
        <v>6.4999999999999997E-3</v>
      </c>
      <c r="C83" s="1" cm="1">
        <f t="array" aca="1" ref="C83" ca="1">IF(ISBLANK(INDIRECT(CONCATENATE("Input!",RSE_Setup!$B$18,ROW()+1))),"",INDIRECT(CONCATENATE("Input!",RSE_Setup!$B$18,ROW()+1)))</f>
        <v>5.5556000000000001E-2</v>
      </c>
      <c r="D83" s="1" cm="1">
        <f t="array" aca="1" ref="D83" ca="1">IF(ISBLANK(INDIRECT(CONCATENATE("Input!",RSE_Setup!$B$19,ROW()+1))),"",INDIRECT(CONCATENATE("Input!",RSE_Setup!$B$19,ROW()+1)))</f>
        <v>3375</v>
      </c>
      <c r="E83" s="1" cm="1">
        <f t="array" aca="1" ref="E83" ca="1">IF(ISBLANK(INDIRECT(CONCATENATE("Input!",RSE_Setup!$B$23,ROW()+1))),"",INDIRECT(CONCATENATE("Input!",RSE_Setup!$B$23,ROW()+1)))</f>
        <v>297.40843100000001</v>
      </c>
      <c r="F83" s="1">
        <f ca="1"/>
        <v>291.80279558910286</v>
      </c>
    </row>
    <row r="84" spans="1:6" x14ac:dyDescent="0.3">
      <c r="A84" s="1" cm="1">
        <f t="array" aca="1" ref="A84" ca="1">IF(ISBLANK(INDIRECT(CONCATENATE("Input!",RSE_Setup!$B$16,ROW()+1))),"",INDIRECT(CONCATENATE("Input!",RSE_Setup!$B$16,ROW()+1)))</f>
        <v>5.0000000000000001E-4</v>
      </c>
      <c r="B84" s="1" cm="1">
        <f t="array" aca="1" ref="B84" ca="1">IF(ISBLANK(INDIRECT(CONCATENATE("Input!",RSE_Setup!$B$17,ROW()+1))),"",INDIRECT(CONCATENATE("Input!",RSE_Setup!$B$17,ROW()+1)))</f>
        <v>6.4999999999999997E-3</v>
      </c>
      <c r="C84" s="1" cm="1">
        <f t="array" aca="1" ref="C84" ca="1">IF(ISBLANK(INDIRECT(CONCATENATE("Input!",RSE_Setup!$B$18,ROW()+1))),"",INDIRECT(CONCATENATE("Input!",RSE_Setup!$B$18,ROW()+1)))</f>
        <v>5.5556000000000001E-2</v>
      </c>
      <c r="D84" s="1" cm="1">
        <f t="array" aca="1" ref="D84" ca="1">IF(ISBLANK(INDIRECT(CONCATENATE("Input!",RSE_Setup!$B$19,ROW()+1))),"",INDIRECT(CONCATENATE("Input!",RSE_Setup!$B$19,ROW()+1)))</f>
        <v>4500</v>
      </c>
      <c r="E84" s="1" cm="1">
        <f t="array" aca="1" ref="E84" ca="1">IF(ISBLANK(INDIRECT(CONCATENATE("Input!",RSE_Setup!$B$23,ROW()+1))),"",INDIRECT(CONCATENATE("Input!",RSE_Setup!$B$23,ROW()+1)))</f>
        <v>387.01195999999999</v>
      </c>
      <c r="F84" s="1">
        <f ca="1"/>
        <v>383.39595974349004</v>
      </c>
    </row>
    <row r="85" spans="1:6" x14ac:dyDescent="0.3">
      <c r="A85" s="1" cm="1">
        <f t="array" aca="1" ref="A85" ca="1">IF(ISBLANK(INDIRECT(CONCATENATE("Input!",RSE_Setup!$B$16,ROW()+1))),"",INDIRECT(CONCATENATE("Input!",RSE_Setup!$B$16,ROW()+1)))</f>
        <v>5.0000000000000001E-4</v>
      </c>
      <c r="B85" s="1" cm="1">
        <f t="array" aca="1" ref="B85" ca="1">IF(ISBLANK(INDIRECT(CONCATENATE("Input!",RSE_Setup!$B$17,ROW()+1))),"",INDIRECT(CONCATENATE("Input!",RSE_Setup!$B$17,ROW()+1)))</f>
        <v>6.4999999999999997E-3</v>
      </c>
      <c r="C85" s="1" cm="1">
        <f t="array" aca="1" ref="C85" ca="1">IF(ISBLANK(INDIRECT(CONCATENATE("Input!",RSE_Setup!$B$18,ROW()+1))),"",INDIRECT(CONCATENATE("Input!",RSE_Setup!$B$18,ROW()+1)))</f>
        <v>5.5556000000000001E-2</v>
      </c>
      <c r="D85" s="1" cm="1">
        <f t="array" aca="1" ref="D85" ca="1">IF(ISBLANK(INDIRECT(CONCATENATE("Input!",RSE_Setup!$B$19,ROW()+1))),"",INDIRECT(CONCATENATE("Input!",RSE_Setup!$B$19,ROW()+1)))</f>
        <v>6000</v>
      </c>
      <c r="E85" s="1" cm="1">
        <f t="array" aca="1" ref="E85" ca="1">IF(ISBLANK(INDIRECT(CONCATENATE("Input!",RSE_Setup!$B$23,ROW()+1))),"",INDIRECT(CONCATENATE("Input!",RSE_Setup!$B$23,ROW()+1)))</f>
        <v>497.28508399999998</v>
      </c>
      <c r="F85" s="1">
        <f ca="1"/>
        <v>505.05169269395026</v>
      </c>
    </row>
    <row r="86" spans="1:6" x14ac:dyDescent="0.3">
      <c r="A86" s="1" cm="1">
        <f t="array" aca="1" ref="A86" ca="1">IF(ISBLANK(INDIRECT(CONCATENATE("Input!",RSE_Setup!$B$16,ROW()+1))),"",INDIRECT(CONCATENATE("Input!",RSE_Setup!$B$16,ROW()+1)))</f>
        <v>5.0000000000000001E-4</v>
      </c>
      <c r="B86" s="1" cm="1">
        <f t="array" aca="1" ref="B86" ca="1">IF(ISBLANK(INDIRECT(CONCATENATE("Input!",RSE_Setup!$B$17,ROW()+1))),"",INDIRECT(CONCATENATE("Input!",RSE_Setup!$B$17,ROW()+1)))</f>
        <v>6.4999999999999997E-3</v>
      </c>
      <c r="C86" s="1" cm="1">
        <f t="array" aca="1" ref="C86" ca="1">IF(ISBLANK(INDIRECT(CONCATENATE("Input!",RSE_Setup!$B$18,ROW()+1))),"",INDIRECT(CONCATENATE("Input!",RSE_Setup!$B$18,ROW()+1)))</f>
        <v>3.2258000000000002E-2</v>
      </c>
      <c r="D86" s="1" cm="1">
        <f t="array" aca="1" ref="D86" ca="1">IF(ISBLANK(INDIRECT(CONCATENATE("Input!",RSE_Setup!$B$19,ROW()+1))),"",INDIRECT(CONCATENATE("Input!",RSE_Setup!$B$19,ROW()+1)))</f>
        <v>6000</v>
      </c>
      <c r="E86" s="1" cm="1">
        <f t="array" aca="1" ref="E86" ca="1">IF(ISBLANK(INDIRECT(CONCATENATE("Input!",RSE_Setup!$B$23,ROW()+1))),"",INDIRECT(CONCATENATE("Input!",RSE_Setup!$B$23,ROW()+1)))</f>
        <v>477.22157199999998</v>
      </c>
      <c r="F86" s="1">
        <f ca="1"/>
        <v>469.50760274633717</v>
      </c>
    </row>
    <row r="87" spans="1:6" x14ac:dyDescent="0.3">
      <c r="A87" s="1" cm="1">
        <f t="array" aca="1" ref="A87" ca="1">IF(ISBLANK(INDIRECT(CONCATENATE("Input!",RSE_Setup!$B$16,ROW()+1))),"",INDIRECT(CONCATENATE("Input!",RSE_Setup!$B$16,ROW()+1)))</f>
        <v>7.5000000000000002E-4</v>
      </c>
      <c r="B87" s="1" cm="1">
        <f t="array" aca="1" ref="B87" ca="1">IF(ISBLANK(INDIRECT(CONCATENATE("Input!",RSE_Setup!$B$17,ROW()+1))),"",INDIRECT(CONCATENATE("Input!",RSE_Setup!$B$17,ROW()+1)))</f>
        <v>4.0000000000000001E-3</v>
      </c>
      <c r="C87" s="1" cm="1">
        <f t="array" aca="1" ref="C87" ca="1">IF(ISBLANK(INDIRECT(CONCATENATE("Input!",RSE_Setup!$B$18,ROW()+1))),"",INDIRECT(CONCATENATE("Input!",RSE_Setup!$B$18,ROW()+1)))</f>
        <v>5.5556000000000001E-2</v>
      </c>
      <c r="D87" s="1" cm="1">
        <f t="array" aca="1" ref="D87" ca="1">IF(ISBLANK(INDIRECT(CONCATENATE("Input!",RSE_Setup!$B$19,ROW()+1))),"",INDIRECT(CONCATENATE("Input!",RSE_Setup!$B$19,ROW()+1)))</f>
        <v>3375</v>
      </c>
      <c r="E87" s="1" cm="1">
        <f t="array" aca="1" ref="E87" ca="1">IF(ISBLANK(INDIRECT(CONCATENATE("Input!",RSE_Setup!$B$23,ROW()+1))),"",INDIRECT(CONCATENATE("Input!",RSE_Setup!$B$23,ROW()+1)))</f>
        <v>275.48371800000001</v>
      </c>
      <c r="F87" s="1">
        <f ca="1"/>
        <v>270.36815131673393</v>
      </c>
    </row>
    <row r="88" spans="1:6" x14ac:dyDescent="0.3">
      <c r="A88" s="1" cm="1">
        <f t="array" aca="1" ref="A88" ca="1">IF(ISBLANK(INDIRECT(CONCATENATE("Input!",RSE_Setup!$B$16,ROW()+1))),"",INDIRECT(CONCATENATE("Input!",RSE_Setup!$B$16,ROW()+1)))</f>
        <v>7.5000000000000002E-4</v>
      </c>
      <c r="B88" s="1" cm="1">
        <f t="array" aca="1" ref="B88" ca="1">IF(ISBLANK(INDIRECT(CONCATENATE("Input!",RSE_Setup!$B$17,ROW()+1))),"",INDIRECT(CONCATENATE("Input!",RSE_Setup!$B$17,ROW()+1)))</f>
        <v>4.0000000000000001E-3</v>
      </c>
      <c r="C88" s="1" cm="1">
        <f t="array" aca="1" ref="C88" ca="1">IF(ISBLANK(INDIRECT(CONCATENATE("Input!",RSE_Setup!$B$18,ROW()+1))),"",INDIRECT(CONCATENATE("Input!",RSE_Setup!$B$18,ROW()+1)))</f>
        <v>5.5556000000000001E-2</v>
      </c>
      <c r="D88" s="1" cm="1">
        <f t="array" aca="1" ref="D88" ca="1">IF(ISBLANK(INDIRECT(CONCATENATE("Input!",RSE_Setup!$B$19,ROW()+1))),"",INDIRECT(CONCATENATE("Input!",RSE_Setup!$B$19,ROW()+1)))</f>
        <v>4500</v>
      </c>
      <c r="E88" s="1" cm="1">
        <f t="array" aca="1" ref="E88" ca="1">IF(ISBLANK(INDIRECT(CONCATENATE("Input!",RSE_Setup!$B$23,ROW()+1))),"",INDIRECT(CONCATENATE("Input!",RSE_Setup!$B$23,ROW()+1)))</f>
        <v>358.19341800000001</v>
      </c>
      <c r="F88" s="1">
        <f ca="1"/>
        <v>355.519388159779</v>
      </c>
    </row>
    <row r="89" spans="1:6" x14ac:dyDescent="0.3">
      <c r="A89" s="1" cm="1">
        <f t="array" aca="1" ref="A89" ca="1">IF(ISBLANK(INDIRECT(CONCATENATE("Input!",RSE_Setup!$B$16,ROW()+1))),"",INDIRECT(CONCATENATE("Input!",RSE_Setup!$B$16,ROW()+1)))</f>
        <v>7.5000000000000002E-4</v>
      </c>
      <c r="B89" s="1" cm="1">
        <f t="array" aca="1" ref="B89" ca="1">IF(ISBLANK(INDIRECT(CONCATENATE("Input!",RSE_Setup!$B$17,ROW()+1))),"",INDIRECT(CONCATENATE("Input!",RSE_Setup!$B$17,ROW()+1)))</f>
        <v>4.0000000000000001E-3</v>
      </c>
      <c r="C89" s="1" cm="1">
        <f t="array" aca="1" ref="C89" ca="1">IF(ISBLANK(INDIRECT(CONCATENATE("Input!",RSE_Setup!$B$18,ROW()+1))),"",INDIRECT(CONCATENATE("Input!",RSE_Setup!$B$18,ROW()+1)))</f>
        <v>5.5556000000000001E-2</v>
      </c>
      <c r="D89" s="1" cm="1">
        <f t="array" aca="1" ref="D89" ca="1">IF(ISBLANK(INDIRECT(CONCATENATE("Input!",RSE_Setup!$B$19,ROW()+1))),"",INDIRECT(CONCATENATE("Input!",RSE_Setup!$B$19,ROW()+1)))</f>
        <v>6000</v>
      </c>
      <c r="E89" s="1" cm="1">
        <f t="array" aca="1" ref="E89" ca="1">IF(ISBLANK(INDIRECT(CONCATENATE("Input!",RSE_Setup!$B$23,ROW()+1))),"",INDIRECT(CONCATENATE("Input!",RSE_Setup!$B$23,ROW()+1)))</f>
        <v>462.252115</v>
      </c>
      <c r="F89" s="1">
        <f ca="1"/>
        <v>468.58588469511648</v>
      </c>
    </row>
    <row r="90" spans="1:6" x14ac:dyDescent="0.3">
      <c r="A90" s="1" cm="1">
        <f t="array" aca="1" ref="A90" ca="1">IF(ISBLANK(INDIRECT(CONCATENATE("Input!",RSE_Setup!$B$16,ROW()+1))),"",INDIRECT(CONCATENATE("Input!",RSE_Setup!$B$16,ROW()+1)))</f>
        <v>7.5000000000000002E-4</v>
      </c>
      <c r="B90" s="1" cm="1">
        <f t="array" aca="1" ref="B90" ca="1">IF(ISBLANK(INDIRECT(CONCATENATE("Input!",RSE_Setup!$B$17,ROW()+1))),"",INDIRECT(CONCATENATE("Input!",RSE_Setup!$B$17,ROW()+1)))</f>
        <v>4.0000000000000001E-3</v>
      </c>
      <c r="C90" s="1" cm="1">
        <f t="array" aca="1" ref="C90" ca="1">IF(ISBLANK(INDIRECT(CONCATENATE("Input!",RSE_Setup!$B$18,ROW()+1))),"",INDIRECT(CONCATENATE("Input!",RSE_Setup!$B$18,ROW()+1)))</f>
        <v>3.2258000000000002E-2</v>
      </c>
      <c r="D90" s="1" cm="1">
        <f t="array" aca="1" ref="D90" ca="1">IF(ISBLANK(INDIRECT(CONCATENATE("Input!",RSE_Setup!$B$19,ROW()+1))),"",INDIRECT(CONCATENATE("Input!",RSE_Setup!$B$19,ROW()+1)))</f>
        <v>6000</v>
      </c>
      <c r="E90" s="1" cm="1">
        <f t="array" aca="1" ref="E90" ca="1">IF(ISBLANK(INDIRECT(CONCATENATE("Input!",RSE_Setup!$B$23,ROW()+1))),"",INDIRECT(CONCATENATE("Input!",RSE_Setup!$B$23,ROW()+1)))</f>
        <v>436.82935600000002</v>
      </c>
      <c r="F90" s="1">
        <f ca="1"/>
        <v>431.79636624359966</v>
      </c>
    </row>
    <row r="91" spans="1:6" x14ac:dyDescent="0.3">
      <c r="A91" s="1" cm="1">
        <f t="array" aca="1" ref="A91" ca="1">IF(ISBLANK(INDIRECT(CONCATENATE("Input!",RSE_Setup!$B$16,ROW()+1))),"",INDIRECT(CONCATENATE("Input!",RSE_Setup!$B$16,ROW()+1)))</f>
        <v>7.5000000000000002E-4</v>
      </c>
      <c r="B91" s="1" cm="1">
        <f t="array" aca="1" ref="B91" ca="1">IF(ISBLANK(INDIRECT(CONCATENATE("Input!",RSE_Setup!$B$17,ROW()+1))),"",INDIRECT(CONCATENATE("Input!",RSE_Setup!$B$17,ROW()+1)))</f>
        <v>6.0000000000000001E-3</v>
      </c>
      <c r="C91" s="1" cm="1">
        <f t="array" aca="1" ref="C91" ca="1">IF(ISBLANK(INDIRECT(CONCATENATE("Input!",RSE_Setup!$B$18,ROW()+1))),"",INDIRECT(CONCATENATE("Input!",RSE_Setup!$B$18,ROW()+1)))</f>
        <v>5.5556000000000001E-2</v>
      </c>
      <c r="D91" s="1" cm="1">
        <f t="array" aca="1" ref="D91" ca="1">IF(ISBLANK(INDIRECT(CONCATENATE("Input!",RSE_Setup!$B$19,ROW()+1))),"",INDIRECT(CONCATENATE("Input!",RSE_Setup!$B$19,ROW()+1)))</f>
        <v>3375</v>
      </c>
      <c r="E91" s="1" cm="1">
        <f t="array" aca="1" ref="E91" ca="1">IF(ISBLANK(INDIRECT(CONCATENATE("Input!",RSE_Setup!$B$23,ROW()+1))),"",INDIRECT(CONCATENATE("Input!",RSE_Setup!$B$23,ROW()+1)))</f>
        <v>304.72173400000003</v>
      </c>
      <c r="F91" s="1">
        <f ca="1"/>
        <v>298.81249028859901</v>
      </c>
    </row>
    <row r="92" spans="1:6" x14ac:dyDescent="0.3">
      <c r="A92" s="1" cm="1">
        <f t="array" aca="1" ref="A92" ca="1">IF(ISBLANK(INDIRECT(CONCATENATE("Input!",RSE_Setup!$B$16,ROW()+1))),"",INDIRECT(CONCATENATE("Input!",RSE_Setup!$B$16,ROW()+1)))</f>
        <v>7.5000000000000002E-4</v>
      </c>
      <c r="B92" s="1" cm="1">
        <f t="array" aca="1" ref="B92" ca="1">IF(ISBLANK(INDIRECT(CONCATENATE("Input!",RSE_Setup!$B$17,ROW()+1))),"",INDIRECT(CONCATENATE("Input!",RSE_Setup!$B$17,ROW()+1)))</f>
        <v>6.0000000000000001E-3</v>
      </c>
      <c r="C92" s="1" cm="1">
        <f t="array" aca="1" ref="C92" ca="1">IF(ISBLANK(INDIRECT(CONCATENATE("Input!",RSE_Setup!$B$18,ROW()+1))),"",INDIRECT(CONCATENATE("Input!",RSE_Setup!$B$18,ROW()+1)))</f>
        <v>5.5556000000000001E-2</v>
      </c>
      <c r="D92" s="1" cm="1">
        <f t="array" aca="1" ref="D92" ca="1">IF(ISBLANK(INDIRECT(CONCATENATE("Input!",RSE_Setup!$B$19,ROW()+1))),"",INDIRECT(CONCATENATE("Input!",RSE_Setup!$B$19,ROW()+1)))</f>
        <v>4500</v>
      </c>
      <c r="E92" s="1" cm="1">
        <f t="array" aca="1" ref="E92" ca="1">IF(ISBLANK(INDIRECT(CONCATENATE("Input!",RSE_Setup!$B$23,ROW()+1))),"",INDIRECT(CONCATENATE("Input!",RSE_Setup!$B$23,ROW()+1)))</f>
        <v>396.90722199999999</v>
      </c>
      <c r="F92" s="1">
        <f ca="1"/>
        <v>392.77943445541024</v>
      </c>
    </row>
    <row r="93" spans="1:6" x14ac:dyDescent="0.3">
      <c r="A93" s="1" cm="1">
        <f t="array" aca="1" ref="A93" ca="1">IF(ISBLANK(INDIRECT(CONCATENATE("Input!",RSE_Setup!$B$16,ROW()+1))),"",INDIRECT(CONCATENATE("Input!",RSE_Setup!$B$16,ROW()+1)))</f>
        <v>7.5000000000000002E-4</v>
      </c>
      <c r="B93" s="1" cm="1">
        <f t="array" aca="1" ref="B93" ca="1">IF(ISBLANK(INDIRECT(CONCATENATE("Input!",RSE_Setup!$B$17,ROW()+1))),"",INDIRECT(CONCATENATE("Input!",RSE_Setup!$B$17,ROW()+1)))</f>
        <v>6.0000000000000001E-3</v>
      </c>
      <c r="C93" s="1" cm="1">
        <f t="array" aca="1" ref="C93" ca="1">IF(ISBLANK(INDIRECT(CONCATENATE("Input!",RSE_Setup!$B$18,ROW()+1))),"",INDIRECT(CONCATENATE("Input!",RSE_Setup!$B$18,ROW()+1)))</f>
        <v>5.5556000000000001E-2</v>
      </c>
      <c r="D93" s="1" cm="1">
        <f t="array" aca="1" ref="D93" ca="1">IF(ISBLANK(INDIRECT(CONCATENATE("Input!",RSE_Setup!$B$19,ROW()+1))),"",INDIRECT(CONCATENATE("Input!",RSE_Setup!$B$19,ROW()+1)))</f>
        <v>6000</v>
      </c>
      <c r="E93" s="1" cm="1">
        <f t="array" aca="1" ref="E93" ca="1">IF(ISBLANK(INDIRECT(CONCATENATE("Input!",RSE_Setup!$B$23,ROW()+1))),"",INDIRECT(CONCATENATE("Input!",RSE_Setup!$B$23,ROW()+1)))</f>
        <v>509.90367500000002</v>
      </c>
      <c r="F93" s="1">
        <f ca="1"/>
        <v>517.60020742243591</v>
      </c>
    </row>
    <row r="94" spans="1:6" x14ac:dyDescent="0.3">
      <c r="A94" s="1" cm="1">
        <f t="array" aca="1" ref="A94" ca="1">IF(ISBLANK(INDIRECT(CONCATENATE("Input!",RSE_Setup!$B$16,ROW()+1))),"",INDIRECT(CONCATENATE("Input!",RSE_Setup!$B$16,ROW()+1)))</f>
        <v>7.5000000000000002E-4</v>
      </c>
      <c r="B94" s="1" cm="1">
        <f t="array" aca="1" ref="B94" ca="1">IF(ISBLANK(INDIRECT(CONCATENATE("Input!",RSE_Setup!$B$17,ROW()+1))),"",INDIRECT(CONCATENATE("Input!",RSE_Setup!$B$17,ROW()+1)))</f>
        <v>6.0000000000000001E-3</v>
      </c>
      <c r="C94" s="1" cm="1">
        <f t="array" aca="1" ref="C94" ca="1">IF(ISBLANK(INDIRECT(CONCATENATE("Input!",RSE_Setup!$B$18,ROW()+1))),"",INDIRECT(CONCATENATE("Input!",RSE_Setup!$B$18,ROW()+1)))</f>
        <v>3.2258000000000002E-2</v>
      </c>
      <c r="D94" s="1" cm="1">
        <f t="array" aca="1" ref="D94" ca="1">IF(ISBLANK(INDIRECT(CONCATENATE("Input!",RSE_Setup!$B$19,ROW()+1))),"",INDIRECT(CONCATENATE("Input!",RSE_Setup!$B$19,ROW()+1)))</f>
        <v>6000</v>
      </c>
      <c r="E94" s="1" cm="1">
        <f t="array" aca="1" ref="E94" ca="1">IF(ISBLANK(INDIRECT(CONCATENATE("Input!",RSE_Setup!$B$23,ROW()+1))),"",INDIRECT(CONCATENATE("Input!",RSE_Setup!$B$23,ROW()+1)))</f>
        <v>490.93437499999999</v>
      </c>
      <c r="F94" s="1">
        <f ca="1"/>
        <v>481.94428592338443</v>
      </c>
    </row>
    <row r="95" spans="1:6" x14ac:dyDescent="0.3">
      <c r="A95" s="1" cm="1">
        <f t="array" aca="1" ref="A95" ca="1">IF(ISBLANK(INDIRECT(CONCATENATE("Input!",RSE_Setup!$B$16,ROW()+1))),"",INDIRECT(CONCATENATE("Input!",RSE_Setup!$B$16,ROW()+1)))</f>
        <v>7.5000000000000002E-4</v>
      </c>
      <c r="B95" s="1" cm="1">
        <f t="array" aca="1" ref="B95" ca="1">IF(ISBLANK(INDIRECT(CONCATENATE("Input!",RSE_Setup!$B$17,ROW()+1))),"",INDIRECT(CONCATENATE("Input!",RSE_Setup!$B$17,ROW()+1)))</f>
        <v>8.0000000000000002E-3</v>
      </c>
      <c r="C95" s="1" cm="1">
        <f t="array" aca="1" ref="C95" ca="1">IF(ISBLANK(INDIRECT(CONCATENATE("Input!",RSE_Setup!$B$18,ROW()+1))),"",INDIRECT(CONCATENATE("Input!",RSE_Setup!$B$18,ROW()+1)))</f>
        <v>5.5556000000000001E-2</v>
      </c>
      <c r="D95" s="1" cm="1">
        <f t="array" aca="1" ref="D95" ca="1">IF(ISBLANK(INDIRECT(CONCATENATE("Input!",RSE_Setup!$B$19,ROW()+1))),"",INDIRECT(CONCATENATE("Input!",RSE_Setup!$B$19,ROW()+1)))</f>
        <v>4500</v>
      </c>
      <c r="E95" s="1" cm="1">
        <f t="array" aca="1" ref="E95" ca="1">IF(ISBLANK(INDIRECT(CONCATENATE("Input!",RSE_Setup!$B$23,ROW()+1))),"",INDIRECT(CONCATENATE("Input!",RSE_Setup!$B$23,ROW()+1)))</f>
        <v>435.94275499999998</v>
      </c>
      <c r="F95" s="1">
        <f ca="1"/>
        <v>433.83597762652118</v>
      </c>
    </row>
    <row r="96" spans="1:6" x14ac:dyDescent="0.3">
      <c r="A96" s="1" cm="1">
        <f t="array" aca="1" ref="A96" ca="1">IF(ISBLANK(INDIRECT(CONCATENATE("Input!",RSE_Setup!$B$16,ROW()+1))),"",INDIRECT(CONCATENATE("Input!",RSE_Setup!$B$16,ROW()+1)))</f>
        <v>7.5000000000000002E-4</v>
      </c>
      <c r="B96" s="1" cm="1">
        <f t="array" aca="1" ref="B96" ca="1">IF(ISBLANK(INDIRECT(CONCATENATE("Input!",RSE_Setup!$B$17,ROW()+1))),"",INDIRECT(CONCATENATE("Input!",RSE_Setup!$B$17,ROW()+1)))</f>
        <v>8.0000000000000002E-3</v>
      </c>
      <c r="C96" s="1" cm="1">
        <f t="array" aca="1" ref="C96" ca="1">IF(ISBLANK(INDIRECT(CONCATENATE("Input!",RSE_Setup!$B$18,ROW()+1))),"",INDIRECT(CONCATENATE("Input!",RSE_Setup!$B$18,ROW()+1)))</f>
        <v>5.5556000000000001E-2</v>
      </c>
      <c r="D96" s="1" cm="1">
        <f t="array" aca="1" ref="D96" ca="1">IF(ISBLANK(INDIRECT(CONCATENATE("Input!",RSE_Setup!$B$19,ROW()+1))),"",INDIRECT(CONCATENATE("Input!",RSE_Setup!$B$19,ROW()+1)))</f>
        <v>6000</v>
      </c>
      <c r="E96" s="1" cm="1">
        <f t="array" aca="1" ref="E96" ca="1">IF(ISBLANK(INDIRECT(CONCATENATE("Input!",RSE_Setup!$B$23,ROW()+1))),"",INDIRECT(CONCATENATE("Input!",RSE_Setup!$B$23,ROW()+1)))</f>
        <v>561.82315300000005</v>
      </c>
      <c r="F96" s="1">
        <f ca="1"/>
        <v>570.41102702523494</v>
      </c>
    </row>
    <row r="97" spans="1:6" x14ac:dyDescent="0.3">
      <c r="A97" s="1" cm="1">
        <f t="array" aca="1" ref="A97" ca="1">IF(ISBLANK(INDIRECT(CONCATENATE("Input!",RSE_Setup!$B$16,ROW()+1))),"",INDIRECT(CONCATENATE("Input!",RSE_Setup!$B$16,ROW()+1)))</f>
        <v>7.5000000000000002E-4</v>
      </c>
      <c r="B97" s="1" cm="1">
        <f t="array" aca="1" ref="B97" ca="1">IF(ISBLANK(INDIRECT(CONCATENATE("Input!",RSE_Setup!$B$17,ROW()+1))),"",INDIRECT(CONCATENATE("Input!",RSE_Setup!$B$17,ROW()+1)))</f>
        <v>8.0000000000000002E-3</v>
      </c>
      <c r="C97" s="1" cm="1">
        <f t="array" aca="1" ref="C97" ca="1">IF(ISBLANK(INDIRECT(CONCATENATE("Input!",RSE_Setup!$B$18,ROW()+1))),"",INDIRECT(CONCATENATE("Input!",RSE_Setup!$B$18,ROW()+1)))</f>
        <v>3.2258000000000002E-2</v>
      </c>
      <c r="D97" s="1" cm="1">
        <f t="array" aca="1" ref="D97" ca="1">IF(ISBLANK(INDIRECT(CONCATENATE("Input!",RSE_Setup!$B$19,ROW()+1))),"",INDIRECT(CONCATENATE("Input!",RSE_Setup!$B$19,ROW()+1)))</f>
        <v>6000</v>
      </c>
      <c r="E97" s="1" cm="1">
        <f t="array" aca="1" ref="E97" ca="1">IF(ISBLANK(INDIRECT(CONCATENATE("Input!",RSE_Setup!$B$23,ROW()+1))),"",INDIRECT(CONCATENATE("Input!",RSE_Setup!$B$23,ROW()+1)))</f>
        <v>546.49482699999999</v>
      </c>
      <c r="F97" s="1">
        <f ca="1"/>
        <v>535.88870247864907</v>
      </c>
    </row>
    <row r="98" spans="1:6" x14ac:dyDescent="0.3">
      <c r="A98" s="1" cm="1">
        <f t="array" aca="1" ref="A98" ca="1">IF(ISBLANK(INDIRECT(CONCATENATE("Input!",RSE_Setup!$B$16,ROW()+1))),"",INDIRECT(CONCATENATE("Input!",RSE_Setup!$B$16,ROW()+1)))</f>
        <v>1E-3</v>
      </c>
      <c r="B98" s="1" cm="1">
        <f t="array" aca="1" ref="B98" ca="1">IF(ISBLANK(INDIRECT(CONCATENATE("Input!",RSE_Setup!$B$17,ROW()+1))),"",INDIRECT(CONCATENATE("Input!",RSE_Setup!$B$17,ROW()+1)))</f>
        <v>5.0000000000000001E-3</v>
      </c>
      <c r="C98" s="1" cm="1">
        <f t="array" aca="1" ref="C98" ca="1">IF(ISBLANK(INDIRECT(CONCATENATE("Input!",RSE_Setup!$B$18,ROW()+1))),"",INDIRECT(CONCATENATE("Input!",RSE_Setup!$B$18,ROW()+1)))</f>
        <v>5.5556000000000001E-2</v>
      </c>
      <c r="D98" s="1" cm="1">
        <f t="array" aca="1" ref="D98" ca="1">IF(ISBLANK(INDIRECT(CONCATENATE("Input!",RSE_Setup!$B$19,ROW()+1))),"",INDIRECT(CONCATENATE("Input!",RSE_Setup!$B$19,ROW()+1)))</f>
        <v>3375</v>
      </c>
      <c r="E98" s="1" cm="1">
        <f t="array" aca="1" ref="E98" ca="1">IF(ISBLANK(INDIRECT(CONCATENATE("Input!",RSE_Setup!$B$23,ROW()+1))),"",INDIRECT(CONCATENATE("Input!",RSE_Setup!$B$23,ROW()+1)))</f>
        <v>304.16200700000002</v>
      </c>
      <c r="F98" s="1">
        <f ca="1"/>
        <v>299.02067978974662</v>
      </c>
    </row>
    <row r="99" spans="1:6" x14ac:dyDescent="0.3">
      <c r="A99" s="1" cm="1">
        <f t="array" aca="1" ref="A99" ca="1">IF(ISBLANK(INDIRECT(CONCATENATE("Input!",RSE_Setup!$B$16,ROW()+1))),"",INDIRECT(CONCATENATE("Input!",RSE_Setup!$B$16,ROW()+1)))</f>
        <v>1E-3</v>
      </c>
      <c r="B99" s="1" cm="1">
        <f t="array" aca="1" ref="B99" ca="1">IF(ISBLANK(INDIRECT(CONCATENATE("Input!",RSE_Setup!$B$17,ROW()+1))),"",INDIRECT(CONCATENATE("Input!",RSE_Setup!$B$17,ROW()+1)))</f>
        <v>5.0000000000000001E-3</v>
      </c>
      <c r="C99" s="1" cm="1">
        <f t="array" aca="1" ref="C99" ca="1">IF(ISBLANK(INDIRECT(CONCATENATE("Input!",RSE_Setup!$B$18,ROW()+1))),"",INDIRECT(CONCATENATE("Input!",RSE_Setup!$B$18,ROW()+1)))</f>
        <v>5.5556000000000001E-2</v>
      </c>
      <c r="D99" s="1" cm="1">
        <f t="array" aca="1" ref="D99" ca="1">IF(ISBLANK(INDIRECT(CONCATENATE("Input!",RSE_Setup!$B$19,ROW()+1))),"",INDIRECT(CONCATENATE("Input!",RSE_Setup!$B$19,ROW()+1)))</f>
        <v>4500</v>
      </c>
      <c r="E99" s="1" cm="1">
        <f t="array" aca="1" ref="E99" ca="1">IF(ISBLANK(INDIRECT(CONCATENATE("Input!",RSE_Setup!$B$23,ROW()+1))),"",INDIRECT(CONCATENATE("Input!",RSE_Setup!$B$23,ROW()+1)))</f>
        <v>395.88565299999999</v>
      </c>
      <c r="F99" s="1">
        <f ca="1"/>
        <v>393.15747713804041</v>
      </c>
    </row>
    <row r="100" spans="1:6" x14ac:dyDescent="0.3">
      <c r="A100" s="1" cm="1">
        <f t="array" aca="1" ref="A100" ca="1">IF(ISBLANK(INDIRECT(CONCATENATE("Input!",RSE_Setup!$B$16,ROW()+1))),"",INDIRECT(CONCATENATE("Input!",RSE_Setup!$B$16,ROW()+1)))</f>
        <v>1E-3</v>
      </c>
      <c r="B100" s="1" cm="1">
        <f t="array" aca="1" ref="B100" ca="1">IF(ISBLANK(INDIRECT(CONCATENATE("Input!",RSE_Setup!$B$17,ROW()+1))),"",INDIRECT(CONCATENATE("Input!",RSE_Setup!$B$17,ROW()+1)))</f>
        <v>5.0000000000000001E-3</v>
      </c>
      <c r="C100" s="1" cm="1">
        <f t="array" aca="1" ref="C100" ca="1">IF(ISBLANK(INDIRECT(CONCATENATE("Input!",RSE_Setup!$B$18,ROW()+1))),"",INDIRECT(CONCATENATE("Input!",RSE_Setup!$B$18,ROW()+1)))</f>
        <v>5.5556000000000001E-2</v>
      </c>
      <c r="D100" s="1" cm="1">
        <f t="array" aca="1" ref="D100" ca="1">IF(ISBLANK(INDIRECT(CONCATENATE("Input!",RSE_Setup!$B$19,ROW()+1))),"",INDIRECT(CONCATENATE("Input!",RSE_Setup!$B$19,ROW()+1)))</f>
        <v>6000</v>
      </c>
      <c r="E100" s="1" cm="1">
        <f t="array" aca="1" ref="E100" ca="1">IF(ISBLANK(INDIRECT(CONCATENATE("Input!",RSE_Setup!$B$23,ROW()+1))),"",INDIRECT(CONCATENATE("Input!",RSE_Setup!$B$23,ROW()+1)))</f>
        <v>509.95925499999998</v>
      </c>
      <c r="F100" s="1">
        <f ca="1"/>
        <v>518.20472101370933</v>
      </c>
    </row>
    <row r="101" spans="1:6" x14ac:dyDescent="0.3">
      <c r="A101" s="1" cm="1">
        <f t="array" aca="1" ref="A101" ca="1">IF(ISBLANK(INDIRECT(CONCATENATE("Input!",RSE_Setup!$B$16,ROW()+1))),"",INDIRECT(CONCATENATE("Input!",RSE_Setup!$B$16,ROW()+1)))</f>
        <v>1E-3</v>
      </c>
      <c r="B101" s="1" cm="1">
        <f t="array" aca="1" ref="B101" ca="1">IF(ISBLANK(INDIRECT(CONCATENATE("Input!",RSE_Setup!$B$17,ROW()+1))),"",INDIRECT(CONCATENATE("Input!",RSE_Setup!$B$17,ROW()+1)))</f>
        <v>5.0000000000000001E-3</v>
      </c>
      <c r="C101" s="1" cm="1">
        <f t="array" aca="1" ref="C101" ca="1">IF(ISBLANK(INDIRECT(CONCATENATE("Input!",RSE_Setup!$B$18,ROW()+1))),"",INDIRECT(CONCATENATE("Input!",RSE_Setup!$B$18,ROW()+1)))</f>
        <v>3.2258000000000002E-2</v>
      </c>
      <c r="D101" s="1" cm="1">
        <f t="array" aca="1" ref="D101" ca="1">IF(ISBLANK(INDIRECT(CONCATENATE("Input!",RSE_Setup!$B$19,ROW()+1))),"",INDIRECT(CONCATENATE("Input!",RSE_Setup!$B$19,ROW()+1)))</f>
        <v>6000</v>
      </c>
      <c r="E101" s="1" cm="1">
        <f t="array" aca="1" ref="E101" ca="1">IF(ISBLANK(INDIRECT(CONCATENATE("Input!",RSE_Setup!$B$23,ROW()+1))),"",INDIRECT(CONCATENATE("Input!",RSE_Setup!$B$23,ROW()+1)))</f>
        <v>491.35038800000001</v>
      </c>
      <c r="F101" s="1">
        <f ca="1"/>
        <v>482.15356872510347</v>
      </c>
    </row>
    <row r="102" spans="1:6" x14ac:dyDescent="0.3">
      <c r="A102" s="1" cm="1">
        <f t="array" aca="1" ref="A102" ca="1">IF(ISBLANK(INDIRECT(CONCATENATE("Input!",RSE_Setup!$B$16,ROW()+1))),"",INDIRECT(CONCATENATE("Input!",RSE_Setup!$B$16,ROW()+1)))</f>
        <v>1E-3</v>
      </c>
      <c r="B102" s="1" cm="1">
        <f t="array" aca="1" ref="B102" ca="1">IF(ISBLANK(INDIRECT(CONCATENATE("Input!",RSE_Setup!$B$17,ROW()+1))),"",INDIRECT(CONCATENATE("Input!",RSE_Setup!$B$17,ROW()+1)))</f>
        <v>6.4999999999999997E-3</v>
      </c>
      <c r="C102" s="1" cm="1">
        <f t="array" aca="1" ref="C102" ca="1">IF(ISBLANK(INDIRECT(CONCATENATE("Input!",RSE_Setup!$B$18,ROW()+1))),"",INDIRECT(CONCATENATE("Input!",RSE_Setup!$B$18,ROW()+1)))</f>
        <v>5.5556000000000001E-2</v>
      </c>
      <c r="D102" s="1" cm="1">
        <f t="array" aca="1" ref="D102" ca="1">IF(ISBLANK(INDIRECT(CONCATENATE("Input!",RSE_Setup!$B$19,ROW()+1))),"",INDIRECT(CONCATENATE("Input!",RSE_Setup!$B$19,ROW()+1)))</f>
        <v>3375</v>
      </c>
      <c r="E102" s="1" cm="1">
        <f t="array" aca="1" ref="E102" ca="1">IF(ISBLANK(INDIRECT(CONCATENATE("Input!",RSE_Setup!$B$23,ROW()+1))),"",INDIRECT(CONCATENATE("Input!",RSE_Setup!$B$23,ROW()+1)))</f>
        <v>326.257654</v>
      </c>
      <c r="F102" s="1">
        <f ca="1"/>
        <v>321.63244381161439</v>
      </c>
    </row>
    <row r="103" spans="1:6" x14ac:dyDescent="0.3">
      <c r="A103" s="1" cm="1">
        <f t="array" aca="1" ref="A103" ca="1">IF(ISBLANK(INDIRECT(CONCATENATE("Input!",RSE_Setup!$B$16,ROW()+1))),"",INDIRECT(CONCATENATE("Input!",RSE_Setup!$B$16,ROW()+1)))</f>
        <v>1E-3</v>
      </c>
      <c r="B103" s="1" cm="1">
        <f t="array" aca="1" ref="B103" ca="1">IF(ISBLANK(INDIRECT(CONCATENATE("Input!",RSE_Setup!$B$17,ROW()+1))),"",INDIRECT(CONCATENATE("Input!",RSE_Setup!$B$17,ROW()+1)))</f>
        <v>6.4999999999999997E-3</v>
      </c>
      <c r="C103" s="1" cm="1">
        <f t="array" aca="1" ref="C103" ca="1">IF(ISBLANK(INDIRECT(CONCATENATE("Input!",RSE_Setup!$B$18,ROW()+1))),"",INDIRECT(CONCATENATE("Input!",RSE_Setup!$B$18,ROW()+1)))</f>
        <v>5.5556000000000001E-2</v>
      </c>
      <c r="D103" s="1" cm="1">
        <f t="array" aca="1" ref="D103" ca="1">IF(ISBLANK(INDIRECT(CONCATENATE("Input!",RSE_Setup!$B$19,ROW()+1))),"",INDIRECT(CONCATENATE("Input!",RSE_Setup!$B$19,ROW()+1)))</f>
        <v>4500</v>
      </c>
      <c r="E103" s="1" cm="1">
        <f t="array" aca="1" ref="E103" ca="1">IF(ISBLANK(INDIRECT(CONCATENATE("Input!",RSE_Setup!$B$23,ROW()+1))),"",INDIRECT(CONCATENATE("Input!",RSE_Setup!$B$23,ROW()+1)))</f>
        <v>425.10857700000003</v>
      </c>
      <c r="F103" s="1">
        <f ca="1"/>
        <v>422.38102165273278</v>
      </c>
    </row>
    <row r="104" spans="1:6" x14ac:dyDescent="0.3">
      <c r="A104" s="1" cm="1">
        <f t="array" aca="1" ref="A104" ca="1">IF(ISBLANK(INDIRECT(CONCATENATE("Input!",RSE_Setup!$B$16,ROW()+1))),"",INDIRECT(CONCATENATE("Input!",RSE_Setup!$B$16,ROW()+1)))</f>
        <v>1E-3</v>
      </c>
      <c r="B104" s="1" cm="1">
        <f t="array" aca="1" ref="B104" ca="1">IF(ISBLANK(INDIRECT(CONCATENATE("Input!",RSE_Setup!$B$17,ROW()+1))),"",INDIRECT(CONCATENATE("Input!",RSE_Setup!$B$17,ROW()+1)))</f>
        <v>6.4999999999999997E-3</v>
      </c>
      <c r="C104" s="1" cm="1">
        <f t="array" aca="1" ref="C104" ca="1">IF(ISBLANK(INDIRECT(CONCATENATE("Input!",RSE_Setup!$B$18,ROW()+1))),"",INDIRECT(CONCATENATE("Input!",RSE_Setup!$B$18,ROW()+1)))</f>
        <v>5.5556000000000001E-2</v>
      </c>
      <c r="D104" s="1" cm="1">
        <f t="array" aca="1" ref="D104" ca="1">IF(ISBLANK(INDIRECT(CONCATENATE("Input!",RSE_Setup!$B$19,ROW()+1))),"",INDIRECT(CONCATENATE("Input!",RSE_Setup!$B$19,ROW()+1)))</f>
        <v>6000</v>
      </c>
      <c r="E104" s="1" cm="1">
        <f t="array" aca="1" ref="E104" ca="1">IF(ISBLANK(INDIRECT(CONCATENATE("Input!",RSE_Setup!$B$23,ROW()+1))),"",INDIRECT(CONCATENATE("Input!",RSE_Setup!$B$23,ROW()+1)))</f>
        <v>546.60625100000004</v>
      </c>
      <c r="F104" s="1">
        <f ca="1"/>
        <v>556.24397285216787</v>
      </c>
    </row>
    <row r="105" spans="1:6" x14ac:dyDescent="0.3">
      <c r="A105" s="1" cm="1">
        <f t="array" aca="1" ref="A105" ca="1">IF(ISBLANK(INDIRECT(CONCATENATE("Input!",RSE_Setup!$B$16,ROW()+1))),"",INDIRECT(CONCATENATE("Input!",RSE_Setup!$B$16,ROW()+1)))</f>
        <v>1E-3</v>
      </c>
      <c r="B105" s="1" cm="1">
        <f t="array" aca="1" ref="B105" ca="1">IF(ISBLANK(INDIRECT(CONCATENATE("Input!",RSE_Setup!$B$17,ROW()+1))),"",INDIRECT(CONCATENATE("Input!",RSE_Setup!$B$17,ROW()+1)))</f>
        <v>6.4999999999999997E-3</v>
      </c>
      <c r="C105" s="1" cm="1">
        <f t="array" aca="1" ref="C105" ca="1">IF(ISBLANK(INDIRECT(CONCATENATE("Input!",RSE_Setup!$B$18,ROW()+1))),"",INDIRECT(CONCATENATE("Input!",RSE_Setup!$B$18,ROW()+1)))</f>
        <v>3.2258000000000002E-2</v>
      </c>
      <c r="D105" s="1" cm="1">
        <f t="array" aca="1" ref="D105" ca="1">IF(ISBLANK(INDIRECT(CONCATENATE("Input!",RSE_Setup!$B$19,ROW()+1))),"",INDIRECT(CONCATENATE("Input!",RSE_Setup!$B$19,ROW()+1)))</f>
        <v>6000</v>
      </c>
      <c r="E105" s="1" cm="1">
        <f t="array" aca="1" ref="E105" ca="1">IF(ISBLANK(INDIRECT(CONCATENATE("Input!",RSE_Setup!$B$23,ROW()+1))),"",INDIRECT(CONCATENATE("Input!",RSE_Setup!$B$23,ROW()+1)))</f>
        <v>532.09544000000005</v>
      </c>
      <c r="F105" s="1">
        <f ca="1"/>
        <v>521.04301827791096</v>
      </c>
    </row>
    <row r="106" spans="1:6" x14ac:dyDescent="0.3">
      <c r="A106" s="1" cm="1">
        <f t="array" aca="1" ref="A106" ca="1">IF(ISBLANK(INDIRECT(CONCATENATE("Input!",RSE_Setup!$B$16,ROW()+1))),"",INDIRECT(CONCATENATE("Input!",RSE_Setup!$B$16,ROW()+1)))</f>
        <v>1E-3</v>
      </c>
      <c r="B106" s="1" cm="1">
        <f t="array" aca="1" ref="B106" ca="1">IF(ISBLANK(INDIRECT(CONCATENATE("Input!",RSE_Setup!$B$17,ROW()+1))),"",INDIRECT(CONCATENATE("Input!",RSE_Setup!$B$17,ROW()+1)))</f>
        <v>8.0000000000000002E-3</v>
      </c>
      <c r="C106" s="1" cm="1">
        <f t="array" aca="1" ref="C106" ca="1">IF(ISBLANK(INDIRECT(CONCATENATE("Input!",RSE_Setup!$B$18,ROW()+1))),"",INDIRECT(CONCATENATE("Input!",RSE_Setup!$B$18,ROW()+1)))</f>
        <v>5.5556000000000001E-2</v>
      </c>
      <c r="D106" s="1" cm="1">
        <f t="array" aca="1" ref="D106" ca="1">IF(ISBLANK(INDIRECT(CONCATENATE("Input!",RSE_Setup!$B$19,ROW()+1))),"",INDIRECT(CONCATENATE("Input!",RSE_Setup!$B$19,ROW()+1)))</f>
        <v>4500</v>
      </c>
      <c r="E106" s="1" cm="1">
        <f t="array" aca="1" ref="E106" ca="1">IF(ISBLANK(INDIRECT(CONCATENATE("Input!",RSE_Setup!$B$23,ROW()+1))),"",INDIRECT(CONCATENATE("Input!",RSE_Setup!$B$23,ROW()+1)))</f>
        <v>454.328282</v>
      </c>
      <c r="F106" s="1">
        <f ca="1"/>
        <v>453.74009565988251</v>
      </c>
    </row>
    <row r="107" spans="1:6" x14ac:dyDescent="0.3">
      <c r="A107" s="1" cm="1">
        <f t="array" aca="1" ref="A107" ca="1">IF(ISBLANK(INDIRECT(CONCATENATE("Input!",RSE_Setup!$B$16,ROW()+1))),"",INDIRECT(CONCATENATE("Input!",RSE_Setup!$B$16,ROW()+1)))</f>
        <v>1E-3</v>
      </c>
      <c r="B107" s="1" cm="1">
        <f t="array" aca="1" ref="B107" ca="1">IF(ISBLANK(INDIRECT(CONCATENATE("Input!",RSE_Setup!$B$17,ROW()+1))),"",INDIRECT(CONCATENATE("Input!",RSE_Setup!$B$17,ROW()+1)))</f>
        <v>8.0000000000000002E-3</v>
      </c>
      <c r="C107" s="1" cm="1">
        <f t="array" aca="1" ref="C107" ca="1">IF(ISBLANK(INDIRECT(CONCATENATE("Input!",RSE_Setup!$B$18,ROW()+1))),"",INDIRECT(CONCATENATE("Input!",RSE_Setup!$B$18,ROW()+1)))</f>
        <v>5.5556000000000001E-2</v>
      </c>
      <c r="D107" s="1" cm="1">
        <f t="array" aca="1" ref="D107" ca="1">IF(ISBLANK(INDIRECT(CONCATENATE("Input!",RSE_Setup!$B$19,ROW()+1))),"",INDIRECT(CONCATENATE("Input!",RSE_Setup!$B$19,ROW()+1)))</f>
        <v>6000</v>
      </c>
      <c r="E107" s="1" cm="1">
        <f t="array" aca="1" ref="E107" ca="1">IF(ISBLANK(INDIRECT(CONCATENATE("Input!",RSE_Setup!$B$23,ROW()+1))),"",INDIRECT(CONCATENATE("Input!",RSE_Setup!$B$23,ROW()+1)))</f>
        <v>587.19697199999996</v>
      </c>
      <c r="F107" s="1">
        <f ca="1"/>
        <v>596.41875418308382</v>
      </c>
    </row>
    <row r="108" spans="1:6" x14ac:dyDescent="0.3">
      <c r="A108" s="1" cm="1">
        <f t="array" aca="1" ref="A108" ca="1">IF(ISBLANK(INDIRECT(CONCATENATE("Input!",RSE_Setup!$B$16,ROW()+1))),"",INDIRECT(CONCATENATE("Input!",RSE_Setup!$B$16,ROW()+1)))</f>
        <v>1E-3</v>
      </c>
      <c r="B108" s="1" cm="1">
        <f t="array" aca="1" ref="B108" ca="1">IF(ISBLANK(INDIRECT(CONCATENATE("Input!",RSE_Setup!$B$17,ROW()+1))),"",INDIRECT(CONCATENATE("Input!",RSE_Setup!$B$17,ROW()+1)))</f>
        <v>8.0000000000000002E-3</v>
      </c>
      <c r="C108" s="1" cm="1">
        <f t="array" aca="1" ref="C108" ca="1">IF(ISBLANK(INDIRECT(CONCATENATE("Input!",RSE_Setup!$B$18,ROW()+1))),"",INDIRECT(CONCATENATE("Input!",RSE_Setup!$B$18,ROW()+1)))</f>
        <v>3.2258000000000002E-2</v>
      </c>
      <c r="D108" s="1" cm="1">
        <f t="array" aca="1" ref="D108" ca="1">IF(ISBLANK(INDIRECT(CONCATENATE("Input!",RSE_Setup!$B$19,ROW()+1))),"",INDIRECT(CONCATENATE("Input!",RSE_Setup!$B$19,ROW()+1)))</f>
        <v>6000</v>
      </c>
      <c r="E108" s="1" cm="1">
        <f t="array" aca="1" ref="E108" ca="1">IF(ISBLANK(INDIRECT(CONCATENATE("Input!",RSE_Setup!$B$23,ROW()+1))),"",INDIRECT(CONCATENATE("Input!",RSE_Setup!$B$23,ROW()+1)))</f>
        <v>573.00094899999999</v>
      </c>
      <c r="F108" s="1">
        <f ca="1"/>
        <v>562.06799732317586</v>
      </c>
    </row>
    <row r="109" spans="1:6" x14ac:dyDescent="0.3">
      <c r="A109" s="1" cm="1">
        <f t="array" aca="1" ref="A109" ca="1">IF(ISBLANK(INDIRECT(CONCATENATE("Input!",RSE_Setup!$B$16,ROW()+1))),"",INDIRECT(CONCATENATE("Input!",RSE_Setup!$B$16,ROW()+1)))</f>
        <v>2.9999999999999997E-4</v>
      </c>
      <c r="B109" s="1" cm="1">
        <f t="array" aca="1" ref="B109" ca="1">IF(ISBLANK(INDIRECT(CONCATENATE("Input!",RSE_Setup!$B$17,ROW()+1))),"",INDIRECT(CONCATENATE("Input!",RSE_Setup!$B$17,ROW()+1)))</f>
        <v>2E-3</v>
      </c>
      <c r="C109" s="1" cm="1">
        <f t="array" aca="1" ref="C109" ca="1">IF(ISBLANK(INDIRECT(CONCATENATE("Input!",RSE_Setup!$B$18,ROW()+1))),"",INDIRECT(CONCATENATE("Input!",RSE_Setup!$B$18,ROW()+1)))</f>
        <v>5.5556000000000001E-2</v>
      </c>
      <c r="D109" s="1" cm="1">
        <f t="array" aca="1" ref="D109" ca="1">IF(ISBLANK(INDIRECT(CONCATENATE("Input!",RSE_Setup!$B$19,ROW()+1))),"",INDIRECT(CONCATENATE("Input!",RSE_Setup!$B$19,ROW()+1)))</f>
        <v>5500</v>
      </c>
      <c r="E109" s="1" cm="1">
        <f t="array" aca="1" ref="E109" ca="1">IF(ISBLANK(INDIRECT(CONCATENATE("Input!",RSE_Setup!$B$23,ROW()+1))),"",INDIRECT(CONCATENATE("Input!",RSE_Setup!$B$23,ROW()+1)))</f>
        <v>354.14446700000002</v>
      </c>
      <c r="F109" s="1">
        <f ca="1"/>
        <v>349.03467385291719</v>
      </c>
    </row>
    <row r="110" spans="1:6" x14ac:dyDescent="0.3">
      <c r="A110" s="1" cm="1">
        <f t="array" aca="1" ref="A110" ca="1">IF(ISBLANK(INDIRECT(CONCATENATE("Input!",RSE_Setup!$B$16,ROW()+1))),"",INDIRECT(CONCATENATE("Input!",RSE_Setup!$B$16,ROW()+1)))</f>
        <v>2.9999999999999997E-4</v>
      </c>
      <c r="B110" s="1" cm="1">
        <f t="array" aca="1" ref="B110" ca="1">IF(ISBLANK(INDIRECT(CONCATENATE("Input!",RSE_Setup!$B$17,ROW()+1))),"",INDIRECT(CONCATENATE("Input!",RSE_Setup!$B$17,ROW()+1)))</f>
        <v>2E-3</v>
      </c>
      <c r="C110" s="1" cm="1">
        <f t="array" aca="1" ref="C110" ca="1">IF(ISBLANK(INDIRECT(CONCATENATE("Input!",RSE_Setup!$B$18,ROW()+1))),"",INDIRECT(CONCATENATE("Input!",RSE_Setup!$B$18,ROW()+1)))</f>
        <v>5.5556000000000001E-2</v>
      </c>
      <c r="D110" s="1" cm="1">
        <f t="array" aca="1" ref="D110" ca="1">IF(ISBLANK(INDIRECT(CONCATENATE("Input!",RSE_Setup!$B$19,ROW()+1))),"",INDIRECT(CONCATENATE("Input!",RSE_Setup!$B$19,ROW()+1)))</f>
        <v>7500</v>
      </c>
      <c r="E110" s="1" cm="1">
        <f t="array" aca="1" ref="E110" ca="1">IF(ISBLANK(INDIRECT(CONCATENATE("Input!",RSE_Setup!$B$23,ROW()+1))),"",INDIRECT(CONCATENATE("Input!",RSE_Setup!$B$23,ROW()+1)))</f>
        <v>466.30241999999998</v>
      </c>
      <c r="F110" s="1">
        <f ca="1"/>
        <v>468.87406933417981</v>
      </c>
    </row>
    <row r="111" spans="1:6" x14ac:dyDescent="0.3">
      <c r="A111" s="1" cm="1">
        <f t="array" aca="1" ref="A111" ca="1">IF(ISBLANK(INDIRECT(CONCATENATE("Input!",RSE_Setup!$B$16,ROW()+1))),"",INDIRECT(CONCATENATE("Input!",RSE_Setup!$B$16,ROW()+1)))</f>
        <v>2.9999999999999997E-4</v>
      </c>
      <c r="B111" s="1" cm="1">
        <f t="array" aca="1" ref="B111" ca="1">IF(ISBLANK(INDIRECT(CONCATENATE("Input!",RSE_Setup!$B$17,ROW()+1))),"",INDIRECT(CONCATENATE("Input!",RSE_Setup!$B$17,ROW()+1)))</f>
        <v>2E-3</v>
      </c>
      <c r="C111" s="1" cm="1">
        <f t="array" aca="1" ref="C111" ca="1">IF(ISBLANK(INDIRECT(CONCATENATE("Input!",RSE_Setup!$B$18,ROW()+1))),"",INDIRECT(CONCATENATE("Input!",RSE_Setup!$B$18,ROW()+1)))</f>
        <v>5.5556000000000001E-2</v>
      </c>
      <c r="D111" s="1" cm="1">
        <f t="array" aca="1" ref="D111" ca="1">IF(ISBLANK(INDIRECT(CONCATENATE("Input!",RSE_Setup!$B$19,ROW()+1))),"",INDIRECT(CONCATENATE("Input!",RSE_Setup!$B$19,ROW()+1)))</f>
        <v>9500</v>
      </c>
      <c r="E111" s="1" cm="1">
        <f t="array" aca="1" ref="E111" ca="1">IF(ISBLANK(INDIRECT(CONCATENATE("Input!",RSE_Setup!$B$23,ROW()+1))),"",INDIRECT(CONCATENATE("Input!",RSE_Setup!$B$23,ROW()+1)))</f>
        <v>590.48423300000002</v>
      </c>
      <c r="F111" s="1">
        <f ca="1"/>
        <v>587.76162040237614</v>
      </c>
    </row>
    <row r="112" spans="1:6" x14ac:dyDescent="0.3">
      <c r="A112" s="1" cm="1">
        <f t="array" aca="1" ref="A112" ca="1">IF(ISBLANK(INDIRECT(CONCATENATE("Input!",RSE_Setup!$B$16,ROW()+1))),"",INDIRECT(CONCATENATE("Input!",RSE_Setup!$B$16,ROW()+1)))</f>
        <v>2.9999999999999997E-4</v>
      </c>
      <c r="B112" s="1" cm="1">
        <f t="array" aca="1" ref="B112" ca="1">IF(ISBLANK(INDIRECT(CONCATENATE("Input!",RSE_Setup!$B$17,ROW()+1))),"",INDIRECT(CONCATENATE("Input!",RSE_Setup!$B$17,ROW()+1)))</f>
        <v>2E-3</v>
      </c>
      <c r="C112" s="1" cm="1">
        <f t="array" aca="1" ref="C112" ca="1">IF(ISBLANK(INDIRECT(CONCATENATE("Input!",RSE_Setup!$B$18,ROW()+1))),"",INDIRECT(CONCATENATE("Input!",RSE_Setup!$B$18,ROW()+1)))</f>
        <v>3.2258000000000002E-2</v>
      </c>
      <c r="D112" s="1" cm="1">
        <f t="array" aca="1" ref="D112" ca="1">IF(ISBLANK(INDIRECT(CONCATENATE("Input!",RSE_Setup!$B$19,ROW()+1))),"",INDIRECT(CONCATENATE("Input!",RSE_Setup!$B$19,ROW()+1)))</f>
        <v>9500</v>
      </c>
      <c r="E112" s="1" cm="1">
        <f t="array" aca="1" ref="E112" ca="1">IF(ISBLANK(INDIRECT(CONCATENATE("Input!",RSE_Setup!$B$23,ROW()+1))),"",INDIRECT(CONCATENATE("Input!",RSE_Setup!$B$23,ROW()+1)))</f>
        <v>539.50915499999996</v>
      </c>
      <c r="F112" s="1">
        <f ca="1"/>
        <v>530.17365216152484</v>
      </c>
    </row>
    <row r="113" spans="1:6" x14ac:dyDescent="0.3">
      <c r="A113" s="1" cm="1">
        <f t="array" aca="1" ref="A113" ca="1">IF(ISBLANK(INDIRECT(CONCATENATE("Input!",RSE_Setup!$B$16,ROW()+1))),"",INDIRECT(CONCATENATE("Input!",RSE_Setup!$B$16,ROW()+1)))</f>
        <v>2.9999999999999997E-4</v>
      </c>
      <c r="B113" s="1" cm="1">
        <f t="array" aca="1" ref="B113" ca="1">IF(ISBLANK(INDIRECT(CONCATENATE("Input!",RSE_Setup!$B$17,ROW()+1))),"",INDIRECT(CONCATENATE("Input!",RSE_Setup!$B$17,ROW()+1)))</f>
        <v>3.0000000000000001E-3</v>
      </c>
      <c r="C113" s="1" cm="1">
        <f t="array" aca="1" ref="C113" ca="1">IF(ISBLANK(INDIRECT(CONCATENATE("Input!",RSE_Setup!$B$18,ROW()+1))),"",INDIRECT(CONCATENATE("Input!",RSE_Setup!$B$18,ROW()+1)))</f>
        <v>5.5556000000000001E-2</v>
      </c>
      <c r="D113" s="1" cm="1">
        <f t="array" aca="1" ref="D113" ca="1">IF(ISBLANK(INDIRECT(CONCATENATE("Input!",RSE_Setup!$B$19,ROW()+1))),"",INDIRECT(CONCATENATE("Input!",RSE_Setup!$B$19,ROW()+1)))</f>
        <v>5500</v>
      </c>
      <c r="E113" s="1" cm="1">
        <f t="array" aca="1" ref="E113" ca="1">IF(ISBLANK(INDIRECT(CONCATENATE("Input!",RSE_Setup!$B$23,ROW()+1))),"",INDIRECT(CONCATENATE("Input!",RSE_Setup!$B$23,ROW()+1)))</f>
        <v>374.03551800000002</v>
      </c>
      <c r="F113" s="1">
        <f ca="1"/>
        <v>368.95708454136559</v>
      </c>
    </row>
    <row r="114" spans="1:6" x14ac:dyDescent="0.3">
      <c r="A114" s="1" cm="1">
        <f t="array" aca="1" ref="A114" ca="1">IF(ISBLANK(INDIRECT(CONCATENATE("Input!",RSE_Setup!$B$16,ROW()+1))),"",INDIRECT(CONCATENATE("Input!",RSE_Setup!$B$16,ROW()+1)))</f>
        <v>2.9999999999999997E-4</v>
      </c>
      <c r="B114" s="1" cm="1">
        <f t="array" aca="1" ref="B114" ca="1">IF(ISBLANK(INDIRECT(CONCATENATE("Input!",RSE_Setup!$B$17,ROW()+1))),"",INDIRECT(CONCATENATE("Input!",RSE_Setup!$B$17,ROW()+1)))</f>
        <v>3.0000000000000001E-3</v>
      </c>
      <c r="C114" s="1" cm="1">
        <f t="array" aca="1" ref="C114" ca="1">IF(ISBLANK(INDIRECT(CONCATENATE("Input!",RSE_Setup!$B$18,ROW()+1))),"",INDIRECT(CONCATENATE("Input!",RSE_Setup!$B$18,ROW()+1)))</f>
        <v>5.5556000000000001E-2</v>
      </c>
      <c r="D114" s="1" cm="1">
        <f t="array" aca="1" ref="D114" ca="1">IF(ISBLANK(INDIRECT(CONCATENATE("Input!",RSE_Setup!$B$19,ROW()+1))),"",INDIRECT(CONCATENATE("Input!",RSE_Setup!$B$19,ROW()+1)))</f>
        <v>7500</v>
      </c>
      <c r="E114" s="1" cm="1">
        <f t="array" aca="1" ref="E114" ca="1">IF(ISBLANK(INDIRECT(CONCATENATE("Input!",RSE_Setup!$B$23,ROW()+1))),"",INDIRECT(CONCATENATE("Input!",RSE_Setup!$B$23,ROW()+1)))</f>
        <v>494.37611299999998</v>
      </c>
      <c r="F114" s="1">
        <f ca="1"/>
        <v>496.63266431042035</v>
      </c>
    </row>
    <row r="115" spans="1:6" x14ac:dyDescent="0.3">
      <c r="A115" s="1" cm="1">
        <f t="array" aca="1" ref="A115" ca="1">IF(ISBLANK(INDIRECT(CONCATENATE("Input!",RSE_Setup!$B$16,ROW()+1))),"",INDIRECT(CONCATENATE("Input!",RSE_Setup!$B$16,ROW()+1)))</f>
        <v>2.9999999999999997E-4</v>
      </c>
      <c r="B115" s="1" cm="1">
        <f t="array" aca="1" ref="B115" ca="1">IF(ISBLANK(INDIRECT(CONCATENATE("Input!",RSE_Setup!$B$17,ROW()+1))),"",INDIRECT(CONCATENATE("Input!",RSE_Setup!$B$17,ROW()+1)))</f>
        <v>3.0000000000000001E-3</v>
      </c>
      <c r="C115" s="1" cm="1">
        <f t="array" aca="1" ref="C115" ca="1">IF(ISBLANK(INDIRECT(CONCATENATE("Input!",RSE_Setup!$B$18,ROW()+1))),"",INDIRECT(CONCATENATE("Input!",RSE_Setup!$B$18,ROW()+1)))</f>
        <v>5.5556000000000001E-2</v>
      </c>
      <c r="D115" s="1" cm="1">
        <f t="array" aca="1" ref="D115" ca="1">IF(ISBLANK(INDIRECT(CONCATENATE("Input!",RSE_Setup!$B$19,ROW()+1))),"",INDIRECT(CONCATENATE("Input!",RSE_Setup!$B$19,ROW()+1)))</f>
        <v>9500</v>
      </c>
      <c r="E115" s="1" cm="1">
        <f t="array" aca="1" ref="E115" ca="1">IF(ISBLANK(INDIRECT(CONCATENATE("Input!",RSE_Setup!$B$23,ROW()+1))),"",INDIRECT(CONCATENATE("Input!",RSE_Setup!$B$23,ROW()+1)))</f>
        <v>623.56577700000003</v>
      </c>
      <c r="F115" s="1">
        <f ca="1"/>
        <v>623.35639966640883</v>
      </c>
    </row>
    <row r="116" spans="1:6" x14ac:dyDescent="0.3">
      <c r="A116" s="1" cm="1">
        <f t="array" aca="1" ref="A116" ca="1">IF(ISBLANK(INDIRECT(CONCATENATE("Input!",RSE_Setup!$B$16,ROW()+1))),"",INDIRECT(CONCATENATE("Input!",RSE_Setup!$B$16,ROW()+1)))</f>
        <v>2.9999999999999997E-4</v>
      </c>
      <c r="B116" s="1" cm="1">
        <f t="array" aca="1" ref="B116" ca="1">IF(ISBLANK(INDIRECT(CONCATENATE("Input!",RSE_Setup!$B$17,ROW()+1))),"",INDIRECT(CONCATENATE("Input!",RSE_Setup!$B$17,ROW()+1)))</f>
        <v>3.0000000000000001E-3</v>
      </c>
      <c r="C116" s="1" cm="1">
        <f t="array" aca="1" ref="C116" ca="1">IF(ISBLANK(INDIRECT(CONCATENATE("Input!",RSE_Setup!$B$18,ROW()+1))),"",INDIRECT(CONCATENATE("Input!",RSE_Setup!$B$18,ROW()+1)))</f>
        <v>3.2258000000000002E-2</v>
      </c>
      <c r="D116" s="1" cm="1">
        <f t="array" aca="1" ref="D116" ca="1">IF(ISBLANK(INDIRECT(CONCATENATE("Input!",RSE_Setup!$B$19,ROW()+1))),"",INDIRECT(CONCATENATE("Input!",RSE_Setup!$B$19,ROW()+1)))</f>
        <v>9500</v>
      </c>
      <c r="E116" s="1" cm="1">
        <f t="array" aca="1" ref="E116" ca="1">IF(ISBLANK(INDIRECT(CONCATENATE("Input!",RSE_Setup!$B$23,ROW()+1))),"",INDIRECT(CONCATENATE("Input!",RSE_Setup!$B$23,ROW()+1)))</f>
        <v>573.87638900000002</v>
      </c>
      <c r="F116" s="1">
        <f ca="1"/>
        <v>566.33522990179017</v>
      </c>
    </row>
    <row r="117" spans="1:6" x14ac:dyDescent="0.3">
      <c r="A117" s="1" cm="1">
        <f t="array" aca="1" ref="A117" ca="1">IF(ISBLANK(INDIRECT(CONCATENATE("Input!",RSE_Setup!$B$16,ROW()+1))),"",INDIRECT(CONCATENATE("Input!",RSE_Setup!$B$16,ROW()+1)))</f>
        <v>2.9999999999999997E-4</v>
      </c>
      <c r="B117" s="1" cm="1">
        <f t="array" aca="1" ref="B117" ca="1">IF(ISBLANK(INDIRECT(CONCATENATE("Input!",RSE_Setup!$B$17,ROW()+1))),"",INDIRECT(CONCATENATE("Input!",RSE_Setup!$B$17,ROW()+1)))</f>
        <v>4.0000000000000001E-3</v>
      </c>
      <c r="C117" s="1" cm="1">
        <f t="array" aca="1" ref="C117" ca="1">IF(ISBLANK(INDIRECT(CONCATENATE("Input!",RSE_Setup!$B$18,ROW()+1))),"",INDIRECT(CONCATENATE("Input!",RSE_Setup!$B$18,ROW()+1)))</f>
        <v>5.5556000000000001E-2</v>
      </c>
      <c r="D117" s="1" cm="1">
        <f t="array" aca="1" ref="D117" ca="1">IF(ISBLANK(INDIRECT(CONCATENATE("Input!",RSE_Setup!$B$19,ROW()+1))),"",INDIRECT(CONCATENATE("Input!",RSE_Setup!$B$19,ROW()+1)))</f>
        <v>5500</v>
      </c>
      <c r="E117" s="1" cm="1">
        <f t="array" aca="1" ref="E117" ca="1">IF(ISBLANK(INDIRECT(CONCATENATE("Input!",RSE_Setup!$B$23,ROW()+1))),"",INDIRECT(CONCATENATE("Input!",RSE_Setup!$B$23,ROW()+1)))</f>
        <v>395.61626799999999</v>
      </c>
      <c r="F117" s="1">
        <f ca="1"/>
        <v>389.82861944868387</v>
      </c>
    </row>
    <row r="118" spans="1:6" x14ac:dyDescent="0.3">
      <c r="A118" s="1" cm="1">
        <f t="array" aca="1" ref="A118" ca="1">IF(ISBLANK(INDIRECT(CONCATENATE("Input!",RSE_Setup!$B$16,ROW()+1))),"",INDIRECT(CONCATENATE("Input!",RSE_Setup!$B$16,ROW()+1)))</f>
        <v>2.9999999999999997E-4</v>
      </c>
      <c r="B118" s="1" cm="1">
        <f t="array" aca="1" ref="B118" ca="1">IF(ISBLANK(INDIRECT(CONCATENATE("Input!",RSE_Setup!$B$17,ROW()+1))),"",INDIRECT(CONCATENATE("Input!",RSE_Setup!$B$17,ROW()+1)))</f>
        <v>4.0000000000000001E-3</v>
      </c>
      <c r="C118" s="1" cm="1">
        <f t="array" aca="1" ref="C118" ca="1">IF(ISBLANK(INDIRECT(CONCATENATE("Input!",RSE_Setup!$B$18,ROW()+1))),"",INDIRECT(CONCATENATE("Input!",RSE_Setup!$B$18,ROW()+1)))</f>
        <v>5.5556000000000001E-2</v>
      </c>
      <c r="D118" s="1" cm="1">
        <f t="array" aca="1" ref="D118" ca="1">IF(ISBLANK(INDIRECT(CONCATENATE("Input!",RSE_Setup!$B$19,ROW()+1))),"",INDIRECT(CONCATENATE("Input!",RSE_Setup!$B$19,ROW()+1)))</f>
        <v>7500</v>
      </c>
      <c r="E118" s="1" cm="1">
        <f t="array" aca="1" ref="E118" ca="1">IF(ISBLANK(INDIRECT(CONCATENATE("Input!",RSE_Setup!$B$23,ROW()+1))),"",INDIRECT(CONCATENATE("Input!",RSE_Setup!$B$23,ROW()+1)))</f>
        <v>525.52846199999999</v>
      </c>
      <c r="F118" s="1">
        <f ca="1"/>
        <v>525.34038350553078</v>
      </c>
    </row>
    <row r="119" spans="1:6" x14ac:dyDescent="0.3">
      <c r="A119" s="1" cm="1">
        <f t="array" aca="1" ref="A119" ca="1">IF(ISBLANK(INDIRECT(CONCATENATE("Input!",RSE_Setup!$B$16,ROW()+1))),"",INDIRECT(CONCATENATE("Input!",RSE_Setup!$B$16,ROW()+1)))</f>
        <v>2.9999999999999997E-4</v>
      </c>
      <c r="B119" s="1" cm="1">
        <f t="array" aca="1" ref="B119" ca="1">IF(ISBLANK(INDIRECT(CONCATENATE("Input!",RSE_Setup!$B$17,ROW()+1))),"",INDIRECT(CONCATENATE("Input!",RSE_Setup!$B$17,ROW()+1)))</f>
        <v>4.0000000000000001E-3</v>
      </c>
      <c r="C119" s="1" cm="1">
        <f t="array" aca="1" ref="C119" ca="1">IF(ISBLANK(INDIRECT(CONCATENATE("Input!",RSE_Setup!$B$18,ROW()+1))),"",INDIRECT(CONCATENATE("Input!",RSE_Setup!$B$18,ROW()+1)))</f>
        <v>5.5556000000000001E-2</v>
      </c>
      <c r="D119" s="1" cm="1">
        <f t="array" aca="1" ref="D119" ca="1">IF(ISBLANK(INDIRECT(CONCATENATE("Input!",RSE_Setup!$B$19,ROW()+1))),"",INDIRECT(CONCATENATE("Input!",RSE_Setup!$B$19,ROW()+1)))</f>
        <v>9500</v>
      </c>
      <c r="E119" s="1" cm="1">
        <f t="array" aca="1" ref="E119" ca="1">IF(ISBLANK(INDIRECT(CONCATENATE("Input!",RSE_Setup!$B$23,ROW()+1))),"",INDIRECT(CONCATENATE("Input!",RSE_Setup!$B$23,ROW()+1)))</f>
        <v>659.69786299999998</v>
      </c>
      <c r="F119" s="1">
        <f ca="1"/>
        <v>659.90030314931141</v>
      </c>
    </row>
    <row r="120" spans="1:6" x14ac:dyDescent="0.3">
      <c r="A120" s="1" cm="1">
        <f t="array" aca="1" ref="A120" ca="1">IF(ISBLANK(INDIRECT(CONCATENATE("Input!",RSE_Setup!$B$16,ROW()+1))),"",INDIRECT(CONCATENATE("Input!",RSE_Setup!$B$16,ROW()+1)))</f>
        <v>2.9999999999999997E-4</v>
      </c>
      <c r="B120" s="1" cm="1">
        <f t="array" aca="1" ref="B120" ca="1">IF(ISBLANK(INDIRECT(CONCATENATE("Input!",RSE_Setup!$B$17,ROW()+1))),"",INDIRECT(CONCATENATE("Input!",RSE_Setup!$B$17,ROW()+1)))</f>
        <v>4.0000000000000001E-3</v>
      </c>
      <c r="C120" s="1" cm="1">
        <f t="array" aca="1" ref="C120" ca="1">IF(ISBLANK(INDIRECT(CONCATENATE("Input!",RSE_Setup!$B$18,ROW()+1))),"",INDIRECT(CONCATENATE("Input!",RSE_Setup!$B$18,ROW()+1)))</f>
        <v>3.2258000000000002E-2</v>
      </c>
      <c r="D120" s="1" cm="1">
        <f t="array" aca="1" ref="D120" ca="1">IF(ISBLANK(INDIRECT(CONCATENATE("Input!",RSE_Setup!$B$19,ROW()+1))),"",INDIRECT(CONCATENATE("Input!",RSE_Setup!$B$19,ROW()+1)))</f>
        <v>9500</v>
      </c>
      <c r="E120" s="1" cm="1">
        <f t="array" aca="1" ref="E120" ca="1">IF(ISBLANK(INDIRECT(CONCATENATE("Input!",RSE_Setup!$B$23,ROW()+1))),"",INDIRECT(CONCATENATE("Input!",RSE_Setup!$B$23,ROW()+1)))</f>
        <v>610.56972800000005</v>
      </c>
      <c r="F120" s="1">
        <f ca="1"/>
        <v>603.44593186092561</v>
      </c>
    </row>
    <row r="121" spans="1:6" x14ac:dyDescent="0.3">
      <c r="A121" s="1" cm="1">
        <f t="array" aca="1" ref="A121" ca="1">IF(ISBLANK(INDIRECT(CONCATENATE("Input!",RSE_Setup!$B$16,ROW()+1))),"",INDIRECT(CONCATENATE("Input!",RSE_Setup!$B$16,ROW()+1)))</f>
        <v>5.0000000000000001E-4</v>
      </c>
      <c r="B121" s="1" cm="1">
        <f t="array" aca="1" ref="B121" ca="1">IF(ISBLANK(INDIRECT(CONCATENATE("Input!",RSE_Setup!$B$17,ROW()+1))),"",INDIRECT(CONCATENATE("Input!",RSE_Setup!$B$17,ROW()+1)))</f>
        <v>3.0000000000000001E-3</v>
      </c>
      <c r="C121" s="1" cm="1">
        <f t="array" aca="1" ref="C121" ca="1">IF(ISBLANK(INDIRECT(CONCATENATE("Input!",RSE_Setup!$B$18,ROW()+1))),"",INDIRECT(CONCATENATE("Input!",RSE_Setup!$B$18,ROW()+1)))</f>
        <v>0.13333300000000001</v>
      </c>
      <c r="D121" s="1" cm="1">
        <f t="array" aca="1" ref="D121" ca="1">IF(ISBLANK(INDIRECT(CONCATENATE("Input!",RSE_Setup!$B$19,ROW()+1))),"",INDIRECT(CONCATENATE("Input!",RSE_Setup!$B$19,ROW()+1)))</f>
        <v>4000</v>
      </c>
      <c r="E121" s="1" cm="1">
        <f t="array" aca="1" ref="E121" ca="1">IF(ISBLANK(INDIRECT(CONCATENATE("Input!",RSE_Setup!$B$23,ROW()+1))),"",INDIRECT(CONCATENATE("Input!",RSE_Setup!$B$23,ROW()+1)))</f>
        <v>387.94992999999999</v>
      </c>
      <c r="F121" s="1">
        <f ca="1"/>
        <v>390.44466842957343</v>
      </c>
    </row>
    <row r="122" spans="1:6" x14ac:dyDescent="0.3">
      <c r="A122" s="1" cm="1">
        <f t="array" aca="1" ref="A122" ca="1">IF(ISBLANK(INDIRECT(CONCATENATE("Input!",RSE_Setup!$B$16,ROW()+1))),"",INDIRECT(CONCATENATE("Input!",RSE_Setup!$B$16,ROW()+1)))</f>
        <v>5.0000000000000001E-4</v>
      </c>
      <c r="B122" s="1" cm="1">
        <f t="array" aca="1" ref="B122" ca="1">IF(ISBLANK(INDIRECT(CONCATENATE("Input!",RSE_Setup!$B$17,ROW()+1))),"",INDIRECT(CONCATENATE("Input!",RSE_Setup!$B$17,ROW()+1)))</f>
        <v>3.0000000000000001E-3</v>
      </c>
      <c r="C122" s="1" cm="1">
        <f t="array" aca="1" ref="C122" ca="1">IF(ISBLANK(INDIRECT(CONCATENATE("Input!",RSE_Setup!$B$18,ROW()+1))),"",INDIRECT(CONCATENATE("Input!",RSE_Setup!$B$18,ROW()+1)))</f>
        <v>0.111111</v>
      </c>
      <c r="D122" s="1" cm="1">
        <f t="array" aca="1" ref="D122" ca="1">IF(ISBLANK(INDIRECT(CONCATENATE("Input!",RSE_Setup!$B$19,ROW()+1))),"",INDIRECT(CONCATENATE("Input!",RSE_Setup!$B$19,ROW()+1)))</f>
        <v>3750</v>
      </c>
      <c r="E122" s="1" cm="1">
        <f t="array" aca="1" ref="E122" ca="1">IF(ISBLANK(INDIRECT(CONCATENATE("Input!",RSE_Setup!$B$23,ROW()+1))),"",INDIRECT(CONCATENATE("Input!",RSE_Setup!$B$23,ROW()+1)))</f>
        <v>333.04011100000002</v>
      </c>
      <c r="F122" s="1">
        <f ca="1"/>
        <v>337.71740583175796</v>
      </c>
    </row>
    <row r="123" spans="1:6" x14ac:dyDescent="0.3">
      <c r="A123" s="1" cm="1">
        <f t="array" aca="1" ref="A123" ca="1">IF(ISBLANK(INDIRECT(CONCATENATE("Input!",RSE_Setup!$B$16,ROW()+1))),"",INDIRECT(CONCATENATE("Input!",RSE_Setup!$B$16,ROW()+1)))</f>
        <v>5.0000000000000001E-4</v>
      </c>
      <c r="B123" s="1" cm="1">
        <f t="array" aca="1" ref="B123" ca="1">IF(ISBLANK(INDIRECT(CONCATENATE("Input!",RSE_Setup!$B$17,ROW()+1))),"",INDIRECT(CONCATENATE("Input!",RSE_Setup!$B$17,ROW()+1)))</f>
        <v>3.0000000000000001E-3</v>
      </c>
      <c r="C123" s="1" cm="1">
        <f t="array" aca="1" ref="C123" ca="1">IF(ISBLANK(INDIRECT(CONCATENATE("Input!",RSE_Setup!$B$18,ROW()+1))),"",INDIRECT(CONCATENATE("Input!",RSE_Setup!$B$18,ROW()+1)))</f>
        <v>0.111111</v>
      </c>
      <c r="D123" s="1" cm="1">
        <f t="array" aca="1" ref="D123" ca="1">IF(ISBLANK(INDIRECT(CONCATENATE("Input!",RSE_Setup!$B$19,ROW()+1))),"",INDIRECT(CONCATENATE("Input!",RSE_Setup!$B$19,ROW()+1)))</f>
        <v>4750</v>
      </c>
      <c r="E123" s="1" cm="1">
        <f t="array" aca="1" ref="E123" ca="1">IF(ISBLANK(INDIRECT(CONCATENATE("Input!",RSE_Setup!$B$23,ROW()+1))),"",INDIRECT(CONCATENATE("Input!",RSE_Setup!$B$23,ROW()+1)))</f>
        <v>423.22992799999997</v>
      </c>
      <c r="F123" s="1">
        <f ca="1"/>
        <v>418.53307194944693</v>
      </c>
    </row>
    <row r="124" spans="1:6" x14ac:dyDescent="0.3">
      <c r="A124" s="1" cm="1">
        <f t="array" aca="1" ref="A124" ca="1">IF(ISBLANK(INDIRECT(CONCATENATE("Input!",RSE_Setup!$B$16,ROW()+1))),"",INDIRECT(CONCATENATE("Input!",RSE_Setup!$B$16,ROW()+1)))</f>
        <v>5.0000000000000001E-4</v>
      </c>
      <c r="B124" s="1" cm="1">
        <f t="array" aca="1" ref="B124" ca="1">IF(ISBLANK(INDIRECT(CONCATENATE("Input!",RSE_Setup!$B$17,ROW()+1))),"",INDIRECT(CONCATENATE("Input!",RSE_Setup!$B$17,ROW()+1)))</f>
        <v>3.0000000000000001E-3</v>
      </c>
      <c r="C124" s="1" cm="1">
        <f t="array" aca="1" ref="C124" ca="1">IF(ISBLANK(INDIRECT(CONCATENATE("Input!",RSE_Setup!$B$18,ROW()+1))),"",INDIRECT(CONCATENATE("Input!",RSE_Setup!$B$18,ROW()+1)))</f>
        <v>5.5556000000000001E-2</v>
      </c>
      <c r="D124" s="1" cm="1">
        <f t="array" aca="1" ref="D124" ca="1">IF(ISBLANK(INDIRECT(CONCATENATE("Input!",RSE_Setup!$B$19,ROW()+1))),"",INDIRECT(CONCATENATE("Input!",RSE_Setup!$B$19,ROW()+1)))</f>
        <v>5500</v>
      </c>
      <c r="E124" s="1" cm="1">
        <f t="array" aca="1" ref="E124" ca="1">IF(ISBLANK(INDIRECT(CONCATENATE("Input!",RSE_Setup!$B$23,ROW()+1))),"",INDIRECT(CONCATENATE("Input!",RSE_Setup!$B$23,ROW()+1)))</f>
        <v>391.75614100000001</v>
      </c>
      <c r="F124" s="1">
        <f ca="1"/>
        <v>386.96309059919474</v>
      </c>
    </row>
    <row r="125" spans="1:6" x14ac:dyDescent="0.3">
      <c r="A125" s="1" cm="1">
        <f t="array" aca="1" ref="A125" ca="1">IF(ISBLANK(INDIRECT(CONCATENATE("Input!",RSE_Setup!$B$16,ROW()+1))),"",INDIRECT(CONCATENATE("Input!",RSE_Setup!$B$16,ROW()+1)))</f>
        <v>5.0000000000000001E-4</v>
      </c>
      <c r="B125" s="1" cm="1">
        <f t="array" aca="1" ref="B125" ca="1">IF(ISBLANK(INDIRECT(CONCATENATE("Input!",RSE_Setup!$B$17,ROW()+1))),"",INDIRECT(CONCATENATE("Input!",RSE_Setup!$B$17,ROW()+1)))</f>
        <v>3.0000000000000001E-3</v>
      </c>
      <c r="C125" s="1" cm="1">
        <f t="array" aca="1" ref="C125" ca="1">IF(ISBLANK(INDIRECT(CONCATENATE("Input!",RSE_Setup!$B$18,ROW()+1))),"",INDIRECT(CONCATENATE("Input!",RSE_Setup!$B$18,ROW()+1)))</f>
        <v>5.5556000000000001E-2</v>
      </c>
      <c r="D125" s="1" cm="1">
        <f t="array" aca="1" ref="D125" ca="1">IF(ISBLANK(INDIRECT(CONCATENATE("Input!",RSE_Setup!$B$19,ROW()+1))),"",INDIRECT(CONCATENATE("Input!",RSE_Setup!$B$19,ROW()+1)))</f>
        <v>7500</v>
      </c>
      <c r="E125" s="1" cm="1">
        <f t="array" aca="1" ref="E125" ca="1">IF(ISBLANK(INDIRECT(CONCATENATE("Input!",RSE_Setup!$B$23,ROW()+1))),"",INDIRECT(CONCATENATE("Input!",RSE_Setup!$B$23,ROW()+1)))</f>
        <v>518.61795099999995</v>
      </c>
      <c r="F125" s="1">
        <f ca="1"/>
        <v>521.14918676770287</v>
      </c>
    </row>
    <row r="126" spans="1:6" x14ac:dyDescent="0.3">
      <c r="A126" s="1" cm="1">
        <f t="array" aca="1" ref="A126" ca="1">IF(ISBLANK(INDIRECT(CONCATENATE("Input!",RSE_Setup!$B$16,ROW()+1))),"",INDIRECT(CONCATENATE("Input!",RSE_Setup!$B$16,ROW()+1)))</f>
        <v>5.0000000000000001E-4</v>
      </c>
      <c r="B126" s="1" cm="1">
        <f t="array" aca="1" ref="B126" ca="1">IF(ISBLANK(INDIRECT(CONCATENATE("Input!",RSE_Setup!$B$17,ROW()+1))),"",INDIRECT(CONCATENATE("Input!",RSE_Setup!$B$17,ROW()+1)))</f>
        <v>3.0000000000000001E-3</v>
      </c>
      <c r="C126" s="1" cm="1">
        <f t="array" aca="1" ref="C126" ca="1">IF(ISBLANK(INDIRECT(CONCATENATE("Input!",RSE_Setup!$B$18,ROW()+1))),"",INDIRECT(CONCATENATE("Input!",RSE_Setup!$B$18,ROW()+1)))</f>
        <v>5.5556000000000001E-2</v>
      </c>
      <c r="D126" s="1" cm="1">
        <f t="array" aca="1" ref="D126" ca="1">IF(ISBLANK(INDIRECT(CONCATENATE("Input!",RSE_Setup!$B$19,ROW()+1))),"",INDIRECT(CONCATENATE("Input!",RSE_Setup!$B$19,ROW()+1)))</f>
        <v>9500</v>
      </c>
      <c r="E126" s="1" cm="1">
        <f t="array" aca="1" ref="E126" ca="1">IF(ISBLANK(INDIRECT(CONCATENATE("Input!",RSE_Setup!$B$23,ROW()+1))),"",INDIRECT(CONCATENATE("Input!",RSE_Setup!$B$23,ROW()+1)))</f>
        <v>653.53715699999998</v>
      </c>
      <c r="F126" s="1">
        <f ca="1"/>
        <v>654.38343852314472</v>
      </c>
    </row>
    <row r="127" spans="1:6" x14ac:dyDescent="0.3">
      <c r="A127" s="1" cm="1">
        <f t="array" aca="1" ref="A127" ca="1">IF(ISBLANK(INDIRECT(CONCATENATE("Input!",RSE_Setup!$B$16,ROW()+1))),"",INDIRECT(CONCATENATE("Input!",RSE_Setup!$B$16,ROW()+1)))</f>
        <v>5.0000000000000001E-4</v>
      </c>
      <c r="B127" s="1" cm="1">
        <f t="array" aca="1" ref="B127" ca="1">IF(ISBLANK(INDIRECT(CONCATENATE("Input!",RSE_Setup!$B$17,ROW()+1))),"",INDIRECT(CONCATENATE("Input!",RSE_Setup!$B$17,ROW()+1)))</f>
        <v>3.0000000000000001E-3</v>
      </c>
      <c r="C127" s="1" cm="1">
        <f t="array" aca="1" ref="C127" ca="1">IF(ISBLANK(INDIRECT(CONCATENATE("Input!",RSE_Setup!$B$18,ROW()+1))),"",INDIRECT(CONCATENATE("Input!",RSE_Setup!$B$18,ROW()+1)))</f>
        <v>3.2258000000000002E-2</v>
      </c>
      <c r="D127" s="1" cm="1">
        <f t="array" aca="1" ref="D127" ca="1">IF(ISBLANK(INDIRECT(CONCATENATE("Input!",RSE_Setup!$B$19,ROW()+1))),"",INDIRECT(CONCATENATE("Input!",RSE_Setup!$B$19,ROW()+1)))</f>
        <v>9500</v>
      </c>
      <c r="E127" s="1" cm="1">
        <f t="array" aca="1" ref="E127" ca="1">IF(ISBLANK(INDIRECT(CONCATENATE("Input!",RSE_Setup!$B$23,ROW()+1))),"",INDIRECT(CONCATENATE("Input!",RSE_Setup!$B$23,ROW()+1)))</f>
        <v>604.51538400000004</v>
      </c>
      <c r="F127" s="1">
        <f ca="1"/>
        <v>597.4995229078686</v>
      </c>
    </row>
    <row r="128" spans="1:6" x14ac:dyDescent="0.3">
      <c r="A128" s="1" cm="1">
        <f t="array" aca="1" ref="A128" ca="1">IF(ISBLANK(INDIRECT(CONCATENATE("Input!",RSE_Setup!$B$16,ROW()+1))),"",INDIRECT(CONCATENATE("Input!",RSE_Setup!$B$16,ROW()+1)))</f>
        <v>5.0000000000000001E-4</v>
      </c>
      <c r="B128" s="1" cm="1">
        <f t="array" aca="1" ref="B128" ca="1">IF(ISBLANK(INDIRECT(CONCATENATE("Input!",RSE_Setup!$B$17,ROW()+1))),"",INDIRECT(CONCATENATE("Input!",RSE_Setup!$B$17,ROW()+1)))</f>
        <v>4.7499999999999999E-3</v>
      </c>
      <c r="C128" s="1" cm="1">
        <f t="array" aca="1" ref="C128" ca="1">IF(ISBLANK(INDIRECT(CONCATENATE("Input!",RSE_Setup!$B$18,ROW()+1))),"",INDIRECT(CONCATENATE("Input!",RSE_Setup!$B$18,ROW()+1)))</f>
        <v>0.13333300000000001</v>
      </c>
      <c r="D128" s="1" cm="1">
        <f t="array" aca="1" ref="D128" ca="1">IF(ISBLANK(INDIRECT(CONCATENATE("Input!",RSE_Setup!$B$19,ROW()+1))),"",INDIRECT(CONCATENATE("Input!",RSE_Setup!$B$19,ROW()+1)))</f>
        <v>4000</v>
      </c>
      <c r="E128" s="1" cm="1">
        <f t="array" aca="1" ref="E128" ca="1">IF(ISBLANK(INDIRECT(CONCATENATE("Input!",RSE_Setup!$B$23,ROW()+1))),"",INDIRECT(CONCATENATE("Input!",RSE_Setup!$B$23,ROW()+1)))</f>
        <v>413.91466000000003</v>
      </c>
      <c r="F128" s="1">
        <f ca="1"/>
        <v>414.19311514096523</v>
      </c>
    </row>
    <row r="129" spans="1:6" x14ac:dyDescent="0.3">
      <c r="A129" s="1" cm="1">
        <f t="array" aca="1" ref="A129" ca="1">IF(ISBLANK(INDIRECT(CONCATENATE("Input!",RSE_Setup!$B$16,ROW()+1))),"",INDIRECT(CONCATENATE("Input!",RSE_Setup!$B$16,ROW()+1)))</f>
        <v>5.0000000000000001E-4</v>
      </c>
      <c r="B129" s="1" cm="1">
        <f t="array" aca="1" ref="B129" ca="1">IF(ISBLANK(INDIRECT(CONCATENATE("Input!",RSE_Setup!$B$17,ROW()+1))),"",INDIRECT(CONCATENATE("Input!",RSE_Setup!$B$17,ROW()+1)))</f>
        <v>4.7499999999999999E-3</v>
      </c>
      <c r="C129" s="1" cm="1">
        <f t="array" aca="1" ref="C129" ca="1">IF(ISBLANK(INDIRECT(CONCATENATE("Input!",RSE_Setup!$B$18,ROW()+1))),"",INDIRECT(CONCATENATE("Input!",RSE_Setup!$B$18,ROW()+1)))</f>
        <v>0.111111</v>
      </c>
      <c r="D129" s="1" cm="1">
        <f t="array" aca="1" ref="D129" ca="1">IF(ISBLANK(INDIRECT(CONCATENATE("Input!",RSE_Setup!$B$19,ROW()+1))),"",INDIRECT(CONCATENATE("Input!",RSE_Setup!$B$19,ROW()+1)))</f>
        <v>3750</v>
      </c>
      <c r="E129" s="1" cm="1">
        <f t="array" aca="1" ref="E129" ca="1">IF(ISBLANK(INDIRECT(CONCATENATE("Input!",RSE_Setup!$B$23,ROW()+1))),"",INDIRECT(CONCATENATE("Input!",RSE_Setup!$B$23,ROW()+1)))</f>
        <v>357.713345</v>
      </c>
      <c r="F129" s="1">
        <f ca="1"/>
        <v>360.69777455713222</v>
      </c>
    </row>
    <row r="130" spans="1:6" x14ac:dyDescent="0.3">
      <c r="A130" s="1" cm="1">
        <f t="array" aca="1" ref="A130" ca="1">IF(ISBLANK(INDIRECT(CONCATENATE("Input!",RSE_Setup!$B$16,ROW()+1))),"",INDIRECT(CONCATENATE("Input!",RSE_Setup!$B$16,ROW()+1)))</f>
        <v>5.0000000000000001E-4</v>
      </c>
      <c r="B130" s="1" cm="1">
        <f t="array" aca="1" ref="B130" ca="1">IF(ISBLANK(INDIRECT(CONCATENATE("Input!",RSE_Setup!$B$17,ROW()+1))),"",INDIRECT(CONCATENATE("Input!",RSE_Setup!$B$17,ROW()+1)))</f>
        <v>4.7499999999999999E-3</v>
      </c>
      <c r="C130" s="1" cm="1">
        <f t="array" aca="1" ref="C130" ca="1">IF(ISBLANK(INDIRECT(CONCATENATE("Input!",RSE_Setup!$B$18,ROW()+1))),"",INDIRECT(CONCATENATE("Input!",RSE_Setup!$B$18,ROW()+1)))</f>
        <v>0.111111</v>
      </c>
      <c r="D130" s="1" cm="1">
        <f t="array" aca="1" ref="D130" ca="1">IF(ISBLANK(INDIRECT(CONCATENATE("Input!",RSE_Setup!$B$19,ROW()+1))),"",INDIRECT(CONCATENATE("Input!",RSE_Setup!$B$19,ROW()+1)))</f>
        <v>4750</v>
      </c>
      <c r="E130" s="1" cm="1">
        <f t="array" aca="1" ref="E130" ca="1">IF(ISBLANK(INDIRECT(CONCATENATE("Input!",RSE_Setup!$B$23,ROW()+1))),"",INDIRECT(CONCATENATE("Input!",RSE_Setup!$B$23,ROW()+1)))</f>
        <v>454.05948100000001</v>
      </c>
      <c r="F130" s="1">
        <f ca="1"/>
        <v>448.37010192663934</v>
      </c>
    </row>
    <row r="131" spans="1:6" x14ac:dyDescent="0.3">
      <c r="A131" s="1" cm="1">
        <f t="array" aca="1" ref="A131" ca="1">IF(ISBLANK(INDIRECT(CONCATENATE("Input!",RSE_Setup!$B$16,ROW()+1))),"",INDIRECT(CONCATENATE("Input!",RSE_Setup!$B$16,ROW()+1)))</f>
        <v>5.0000000000000001E-4</v>
      </c>
      <c r="B131" s="1" cm="1">
        <f t="array" aca="1" ref="B131" ca="1">IF(ISBLANK(INDIRECT(CONCATENATE("Input!",RSE_Setup!$B$17,ROW()+1))),"",INDIRECT(CONCATENATE("Input!",RSE_Setup!$B$17,ROW()+1)))</f>
        <v>4.7499999999999999E-3</v>
      </c>
      <c r="C131" s="1" cm="1">
        <f t="array" aca="1" ref="C131" ca="1">IF(ISBLANK(INDIRECT(CONCATENATE("Input!",RSE_Setup!$B$18,ROW()+1))),"",INDIRECT(CONCATENATE("Input!",RSE_Setup!$B$18,ROW()+1)))</f>
        <v>5.5556000000000001E-2</v>
      </c>
      <c r="D131" s="1" cm="1">
        <f t="array" aca="1" ref="D131" ca="1">IF(ISBLANK(INDIRECT(CONCATENATE("Input!",RSE_Setup!$B$19,ROW()+1))),"",INDIRECT(CONCATENATE("Input!",RSE_Setup!$B$19,ROW()+1)))</f>
        <v>5500</v>
      </c>
      <c r="E131" s="1" cm="1">
        <f t="array" aca="1" ref="E131" ca="1">IF(ISBLANK(INDIRECT(CONCATENATE("Input!",RSE_Setup!$B$23,ROW()+1))),"",INDIRECT(CONCATENATE("Input!",RSE_Setup!$B$23,ROW()+1)))</f>
        <v>432.16097200000002</v>
      </c>
      <c r="F131" s="1">
        <f ca="1"/>
        <v>424.3078348325929</v>
      </c>
    </row>
    <row r="132" spans="1:6" x14ac:dyDescent="0.3">
      <c r="A132" s="1" cm="1">
        <f t="array" aca="1" ref="A132" ca="1">IF(ISBLANK(INDIRECT(CONCATENATE("Input!",RSE_Setup!$B$16,ROW()+1))),"",INDIRECT(CONCATENATE("Input!",RSE_Setup!$B$16,ROW()+1)))</f>
        <v>5.0000000000000001E-4</v>
      </c>
      <c r="B132" s="1" cm="1">
        <f t="array" aca="1" ref="B132" ca="1">IF(ISBLANK(INDIRECT(CONCATENATE("Input!",RSE_Setup!$B$17,ROW()+1))),"",INDIRECT(CONCATENATE("Input!",RSE_Setup!$B$17,ROW()+1)))</f>
        <v>4.7499999999999999E-3</v>
      </c>
      <c r="C132" s="1" cm="1">
        <f t="array" aca="1" ref="C132" ca="1">IF(ISBLANK(INDIRECT(CONCATENATE("Input!",RSE_Setup!$B$18,ROW()+1))),"",INDIRECT(CONCATENATE("Input!",RSE_Setup!$B$18,ROW()+1)))</f>
        <v>5.5556000000000001E-2</v>
      </c>
      <c r="D132" s="1" cm="1">
        <f t="array" aca="1" ref="D132" ca="1">IF(ISBLANK(INDIRECT(CONCATENATE("Input!",RSE_Setup!$B$19,ROW()+1))),"",INDIRECT(CONCATENATE("Input!",RSE_Setup!$B$19,ROW()+1)))</f>
        <v>7500</v>
      </c>
      <c r="E132" s="1" cm="1">
        <f t="array" aca="1" ref="E132" ca="1">IF(ISBLANK(INDIRECT(CONCATENATE("Input!",RSE_Setup!$B$23,ROW()+1))),"",INDIRECT(CONCATENATE("Input!",RSE_Setup!$B$23,ROW()+1)))</f>
        <v>570.35266100000001</v>
      </c>
      <c r="F132" s="1">
        <f ca="1"/>
        <v>572.2072535047372</v>
      </c>
    </row>
    <row r="133" spans="1:6" x14ac:dyDescent="0.3">
      <c r="A133" s="1" cm="1">
        <f t="array" aca="1" ref="A133" ca="1">IF(ISBLANK(INDIRECT(CONCATENATE("Input!",RSE_Setup!$B$16,ROW()+1))),"",INDIRECT(CONCATENATE("Input!",RSE_Setup!$B$16,ROW()+1)))</f>
        <v>5.0000000000000001E-4</v>
      </c>
      <c r="B133" s="1" cm="1">
        <f t="array" aca="1" ref="B133" ca="1">IF(ISBLANK(INDIRECT(CONCATENATE("Input!",RSE_Setup!$B$17,ROW()+1))),"",INDIRECT(CONCATENATE("Input!",RSE_Setup!$B$17,ROW()+1)))</f>
        <v>4.7499999999999999E-3</v>
      </c>
      <c r="C133" s="1" cm="1">
        <f t="array" aca="1" ref="C133" ca="1">IF(ISBLANK(INDIRECT(CONCATENATE("Input!",RSE_Setup!$B$18,ROW()+1))),"",INDIRECT(CONCATENATE("Input!",RSE_Setup!$B$18,ROW()+1)))</f>
        <v>5.5556000000000001E-2</v>
      </c>
      <c r="D133" s="1" cm="1">
        <f t="array" aca="1" ref="D133" ca="1">IF(ISBLANK(INDIRECT(CONCATENATE("Input!",RSE_Setup!$B$19,ROW()+1))),"",INDIRECT(CONCATENATE("Input!",RSE_Setup!$B$19,ROW()+1)))</f>
        <v>9500</v>
      </c>
      <c r="E133" s="1" cm="1">
        <f t="array" aca="1" ref="E133" ca="1">IF(ISBLANK(INDIRECT(CONCATENATE("Input!",RSE_Setup!$B$23,ROW()+1))),"",INDIRECT(CONCATENATE("Input!",RSE_Setup!$B$23,ROW()+1)))</f>
        <v>716.41963399999997</v>
      </c>
      <c r="F133" s="1">
        <f ca="1"/>
        <v>719.15482776381521</v>
      </c>
    </row>
    <row r="134" spans="1:6" x14ac:dyDescent="0.3">
      <c r="A134" s="1" cm="1">
        <f t="array" aca="1" ref="A134" ca="1">IF(ISBLANK(INDIRECT(CONCATENATE("Input!",RSE_Setup!$B$16,ROW()+1))),"",INDIRECT(CONCATENATE("Input!",RSE_Setup!$B$16,ROW()+1)))</f>
        <v>5.0000000000000001E-4</v>
      </c>
      <c r="B134" s="1" cm="1">
        <f t="array" aca="1" ref="B134" ca="1">IF(ISBLANK(INDIRECT(CONCATENATE("Input!",RSE_Setup!$B$17,ROW()+1))),"",INDIRECT(CONCATENATE("Input!",RSE_Setup!$B$17,ROW()+1)))</f>
        <v>4.7499999999999999E-3</v>
      </c>
      <c r="C134" s="1" cm="1">
        <f t="array" aca="1" ref="C134" ca="1">IF(ISBLANK(INDIRECT(CONCATENATE("Input!",RSE_Setup!$B$18,ROW()+1))),"",INDIRECT(CONCATENATE("Input!",RSE_Setup!$B$18,ROW()+1)))</f>
        <v>3.2258000000000002E-2</v>
      </c>
      <c r="D134" s="1" cm="1">
        <f t="array" aca="1" ref="D134" ca="1">IF(ISBLANK(INDIRECT(CONCATENATE("Input!",RSE_Setup!$B$19,ROW()+1))),"",INDIRECT(CONCATENATE("Input!",RSE_Setup!$B$19,ROW()+1)))</f>
        <v>9500</v>
      </c>
      <c r="E134" s="1" cm="1">
        <f t="array" aca="1" ref="E134" ca="1">IF(ISBLANK(INDIRECT(CONCATENATE("Input!",RSE_Setup!$B$23,ROW()+1))),"",INDIRECT(CONCATENATE("Input!",RSE_Setup!$B$23,ROW()+1)))</f>
        <v>671.69207200000005</v>
      </c>
      <c r="F134" s="1">
        <f ca="1"/>
        <v>663.26280948194631</v>
      </c>
    </row>
    <row r="135" spans="1:6" x14ac:dyDescent="0.3">
      <c r="A135" s="1" cm="1">
        <f t="array" aca="1" ref="A135" ca="1">IF(ISBLANK(INDIRECT(CONCATENATE("Input!",RSE_Setup!$B$16,ROW()+1))),"",INDIRECT(CONCATENATE("Input!",RSE_Setup!$B$16,ROW()+1)))</f>
        <v>5.0000000000000001E-4</v>
      </c>
      <c r="B135" s="1" cm="1">
        <f t="array" aca="1" ref="B135" ca="1">IF(ISBLANK(INDIRECT(CONCATENATE("Input!",RSE_Setup!$B$17,ROW()+1))),"",INDIRECT(CONCATENATE("Input!",RSE_Setup!$B$17,ROW()+1)))</f>
        <v>6.4999999999999997E-3</v>
      </c>
      <c r="C135" s="1" cm="1">
        <f t="array" aca="1" ref="C135" ca="1">IF(ISBLANK(INDIRECT(CONCATENATE("Input!",RSE_Setup!$B$18,ROW()+1))),"",INDIRECT(CONCATENATE("Input!",RSE_Setup!$B$18,ROW()+1)))</f>
        <v>0.13333300000000001</v>
      </c>
      <c r="D135" s="1" cm="1">
        <f t="array" aca="1" ref="D135" ca="1">IF(ISBLANK(INDIRECT(CONCATENATE("Input!",RSE_Setup!$B$19,ROW()+1))),"",INDIRECT(CONCATENATE("Input!",RSE_Setup!$B$19,ROW()+1)))</f>
        <v>4000</v>
      </c>
      <c r="E135" s="1" cm="1">
        <f t="array" aca="1" ref="E135" ca="1">IF(ISBLANK(INDIRECT(CONCATENATE("Input!",RSE_Setup!$B$23,ROW()+1))),"",INDIRECT(CONCATENATE("Input!",RSE_Setup!$B$23,ROW()+1)))</f>
        <v>440.31494099999998</v>
      </c>
      <c r="F135" s="1">
        <f ca="1"/>
        <v>440.84825477264633</v>
      </c>
    </row>
    <row r="136" spans="1:6" x14ac:dyDescent="0.3">
      <c r="A136" s="1" cm="1">
        <f t="array" aca="1" ref="A136" ca="1">IF(ISBLANK(INDIRECT(CONCATENATE("Input!",RSE_Setup!$B$16,ROW()+1))),"",INDIRECT(CONCATENATE("Input!",RSE_Setup!$B$16,ROW()+1)))</f>
        <v>5.0000000000000001E-4</v>
      </c>
      <c r="B136" s="1" cm="1">
        <f t="array" aca="1" ref="B136" ca="1">IF(ISBLANK(INDIRECT(CONCATENATE("Input!",RSE_Setup!$B$17,ROW()+1))),"",INDIRECT(CONCATENATE("Input!",RSE_Setup!$B$17,ROW()+1)))</f>
        <v>6.4999999999999997E-3</v>
      </c>
      <c r="C136" s="1" cm="1">
        <f t="array" aca="1" ref="C136" ca="1">IF(ISBLANK(INDIRECT(CONCATENATE("Input!",RSE_Setup!$B$18,ROW()+1))),"",INDIRECT(CONCATENATE("Input!",RSE_Setup!$B$18,ROW()+1)))</f>
        <v>0.111111</v>
      </c>
      <c r="D136" s="1" cm="1">
        <f t="array" aca="1" ref="D136" ca="1">IF(ISBLANK(INDIRECT(CONCATENATE("Input!",RSE_Setup!$B$19,ROW()+1))),"",INDIRECT(CONCATENATE("Input!",RSE_Setup!$B$19,ROW()+1)))</f>
        <v>3750</v>
      </c>
      <c r="E136" s="1" cm="1">
        <f t="array" aca="1" ref="E136" ca="1">IF(ISBLANK(INDIRECT(CONCATENATE("Input!",RSE_Setup!$B$23,ROW()+1))),"",INDIRECT(CONCATENATE("Input!",RSE_Setup!$B$23,ROW()+1)))</f>
        <v>383.01226200000002</v>
      </c>
      <c r="F136" s="1">
        <f ca="1"/>
        <v>386.5848362027956</v>
      </c>
    </row>
    <row r="137" spans="1:6" x14ac:dyDescent="0.3">
      <c r="A137" s="1" cm="1">
        <f t="array" aca="1" ref="A137" ca="1">IF(ISBLANK(INDIRECT(CONCATENATE("Input!",RSE_Setup!$B$16,ROW()+1))),"",INDIRECT(CONCATENATE("Input!",RSE_Setup!$B$16,ROW()+1)))</f>
        <v>5.0000000000000001E-4</v>
      </c>
      <c r="B137" s="1" cm="1">
        <f t="array" aca="1" ref="B137" ca="1">IF(ISBLANK(INDIRECT(CONCATENATE("Input!",RSE_Setup!$B$17,ROW()+1))),"",INDIRECT(CONCATENATE("Input!",RSE_Setup!$B$17,ROW()+1)))</f>
        <v>6.4999999999999997E-3</v>
      </c>
      <c r="C137" s="1" cm="1">
        <f t="array" aca="1" ref="C137" ca="1">IF(ISBLANK(INDIRECT(CONCATENATE("Input!",RSE_Setup!$B$18,ROW()+1))),"",INDIRECT(CONCATENATE("Input!",RSE_Setup!$B$18,ROW()+1)))</f>
        <v>0.111111</v>
      </c>
      <c r="D137" s="1" cm="1">
        <f t="array" aca="1" ref="D137" ca="1">IF(ISBLANK(INDIRECT(CONCATENATE("Input!",RSE_Setup!$B$19,ROW()+1))),"",INDIRECT(CONCATENATE("Input!",RSE_Setup!$B$19,ROW()+1)))</f>
        <v>4750</v>
      </c>
      <c r="E137" s="1" cm="1">
        <f t="array" aca="1" ref="E137" ca="1">IF(ISBLANK(INDIRECT(CONCATENATE("Input!",RSE_Setup!$B$23,ROW()+1))),"",INDIRECT(CONCATENATE("Input!",RSE_Setup!$B$23,ROW()+1)))</f>
        <v>485.64771400000001</v>
      </c>
      <c r="F137" s="1">
        <f ca="1"/>
        <v>481.1138248241208</v>
      </c>
    </row>
    <row r="138" spans="1:6" x14ac:dyDescent="0.3">
      <c r="A138" s="1" cm="1">
        <f t="array" aca="1" ref="A138" ca="1">IF(ISBLANK(INDIRECT(CONCATENATE("Input!",RSE_Setup!$B$16,ROW()+1))),"",INDIRECT(CONCATENATE("Input!",RSE_Setup!$B$16,ROW()+1)))</f>
        <v>5.0000000000000001E-4</v>
      </c>
      <c r="B138" s="1" cm="1">
        <f t="array" aca="1" ref="B138" ca="1">IF(ISBLANK(INDIRECT(CONCATENATE("Input!",RSE_Setup!$B$17,ROW()+1))),"",INDIRECT(CONCATENATE("Input!",RSE_Setup!$B$17,ROW()+1)))</f>
        <v>6.4999999999999997E-3</v>
      </c>
      <c r="C138" s="1" cm="1">
        <f t="array" aca="1" ref="C138" ca="1">IF(ISBLANK(INDIRECT(CONCATENATE("Input!",RSE_Setup!$B$18,ROW()+1))),"",INDIRECT(CONCATENATE("Input!",RSE_Setup!$B$18,ROW()+1)))</f>
        <v>5.5556000000000001E-2</v>
      </c>
      <c r="D138" s="1" cm="1">
        <f t="array" aca="1" ref="D138" ca="1">IF(ISBLANK(INDIRECT(CONCATENATE("Input!",RSE_Setup!$B$19,ROW()+1))),"",INDIRECT(CONCATENATE("Input!",RSE_Setup!$B$19,ROW()+1)))</f>
        <v>5500</v>
      </c>
      <c r="E138" s="1" cm="1">
        <f t="array" aca="1" ref="E138" ca="1">IF(ISBLANK(INDIRECT(CONCATENATE("Input!",RSE_Setup!$B$23,ROW()+1))),"",INDIRECT(CONCATENATE("Input!",RSE_Setup!$B$23,ROW()+1)))</f>
        <v>471.10915499999999</v>
      </c>
      <c r="F138" s="1">
        <f ca="1"/>
        <v>464.55927198628018</v>
      </c>
    </row>
    <row r="139" spans="1:6" x14ac:dyDescent="0.3">
      <c r="A139" s="1" cm="1">
        <f t="array" aca="1" ref="A139" ca="1">IF(ISBLANK(INDIRECT(CONCATENATE("Input!",RSE_Setup!$B$16,ROW()+1))),"",INDIRECT(CONCATENATE("Input!",RSE_Setup!$B$16,ROW()+1)))</f>
        <v>7.5000000000000002E-4</v>
      </c>
      <c r="B139" s="1" cm="1">
        <f t="array" aca="1" ref="B139" ca="1">IF(ISBLANK(INDIRECT(CONCATENATE("Input!",RSE_Setup!$B$17,ROW()+1))),"",INDIRECT(CONCATENATE("Input!",RSE_Setup!$B$17,ROW()+1)))</f>
        <v>4.0000000000000001E-3</v>
      </c>
      <c r="C139" s="1" cm="1">
        <f t="array" aca="1" ref="C139" ca="1">IF(ISBLANK(INDIRECT(CONCATENATE("Input!",RSE_Setup!$B$18,ROW()+1))),"",INDIRECT(CONCATENATE("Input!",RSE_Setup!$B$18,ROW()+1)))</f>
        <v>0.13333300000000001</v>
      </c>
      <c r="D139" s="1" cm="1">
        <f t="array" aca="1" ref="D139" ca="1">IF(ISBLANK(INDIRECT(CONCATENATE("Input!",RSE_Setup!$B$19,ROW()+1))),"",INDIRECT(CONCATENATE("Input!",RSE_Setup!$B$19,ROW()+1)))</f>
        <v>4000</v>
      </c>
      <c r="E139" s="1" cm="1">
        <f t="array" aca="1" ref="E139" ca="1">IF(ISBLANK(INDIRECT(CONCATENATE("Input!",RSE_Setup!$B$23,ROW()+1))),"",INDIRECT(CONCATENATE("Input!",RSE_Setup!$B$23,ROW()+1)))</f>
        <v>419.12552399999998</v>
      </c>
      <c r="F139" s="1">
        <f ca="1"/>
        <v>419.99244474563363</v>
      </c>
    </row>
    <row r="140" spans="1:6" x14ac:dyDescent="0.3">
      <c r="A140" s="1" cm="1">
        <f t="array" aca="1" ref="A140" ca="1">IF(ISBLANK(INDIRECT(CONCATENATE("Input!",RSE_Setup!$B$16,ROW()+1))),"",INDIRECT(CONCATENATE("Input!",RSE_Setup!$B$16,ROW()+1)))</f>
        <v>7.5000000000000002E-4</v>
      </c>
      <c r="B140" s="1" cm="1">
        <f t="array" aca="1" ref="B140" ca="1">IF(ISBLANK(INDIRECT(CONCATENATE("Input!",RSE_Setup!$B$17,ROW()+1))),"",INDIRECT(CONCATENATE("Input!",RSE_Setup!$B$17,ROW()+1)))</f>
        <v>4.0000000000000001E-3</v>
      </c>
      <c r="C140" s="1" cm="1">
        <f t="array" aca="1" ref="C140" ca="1">IF(ISBLANK(INDIRECT(CONCATENATE("Input!",RSE_Setup!$B$18,ROW()+1))),"",INDIRECT(CONCATENATE("Input!",RSE_Setup!$B$18,ROW()+1)))</f>
        <v>0.111111</v>
      </c>
      <c r="D140" s="1" cm="1">
        <f t="array" aca="1" ref="D140" ca="1">IF(ISBLANK(INDIRECT(CONCATENATE("Input!",RSE_Setup!$B$19,ROW()+1))),"",INDIRECT(CONCATENATE("Input!",RSE_Setup!$B$19,ROW()+1)))</f>
        <v>3750</v>
      </c>
      <c r="E140" s="1" cm="1">
        <f t="array" aca="1" ref="E140" ca="1">IF(ISBLANK(INDIRECT(CONCATENATE("Input!",RSE_Setup!$B$23,ROW()+1))),"",INDIRECT(CONCATENATE("Input!",RSE_Setup!$B$23,ROW()+1)))</f>
        <v>362.817498</v>
      </c>
      <c r="F140" s="1">
        <f ca="1"/>
        <v>365.97265622068699</v>
      </c>
    </row>
    <row r="141" spans="1:6" x14ac:dyDescent="0.3">
      <c r="A141" s="1" cm="1">
        <f t="array" aca="1" ref="A141" ca="1">IF(ISBLANK(INDIRECT(CONCATENATE("Input!",RSE_Setup!$B$16,ROW()+1))),"",INDIRECT(CONCATENATE("Input!",RSE_Setup!$B$16,ROW()+1)))</f>
        <v>7.5000000000000002E-4</v>
      </c>
      <c r="B141" s="1" cm="1">
        <f t="array" aca="1" ref="B141" ca="1">IF(ISBLANK(INDIRECT(CONCATENATE("Input!",RSE_Setup!$B$17,ROW()+1))),"",INDIRECT(CONCATENATE("Input!",RSE_Setup!$B$17,ROW()+1)))</f>
        <v>4.0000000000000001E-3</v>
      </c>
      <c r="C141" s="1" cm="1">
        <f t="array" aca="1" ref="C141" ca="1">IF(ISBLANK(INDIRECT(CONCATENATE("Input!",RSE_Setup!$B$18,ROW()+1))),"",INDIRECT(CONCATENATE("Input!",RSE_Setup!$B$18,ROW()+1)))</f>
        <v>0.111111</v>
      </c>
      <c r="D141" s="1" cm="1">
        <f t="array" aca="1" ref="D141" ca="1">IF(ISBLANK(INDIRECT(CONCATENATE("Input!",RSE_Setup!$B$19,ROW()+1))),"",INDIRECT(CONCATENATE("Input!",RSE_Setup!$B$19,ROW()+1)))</f>
        <v>4750</v>
      </c>
      <c r="E141" s="1" cm="1">
        <f t="array" aca="1" ref="E141" ca="1">IF(ISBLANK(INDIRECT(CONCATENATE("Input!",RSE_Setup!$B$23,ROW()+1))),"",INDIRECT(CONCATENATE("Input!",RSE_Setup!$B$23,ROW()+1)))</f>
        <v>460.31551200000001</v>
      </c>
      <c r="F141" s="1">
        <f ca="1"/>
        <v>454.77548723193024</v>
      </c>
    </row>
    <row r="142" spans="1:6" x14ac:dyDescent="0.3">
      <c r="A142" s="1" cm="1">
        <f t="array" aca="1" ref="A142" ca="1">IF(ISBLANK(INDIRECT(CONCATENATE("Input!",RSE_Setup!$B$16,ROW()+1))),"",INDIRECT(CONCATENATE("Input!",RSE_Setup!$B$16,ROW()+1)))</f>
        <v>7.5000000000000002E-4</v>
      </c>
      <c r="B142" s="1" cm="1">
        <f t="array" aca="1" ref="B142" ca="1">IF(ISBLANK(INDIRECT(CONCATENATE("Input!",RSE_Setup!$B$17,ROW()+1))),"",INDIRECT(CONCATENATE("Input!",RSE_Setup!$B$17,ROW()+1)))</f>
        <v>4.0000000000000001E-3</v>
      </c>
      <c r="C142" s="1" cm="1">
        <f t="array" aca="1" ref="C142" ca="1">IF(ISBLANK(INDIRECT(CONCATENATE("Input!",RSE_Setup!$B$18,ROW()+1))),"",INDIRECT(CONCATENATE("Input!",RSE_Setup!$B$18,ROW()+1)))</f>
        <v>5.5556000000000001E-2</v>
      </c>
      <c r="D142" s="1" cm="1">
        <f t="array" aca="1" ref="D142" ca="1">IF(ISBLANK(INDIRECT(CONCATENATE("Input!",RSE_Setup!$B$19,ROW()+1))),"",INDIRECT(CONCATENATE("Input!",RSE_Setup!$B$19,ROW()+1)))</f>
        <v>5500</v>
      </c>
      <c r="E142" s="1" cm="1">
        <f t="array" aca="1" ref="E142" ca="1">IF(ISBLANK(INDIRECT(CONCATENATE("Input!",RSE_Setup!$B$23,ROW()+1))),"",INDIRECT(CONCATENATE("Input!",RSE_Setup!$B$23,ROW()+1)))</f>
        <v>436.76051000000001</v>
      </c>
      <c r="F142" s="1">
        <f ca="1"/>
        <v>430.95654279248737</v>
      </c>
    </row>
    <row r="143" spans="1:6" x14ac:dyDescent="0.3">
      <c r="A143" s="1" cm="1">
        <f t="array" aca="1" ref="A143" ca="1">IF(ISBLANK(INDIRECT(CONCATENATE("Input!",RSE_Setup!$B$16,ROW()+1))),"",INDIRECT(CONCATENATE("Input!",RSE_Setup!$B$16,ROW()+1)))</f>
        <v>7.5000000000000002E-4</v>
      </c>
      <c r="B143" s="1" cm="1">
        <f t="array" aca="1" ref="B143" ca="1">IF(ISBLANK(INDIRECT(CONCATENATE("Input!",RSE_Setup!$B$17,ROW()+1))),"",INDIRECT(CONCATENATE("Input!",RSE_Setup!$B$17,ROW()+1)))</f>
        <v>6.0000000000000001E-3</v>
      </c>
      <c r="C143" s="1" cm="1">
        <f t="array" aca="1" ref="C143" ca="1">IF(ISBLANK(INDIRECT(CONCATENATE("Input!",RSE_Setup!$B$18,ROW()+1))),"",INDIRECT(CONCATENATE("Input!",RSE_Setup!$B$18,ROW()+1)))</f>
        <v>0.13333300000000001</v>
      </c>
      <c r="D143" s="1" cm="1">
        <f t="array" aca="1" ref="D143" ca="1">IF(ISBLANK(INDIRECT(CONCATENATE("Input!",RSE_Setup!$B$19,ROW()+1))),"",INDIRECT(CONCATENATE("Input!",RSE_Setup!$B$19,ROW()+1)))</f>
        <v>4000</v>
      </c>
      <c r="E143" s="1" cm="1">
        <f t="array" aca="1" ref="E143" ca="1">IF(ISBLANK(INDIRECT(CONCATENATE("Input!",RSE_Setup!$B$23,ROW()+1))),"",INDIRECT(CONCATENATE("Input!",RSE_Setup!$B$23,ROW()+1)))</f>
        <v>449.25105600000001</v>
      </c>
      <c r="F143" s="1">
        <f ca="1"/>
        <v>449.55004958962121</v>
      </c>
    </row>
    <row r="144" spans="1:6" x14ac:dyDescent="0.3">
      <c r="A144" s="1" cm="1">
        <f t="array" aca="1" ref="A144" ca="1">IF(ISBLANK(INDIRECT(CONCATENATE("Input!",RSE_Setup!$B$16,ROW()+1))),"",INDIRECT(CONCATENATE("Input!",RSE_Setup!$B$16,ROW()+1)))</f>
        <v>7.5000000000000002E-4</v>
      </c>
      <c r="B144" s="1" cm="1">
        <f t="array" aca="1" ref="B144" ca="1">IF(ISBLANK(INDIRECT(CONCATENATE("Input!",RSE_Setup!$B$17,ROW()+1))),"",INDIRECT(CONCATENATE("Input!",RSE_Setup!$B$17,ROW()+1)))</f>
        <v>6.0000000000000001E-3</v>
      </c>
      <c r="C144" s="1" cm="1">
        <f t="array" aca="1" ref="C144" ca="1">IF(ISBLANK(INDIRECT(CONCATENATE("Input!",RSE_Setup!$B$18,ROW()+1))),"",INDIRECT(CONCATENATE("Input!",RSE_Setup!$B$18,ROW()+1)))</f>
        <v>0.111111</v>
      </c>
      <c r="D144" s="1" cm="1">
        <f t="array" aca="1" ref="D144" ca="1">IF(ISBLANK(INDIRECT(CONCATENATE("Input!",RSE_Setup!$B$19,ROW()+1))),"",INDIRECT(CONCATENATE("Input!",RSE_Setup!$B$19,ROW()+1)))</f>
        <v>3750</v>
      </c>
      <c r="E144" s="1" cm="1">
        <f t="array" aca="1" ref="E144" ca="1">IF(ISBLANK(INDIRECT(CONCATENATE("Input!",RSE_Setup!$B$23,ROW()+1))),"",INDIRECT(CONCATENATE("Input!",RSE_Setup!$B$23,ROW()+1)))</f>
        <v>391.62848400000001</v>
      </c>
      <c r="F144" s="1">
        <f ca="1"/>
        <v>394.65245765208294</v>
      </c>
    </row>
    <row r="145" spans="1:6" x14ac:dyDescent="0.3">
      <c r="A145" s="1" cm="1">
        <f t="array" aca="1" ref="A145" ca="1">IF(ISBLANK(INDIRECT(CONCATENATE("Input!",RSE_Setup!$B$16,ROW()+1))),"",INDIRECT(CONCATENATE("Input!",RSE_Setup!$B$16,ROW()+1)))</f>
        <v>7.5000000000000002E-4</v>
      </c>
      <c r="B145" s="1" cm="1">
        <f t="array" aca="1" ref="B145" ca="1">IF(ISBLANK(INDIRECT(CONCATENATE("Input!",RSE_Setup!$B$17,ROW()+1))),"",INDIRECT(CONCATENATE("Input!",RSE_Setup!$B$17,ROW()+1)))</f>
        <v>6.0000000000000001E-3</v>
      </c>
      <c r="C145" s="1" cm="1">
        <f t="array" aca="1" ref="C145" ca="1">IF(ISBLANK(INDIRECT(CONCATENATE("Input!",RSE_Setup!$B$18,ROW()+1))),"",INDIRECT(CONCATENATE("Input!",RSE_Setup!$B$18,ROW()+1)))</f>
        <v>0.111111</v>
      </c>
      <c r="D145" s="1" cm="1">
        <f t="array" aca="1" ref="D145" ca="1">IF(ISBLANK(INDIRECT(CONCATENATE("Input!",RSE_Setup!$B$19,ROW()+1))),"",INDIRECT(CONCATENATE("Input!",RSE_Setup!$B$19,ROW()+1)))</f>
        <v>4750</v>
      </c>
      <c r="E145" s="1" cm="1">
        <f t="array" aca="1" ref="E145" ca="1">IF(ISBLANK(INDIRECT(CONCATENATE("Input!",RSE_Setup!$B$23,ROW()+1))),"",INDIRECT(CONCATENATE("Input!",RSE_Setup!$B$23,ROW()+1)))</f>
        <v>496.260536</v>
      </c>
      <c r="F145" s="1">
        <f ca="1"/>
        <v>491.29147295111841</v>
      </c>
    </row>
    <row r="146" spans="1:6" x14ac:dyDescent="0.3">
      <c r="A146" s="1" cm="1">
        <f t="array" aca="1" ref="A146" ca="1">IF(ISBLANK(INDIRECT(CONCATENATE("Input!",RSE_Setup!$B$16,ROW()+1))),"",INDIRECT(CONCATENATE("Input!",RSE_Setup!$B$16,ROW()+1)))</f>
        <v>7.5000000000000002E-4</v>
      </c>
      <c r="B146" s="1" cm="1">
        <f t="array" aca="1" ref="B146" ca="1">IF(ISBLANK(INDIRECT(CONCATENATE("Input!",RSE_Setup!$B$17,ROW()+1))),"",INDIRECT(CONCATENATE("Input!",RSE_Setup!$B$17,ROW()+1)))</f>
        <v>6.0000000000000001E-3</v>
      </c>
      <c r="C146" s="1" cm="1">
        <f t="array" aca="1" ref="C146" ca="1">IF(ISBLANK(INDIRECT(CONCATENATE("Input!",RSE_Setup!$B$18,ROW()+1))),"",INDIRECT(CONCATENATE("Input!",RSE_Setup!$B$18,ROW()+1)))</f>
        <v>5.5556000000000001E-2</v>
      </c>
      <c r="D146" s="1" cm="1">
        <f t="array" aca="1" ref="D146" ca="1">IF(ISBLANK(INDIRECT(CONCATENATE("Input!",RSE_Setup!$B$19,ROW()+1))),"",INDIRECT(CONCATENATE("Input!",RSE_Setup!$B$19,ROW()+1)))</f>
        <v>5500</v>
      </c>
      <c r="E146" s="1" cm="1">
        <f t="array" aca="1" ref="E146" ca="1">IF(ISBLANK(INDIRECT(CONCATENATE("Input!",RSE_Setup!$B$23,ROW()+1))),"",INDIRECT(CONCATENATE("Input!",RSE_Setup!$B$23,ROW()+1)))</f>
        <v>482.991016</v>
      </c>
      <c r="F146" s="1">
        <f ca="1"/>
        <v>476.05277337591065</v>
      </c>
    </row>
    <row r="147" spans="1:6" x14ac:dyDescent="0.3">
      <c r="A147" s="1" cm="1">
        <f t="array" aca="1" ref="A147" ca="1">IF(ISBLANK(INDIRECT(CONCATENATE("Input!",RSE_Setup!$B$16,ROW()+1))),"",INDIRECT(CONCATENATE("Input!",RSE_Setup!$B$16,ROW()+1)))</f>
        <v>7.5000000000000002E-4</v>
      </c>
      <c r="B147" s="1" cm="1">
        <f t="array" aca="1" ref="B147" ca="1">IF(ISBLANK(INDIRECT(CONCATENATE("Input!",RSE_Setup!$B$17,ROW()+1))),"",INDIRECT(CONCATENATE("Input!",RSE_Setup!$B$17,ROW()+1)))</f>
        <v>8.0000000000000002E-3</v>
      </c>
      <c r="C147" s="1" cm="1">
        <f t="array" aca="1" ref="C147" ca="1">IF(ISBLANK(INDIRECT(CONCATENATE("Input!",RSE_Setup!$B$18,ROW()+1))),"",INDIRECT(CONCATENATE("Input!",RSE_Setup!$B$18,ROW()+1)))</f>
        <v>0.111111</v>
      </c>
      <c r="D147" s="1" cm="1">
        <f t="array" aca="1" ref="D147" ca="1">IF(ISBLANK(INDIRECT(CONCATENATE("Input!",RSE_Setup!$B$19,ROW()+1))),"",INDIRECT(CONCATENATE("Input!",RSE_Setup!$B$19,ROW()+1)))</f>
        <v>4750</v>
      </c>
      <c r="E147" s="1" cm="1">
        <f t="array" aca="1" ref="E147" ca="1">IF(ISBLANK(INDIRECT(CONCATENATE("Input!",RSE_Setup!$B$23,ROW()+1))),"",INDIRECT(CONCATENATE("Input!",RSE_Setup!$B$23,ROW()+1)))</f>
        <v>531.68678599999998</v>
      </c>
      <c r="F147" s="1">
        <f ca="1"/>
        <v>531.60395554578622</v>
      </c>
    </row>
    <row r="148" spans="1:6" x14ac:dyDescent="0.3">
      <c r="A148" s="1" cm="1">
        <f t="array" aca="1" ref="A148" ca="1">IF(ISBLANK(INDIRECT(CONCATENATE("Input!",RSE_Setup!$B$16,ROW()+1))),"",INDIRECT(CONCATENATE("Input!",RSE_Setup!$B$16,ROW()+1)))</f>
        <v>7.5000000000000002E-4</v>
      </c>
      <c r="B148" s="1" cm="1">
        <f t="array" aca="1" ref="B148" ca="1">IF(ISBLANK(INDIRECT(CONCATENATE("Input!",RSE_Setup!$B$17,ROW()+1))),"",INDIRECT(CONCATENATE("Input!",RSE_Setup!$B$17,ROW()+1)))</f>
        <v>8.0000000000000002E-3</v>
      </c>
      <c r="C148" s="1" cm="1">
        <f t="array" aca="1" ref="C148" ca="1">IF(ISBLANK(INDIRECT(CONCATENATE("Input!",RSE_Setup!$B$18,ROW()+1))),"",INDIRECT(CONCATENATE("Input!",RSE_Setup!$B$18,ROW()+1)))</f>
        <v>5.5556000000000001E-2</v>
      </c>
      <c r="D148" s="1" cm="1">
        <f t="array" aca="1" ref="D148" ca="1">IF(ISBLANK(INDIRECT(CONCATENATE("Input!",RSE_Setup!$B$19,ROW()+1))),"",INDIRECT(CONCATENATE("Input!",RSE_Setup!$B$19,ROW()+1)))</f>
        <v>5500</v>
      </c>
      <c r="E148" s="1" cm="1">
        <f t="array" aca="1" ref="E148" ca="1">IF(ISBLANK(INDIRECT(CONCATENATE("Input!",RSE_Setup!$B$23,ROW()+1))),"",INDIRECT(CONCATENATE("Input!",RSE_Setup!$B$23,ROW()+1)))</f>
        <v>528.83628699999997</v>
      </c>
      <c r="F148" s="1">
        <f ca="1"/>
        <v>524.94550083481363</v>
      </c>
    </row>
    <row r="149" spans="1:6" x14ac:dyDescent="0.3">
      <c r="A149" s="1" cm="1">
        <f t="array" aca="1" ref="A149" ca="1">IF(ISBLANK(INDIRECT(CONCATENATE("Input!",RSE_Setup!$B$16,ROW()+1))),"",INDIRECT(CONCATENATE("Input!",RSE_Setup!$B$16,ROW()+1)))</f>
        <v>1E-3</v>
      </c>
      <c r="B149" s="1" cm="1">
        <f t="array" aca="1" ref="B149" ca="1">IF(ISBLANK(INDIRECT(CONCATENATE("Input!",RSE_Setup!$B$17,ROW()+1))),"",INDIRECT(CONCATENATE("Input!",RSE_Setup!$B$17,ROW()+1)))</f>
        <v>5.0000000000000001E-3</v>
      </c>
      <c r="C149" s="1" cm="1">
        <f t="array" aca="1" ref="C149" ca="1">IF(ISBLANK(INDIRECT(CONCATENATE("Input!",RSE_Setup!$B$18,ROW()+1))),"",INDIRECT(CONCATENATE("Input!",RSE_Setup!$B$18,ROW()+1)))</f>
        <v>0.13333300000000001</v>
      </c>
      <c r="D149" s="1" cm="1">
        <f t="array" aca="1" ref="D149" ca="1">IF(ISBLANK(INDIRECT(CONCATENATE("Input!",RSE_Setup!$B$19,ROW()+1))),"",INDIRECT(CONCATENATE("Input!",RSE_Setup!$B$19,ROW()+1)))</f>
        <v>4000</v>
      </c>
      <c r="E149" s="1" cm="1">
        <f t="array" aca="1" ref="E149" ca="1">IF(ISBLANK(INDIRECT(CONCATENATE("Input!",RSE_Setup!$B$23,ROW()+1))),"",INDIRECT(CONCATENATE("Input!",RSE_Setup!$B$23,ROW()+1)))</f>
        <v>450.990116</v>
      </c>
      <c r="F149" s="1">
        <f ca="1"/>
        <v>451.17202274021696</v>
      </c>
    </row>
    <row r="150" spans="1:6" x14ac:dyDescent="0.3">
      <c r="A150" s="1" cm="1">
        <f t="array" aca="1" ref="A150" ca="1">IF(ISBLANK(INDIRECT(CONCATENATE("Input!",RSE_Setup!$B$16,ROW()+1))),"",INDIRECT(CONCATENATE("Input!",RSE_Setup!$B$16,ROW()+1)))</f>
        <v>1E-3</v>
      </c>
      <c r="B150" s="1" cm="1">
        <f t="array" aca="1" ref="B150" ca="1">IF(ISBLANK(INDIRECT(CONCATENATE("Input!",RSE_Setup!$B$17,ROW()+1))),"",INDIRECT(CONCATENATE("Input!",RSE_Setup!$B$17,ROW()+1)))</f>
        <v>5.0000000000000001E-3</v>
      </c>
      <c r="C150" s="1" cm="1">
        <f t="array" aca="1" ref="C150" ca="1">IF(ISBLANK(INDIRECT(CONCATENATE("Input!",RSE_Setup!$B$18,ROW()+1))),"",INDIRECT(CONCATENATE("Input!",RSE_Setup!$B$18,ROW()+1)))</f>
        <v>0.111111</v>
      </c>
      <c r="D150" s="1" cm="1">
        <f t="array" aca="1" ref="D150" ca="1">IF(ISBLANK(INDIRECT(CONCATENATE("Input!",RSE_Setup!$B$19,ROW()+1))),"",INDIRECT(CONCATENATE("Input!",RSE_Setup!$B$19,ROW()+1)))</f>
        <v>3750</v>
      </c>
      <c r="E150" s="1" cm="1">
        <f t="array" aca="1" ref="E150" ca="1">IF(ISBLANK(INDIRECT(CONCATENATE("Input!",RSE_Setup!$B$23,ROW()+1))),"",INDIRECT(CONCATENATE("Input!",RSE_Setup!$B$23,ROW()+1)))</f>
        <v>392.83207900000002</v>
      </c>
      <c r="F150" s="1">
        <f ca="1"/>
        <v>395.85970828813913</v>
      </c>
    </row>
    <row r="151" spans="1:6" x14ac:dyDescent="0.3">
      <c r="A151" s="1" cm="1">
        <f t="array" aca="1" ref="A151" ca="1">IF(ISBLANK(INDIRECT(CONCATENATE("Input!",RSE_Setup!$B$16,ROW()+1))),"",INDIRECT(CONCATENATE("Input!",RSE_Setup!$B$16,ROW()+1)))</f>
        <v>1E-3</v>
      </c>
      <c r="B151" s="1" cm="1">
        <f t="array" aca="1" ref="B151" ca="1">IF(ISBLANK(INDIRECT(CONCATENATE("Input!",RSE_Setup!$B$17,ROW()+1))),"",INDIRECT(CONCATENATE("Input!",RSE_Setup!$B$17,ROW()+1)))</f>
        <v>5.0000000000000001E-3</v>
      </c>
      <c r="C151" s="1" cm="1">
        <f t="array" aca="1" ref="C151" ca="1">IF(ISBLANK(INDIRECT(CONCATENATE("Input!",RSE_Setup!$B$18,ROW()+1))),"",INDIRECT(CONCATENATE("Input!",RSE_Setup!$B$18,ROW()+1)))</f>
        <v>0.111111</v>
      </c>
      <c r="D151" s="1" cm="1">
        <f t="array" aca="1" ref="D151" ca="1">IF(ISBLANK(INDIRECT(CONCATENATE("Input!",RSE_Setup!$B$19,ROW()+1))),"",INDIRECT(CONCATENATE("Input!",RSE_Setup!$B$19,ROW()+1)))</f>
        <v>4750</v>
      </c>
      <c r="E151" s="1" cm="1">
        <f t="array" aca="1" ref="E151" ca="1">IF(ISBLANK(INDIRECT(CONCATENATE("Input!",RSE_Setup!$B$23,ROW()+1))),"",INDIRECT(CONCATENATE("Input!",RSE_Setup!$B$23,ROW()+1)))</f>
        <v>497.989014</v>
      </c>
      <c r="F151" s="1">
        <f ca="1"/>
        <v>492.64970419293684</v>
      </c>
    </row>
    <row r="152" spans="1:6" x14ac:dyDescent="0.3">
      <c r="A152" s="1" cm="1">
        <f t="array" aca="1" ref="A152" ca="1">IF(ISBLANK(INDIRECT(CONCATENATE("Input!",RSE_Setup!$B$16,ROW()+1))),"",INDIRECT(CONCATENATE("Input!",RSE_Setup!$B$16,ROW()+1)))</f>
        <v>1E-3</v>
      </c>
      <c r="B152" s="1" cm="1">
        <f t="array" aca="1" ref="B152" ca="1">IF(ISBLANK(INDIRECT(CONCATENATE("Input!",RSE_Setup!$B$17,ROW()+1))),"",INDIRECT(CONCATENATE("Input!",RSE_Setup!$B$17,ROW()+1)))</f>
        <v>5.0000000000000001E-3</v>
      </c>
      <c r="C152" s="1" cm="1">
        <f t="array" aca="1" ref="C152" ca="1">IF(ISBLANK(INDIRECT(CONCATENATE("Input!",RSE_Setup!$B$18,ROW()+1))),"",INDIRECT(CONCATENATE("Input!",RSE_Setup!$B$18,ROW()+1)))</f>
        <v>5.5556000000000001E-2</v>
      </c>
      <c r="D152" s="1" cm="1">
        <f t="array" aca="1" ref="D152" ca="1">IF(ISBLANK(INDIRECT(CONCATENATE("Input!",RSE_Setup!$B$19,ROW()+1))),"",INDIRECT(CONCATENATE("Input!",RSE_Setup!$B$19,ROW()+1)))</f>
        <v>5500</v>
      </c>
      <c r="E152" s="1" cm="1">
        <f t="array" aca="1" ref="E152" ca="1">IF(ISBLANK(INDIRECT(CONCATENATE("Input!",RSE_Setup!$B$23,ROW()+1))),"",INDIRECT(CONCATENATE("Input!",RSE_Setup!$B$23,ROW()+1)))</f>
        <v>482.825401</v>
      </c>
      <c r="F152" s="1">
        <f ca="1"/>
        <v>476.58179666430306</v>
      </c>
    </row>
    <row r="153" spans="1:6" x14ac:dyDescent="0.3">
      <c r="A153" s="1" cm="1">
        <f t="array" aca="1" ref="A153" ca="1">IF(ISBLANK(INDIRECT(CONCATENATE("Input!",RSE_Setup!$B$16,ROW()+1))),"",INDIRECT(CONCATENATE("Input!",RSE_Setup!$B$16,ROW()+1)))</f>
        <v>1E-3</v>
      </c>
      <c r="B153" s="1" cm="1">
        <f t="array" aca="1" ref="B153" ca="1">IF(ISBLANK(INDIRECT(CONCATENATE("Input!",RSE_Setup!$B$17,ROW()+1))),"",INDIRECT(CONCATENATE("Input!",RSE_Setup!$B$17,ROW()+1)))</f>
        <v>6.4999999999999997E-3</v>
      </c>
      <c r="C153" s="1" cm="1">
        <f t="array" aca="1" ref="C153" ca="1">IF(ISBLANK(INDIRECT(CONCATENATE("Input!",RSE_Setup!$B$18,ROW()+1))),"",INDIRECT(CONCATENATE("Input!",RSE_Setup!$B$18,ROW()+1)))</f>
        <v>0.13333300000000001</v>
      </c>
      <c r="D153" s="1" cm="1">
        <f t="array" aca="1" ref="D153" ca="1">IF(ISBLANK(INDIRECT(CONCATENATE("Input!",RSE_Setup!$B$19,ROW()+1))),"",INDIRECT(CONCATENATE("Input!",RSE_Setup!$B$19,ROW()+1)))</f>
        <v>4000</v>
      </c>
      <c r="E153" s="1" cm="1">
        <f t="array" aca="1" ref="E153" ca="1">IF(ISBLANK(INDIRECT(CONCATENATE("Input!",RSE_Setup!$B$23,ROW()+1))),"",INDIRECT(CONCATENATE("Input!",RSE_Setup!$B$23,ROW()+1)))</f>
        <v>473.78491500000001</v>
      </c>
      <c r="F153" s="1">
        <f ca="1"/>
        <v>474.61873616617657</v>
      </c>
    </row>
    <row r="154" spans="1:6" x14ac:dyDescent="0.3">
      <c r="A154" s="1" cm="1">
        <f t="array" aca="1" ref="A154" ca="1">IF(ISBLANK(INDIRECT(CONCATENATE("Input!",RSE_Setup!$B$16,ROW()+1))),"",INDIRECT(CONCATENATE("Input!",RSE_Setup!$B$16,ROW()+1)))</f>
        <v>1E-3</v>
      </c>
      <c r="B154" s="1" cm="1">
        <f t="array" aca="1" ref="B154" ca="1">IF(ISBLANK(INDIRECT(CONCATENATE("Input!",RSE_Setup!$B$17,ROW()+1))),"",INDIRECT(CONCATENATE("Input!",RSE_Setup!$B$17,ROW()+1)))</f>
        <v>6.4999999999999997E-3</v>
      </c>
      <c r="C154" s="1" cm="1">
        <f t="array" aca="1" ref="C154" ca="1">IF(ISBLANK(INDIRECT(CONCATENATE("Input!",RSE_Setup!$B$18,ROW()+1))),"",INDIRECT(CONCATENATE("Input!",RSE_Setup!$B$18,ROW()+1)))</f>
        <v>0.111111</v>
      </c>
      <c r="D154" s="1" cm="1">
        <f t="array" aca="1" ref="D154" ca="1">IF(ISBLANK(INDIRECT(CONCATENATE("Input!",RSE_Setup!$B$19,ROW()+1))),"",INDIRECT(CONCATENATE("Input!",RSE_Setup!$B$19,ROW()+1)))</f>
        <v>3750</v>
      </c>
      <c r="E154" s="1" cm="1">
        <f t="array" aca="1" ref="E154" ca="1">IF(ISBLANK(INDIRECT(CONCATENATE("Input!",RSE_Setup!$B$23,ROW()+1))),"",INDIRECT(CONCATENATE("Input!",RSE_Setup!$B$23,ROW()+1)))</f>
        <v>414.92141800000002</v>
      </c>
      <c r="F154" s="1">
        <f ca="1"/>
        <v>418.6480691546551</v>
      </c>
    </row>
    <row r="155" spans="1:6" x14ac:dyDescent="0.3">
      <c r="A155" s="1" cm="1">
        <f t="array" aca="1" ref="A155" ca="1">IF(ISBLANK(INDIRECT(CONCATENATE("Input!",RSE_Setup!$B$16,ROW()+1))),"",INDIRECT(CONCATENATE("Input!",RSE_Setup!$B$16,ROW()+1)))</f>
        <v>1E-3</v>
      </c>
      <c r="B155" s="1" cm="1">
        <f t="array" aca="1" ref="B155" ca="1">IF(ISBLANK(INDIRECT(CONCATENATE("Input!",RSE_Setup!$B$17,ROW()+1))),"",INDIRECT(CONCATENATE("Input!",RSE_Setup!$B$17,ROW()+1)))</f>
        <v>6.4999999999999997E-3</v>
      </c>
      <c r="C155" s="1" cm="1">
        <f t="array" aca="1" ref="C155" ca="1">IF(ISBLANK(INDIRECT(CONCATENATE("Input!",RSE_Setup!$B$18,ROW()+1))),"",INDIRECT(CONCATENATE("Input!",RSE_Setup!$B$18,ROW()+1)))</f>
        <v>0.111111</v>
      </c>
      <c r="D155" s="1" cm="1">
        <f t="array" aca="1" ref="D155" ca="1">IF(ISBLANK(INDIRECT(CONCATENATE("Input!",RSE_Setup!$B$19,ROW()+1))),"",INDIRECT(CONCATENATE("Input!",RSE_Setup!$B$19,ROW()+1)))</f>
        <v>4750</v>
      </c>
      <c r="E155" s="1" cm="1">
        <f t="array" aca="1" ref="E155" ca="1">IF(ISBLANK(INDIRECT(CONCATENATE("Input!",RSE_Setup!$B$23,ROW()+1))),"",INDIRECT(CONCATENATE("Input!",RSE_Setup!$B$23,ROW()+1)))</f>
        <v>524.98231399999997</v>
      </c>
      <c r="F155" s="1">
        <f ca="1"/>
        <v>521.31520327529688</v>
      </c>
    </row>
    <row r="156" spans="1:6" x14ac:dyDescent="0.3">
      <c r="A156" s="1" cm="1">
        <f t="array" aca="1" ref="A156" ca="1">IF(ISBLANK(INDIRECT(CONCATENATE("Input!",RSE_Setup!$B$16,ROW()+1))),"",INDIRECT(CONCATENATE("Input!",RSE_Setup!$B$16,ROW()+1)))</f>
        <v>1E-3</v>
      </c>
      <c r="B156" s="1" cm="1">
        <f t="array" aca="1" ref="B156" ca="1">IF(ISBLANK(INDIRECT(CONCATENATE("Input!",RSE_Setup!$B$17,ROW()+1))),"",INDIRECT(CONCATENATE("Input!",RSE_Setup!$B$17,ROW()+1)))</f>
        <v>6.4999999999999997E-3</v>
      </c>
      <c r="C156" s="1" cm="1">
        <f t="array" aca="1" ref="C156" ca="1">IF(ISBLANK(INDIRECT(CONCATENATE("Input!",RSE_Setup!$B$18,ROW()+1))),"",INDIRECT(CONCATENATE("Input!",RSE_Setup!$B$18,ROW()+1)))</f>
        <v>5.5556000000000001E-2</v>
      </c>
      <c r="D156" s="1" cm="1">
        <f t="array" aca="1" ref="D156" ca="1">IF(ISBLANK(INDIRECT(CONCATENATE("Input!",RSE_Setup!$B$19,ROW()+1))),"",INDIRECT(CONCATENATE("Input!",RSE_Setup!$B$19,ROW()+1)))</f>
        <v>5500</v>
      </c>
      <c r="E156" s="1" cm="1">
        <f t="array" aca="1" ref="E156" ca="1">IF(ISBLANK(INDIRECT(CONCATENATE("Input!",RSE_Setup!$B$23,ROW()+1))),"",INDIRECT(CONCATENATE("Input!",RSE_Setup!$B$23,ROW()+1)))</f>
        <v>517.28974300000004</v>
      </c>
      <c r="F156" s="1">
        <f ca="1"/>
        <v>511.68247939483945</v>
      </c>
    </row>
    <row r="157" spans="1:6" x14ac:dyDescent="0.3">
      <c r="A157" s="1" cm="1">
        <f t="array" aca="1" ref="A157" ca="1">IF(ISBLANK(INDIRECT(CONCATENATE("Input!",RSE_Setup!$B$16,ROW()+1))),"",INDIRECT(CONCATENATE("Input!",RSE_Setup!$B$16,ROW()+1)))</f>
        <v>1E-3</v>
      </c>
      <c r="B157" s="1" cm="1">
        <f t="array" aca="1" ref="B157" ca="1">IF(ISBLANK(INDIRECT(CONCATENATE("Input!",RSE_Setup!$B$17,ROW()+1))),"",INDIRECT(CONCATENATE("Input!",RSE_Setup!$B$17,ROW()+1)))</f>
        <v>8.0000000000000002E-3</v>
      </c>
      <c r="C157" s="1" cm="1">
        <f t="array" aca="1" ref="C157" ca="1">IF(ISBLANK(INDIRECT(CONCATENATE("Input!",RSE_Setup!$B$18,ROW()+1))),"",INDIRECT(CONCATENATE("Input!",RSE_Setup!$B$18,ROW()+1)))</f>
        <v>0.111111</v>
      </c>
      <c r="D157" s="1" cm="1">
        <f t="array" aca="1" ref="D157" ca="1">IF(ISBLANK(INDIRECT(CONCATENATE("Input!",RSE_Setup!$B$19,ROW()+1))),"",INDIRECT(CONCATENATE("Input!",RSE_Setup!$B$19,ROW()+1)))</f>
        <v>4750</v>
      </c>
      <c r="E157" s="1" cm="1">
        <f t="array" aca="1" ref="E157" ca="1">IF(ISBLANK(INDIRECT(CONCATENATE("Input!",RSE_Setup!$B$23,ROW()+1))),"",INDIRECT(CONCATENATE("Input!",RSE_Setup!$B$23,ROW()+1)))</f>
        <v>551.61400800000001</v>
      </c>
      <c r="F157" s="1">
        <f ca="1"/>
        <v>552.11623185011433</v>
      </c>
    </row>
    <row r="158" spans="1:6" x14ac:dyDescent="0.3">
      <c r="A158" s="1" cm="1">
        <f t="array" aca="1" ref="A158" ca="1">IF(ISBLANK(INDIRECT(CONCATENATE("Input!",RSE_Setup!$B$16,ROW()+1))),"",INDIRECT(CONCATENATE("Input!",RSE_Setup!$B$16,ROW()+1)))</f>
        <v>1E-3</v>
      </c>
      <c r="B158" s="1" cm="1">
        <f t="array" aca="1" ref="B158" ca="1">IF(ISBLANK(INDIRECT(CONCATENATE("Input!",RSE_Setup!$B$17,ROW()+1))),"",INDIRECT(CONCATENATE("Input!",RSE_Setup!$B$17,ROW()+1)))</f>
        <v>8.0000000000000002E-3</v>
      </c>
      <c r="C158" s="1" cm="1">
        <f t="array" aca="1" ref="C158" ca="1">IF(ISBLANK(INDIRECT(CONCATENATE("Input!",RSE_Setup!$B$18,ROW()+1))),"",INDIRECT(CONCATENATE("Input!",RSE_Setup!$B$18,ROW()+1)))</f>
        <v>5.5556000000000001E-2</v>
      </c>
      <c r="D158" s="1" cm="1">
        <f t="array" aca="1" ref="D158" ca="1">IF(ISBLANK(INDIRECT(CONCATENATE("Input!",RSE_Setup!$B$19,ROW()+1))),"",INDIRECT(CONCATENATE("Input!",RSE_Setup!$B$19,ROW()+1)))</f>
        <v>5500</v>
      </c>
      <c r="E158" s="1" cm="1">
        <f t="array" aca="1" ref="E158" ca="1">IF(ISBLANK(INDIRECT(CONCATENATE("Input!",RSE_Setup!$B$23,ROW()+1))),"",INDIRECT(CONCATENATE("Input!",RSE_Setup!$B$23,ROW()+1)))</f>
        <v>552.83643300000006</v>
      </c>
      <c r="F158" s="1">
        <f ca="1"/>
        <v>548.91869161783336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5349C-CF02-4837-B900-B40D4B4461D5}">
  <sheetPr codeName="Sheet4"/>
  <dimension ref="A1:G158"/>
  <sheetViews>
    <sheetView workbookViewId="0"/>
  </sheetViews>
  <sheetFormatPr defaultRowHeight="14.4" x14ac:dyDescent="0.3"/>
  <cols>
    <col min="1" max="2" width="8" style="1" bestFit="1" customWidth="1"/>
    <col min="3" max="3" width="9" style="1" bestFit="1" customWidth="1"/>
    <col min="4" max="4" width="6" style="1" bestFit="1" customWidth="1"/>
    <col min="5" max="5" width="11" style="1" bestFit="1" customWidth="1"/>
    <col min="6" max="6" width="12" style="1" bestFit="1" customWidth="1"/>
  </cols>
  <sheetData>
    <row r="1" spans="1:7" x14ac:dyDescent="0.3">
      <c r="A1" s="1" t="s">
        <v>32</v>
      </c>
      <c r="B1" s="1" t="s">
        <v>33</v>
      </c>
      <c r="C1" s="1" t="s">
        <v>34</v>
      </c>
      <c r="D1" s="1" t="s">
        <v>35</v>
      </c>
      <c r="E1" s="1" t="s">
        <v>36</v>
      </c>
      <c r="F1" s="1" t="s">
        <v>298</v>
      </c>
      <c r="G1" t="s">
        <v>16</v>
      </c>
    </row>
    <row r="2" spans="1:7" x14ac:dyDescent="0.3">
      <c r="A2" s="1" cm="1">
        <f t="array" aca="1" ref="A2" ca="1">IF(ISBLANK(INDIRECT(CONCATENATE("Input!",RSE_Setup!$B$16,ROW()+1))),"",INDIRECT(CONCATENATE("Input!",RSE_Setup!$B$16,ROW()+1)))</f>
        <v>5.0000000000000001E-4</v>
      </c>
      <c r="B2" s="1" cm="1">
        <f t="array" aca="1" ref="B2" ca="1">IF(ISBLANK(INDIRECT(CONCATENATE("Input!",RSE_Setup!$B$17,ROW()+1))),"",INDIRECT(CONCATENATE("Input!",RSE_Setup!$B$17,ROW()+1)))</f>
        <v>3.0000000000000001E-3</v>
      </c>
      <c r="C2" s="1" cm="1">
        <f t="array" aca="1" ref="C2" ca="1">IF(ISBLANK(INDIRECT(CONCATENATE("Input!",RSE_Setup!$B$18,ROW()+1))),"",INDIRECT(CONCATENATE("Input!",RSE_Setup!$B$18,ROW()+1)))</f>
        <v>3.2258000000000002E-2</v>
      </c>
      <c r="D2" s="1" cm="1">
        <f t="array" aca="1" ref="D2" ca="1">IF(ISBLANK(INDIRECT(CONCATENATE("Input!",RSE_Setup!$B$19,ROW()+1))),"",INDIRECT(CONCATENATE("Input!",RSE_Setup!$B$19,ROW()+1)))</f>
        <v>3250</v>
      </c>
      <c r="E2" s="1" cm="1">
        <f t="array" aca="1" ref="E2" ca="1">IF(ISBLANK(INDIRECT(CONCATENATE("Input!",RSE_Setup!$B$24,ROW()+1))),"",INDIRECT(CONCATENATE("Input!",RSE_Setup!$B$24,ROW()+1)))</f>
        <v>208.26545400000001</v>
      </c>
      <c r="F2" s="1" cm="1">
        <f t="array" aca="1" ref="F2:F158" ca="1">(11.0751388295519 + 0 * 1 + -443.767291890496 * RLHP20 + -1022.43432505279 * RLHP60 + 160.194759714579 * HP_ETW + 0.0336630901822944 * ETW + 4714546.36384507 * RLHP20^2 + 365310.486647821 * RLHP20 * RLHP60 + -9480.22247601951 * RLHP20 * HP_ETW + 23.1452531381759 * RLHP20 * ETW + 52232.7164724015 * RLHP60^2 + 9598.70028981764 * RLHP60 * HP_ETW + 0.476885648233994 * RLHP60 * ETW + 1138.2670748718 * HP_ETW^2 + 0.402984072696922 * HP_ETW * ETW + -2.71128897111339E-08 * ETW^2)</f>
        <v>210.73824628839193</v>
      </c>
      <c r="G2" t="s">
        <v>303</v>
      </c>
    </row>
    <row r="3" spans="1:7" x14ac:dyDescent="0.3">
      <c r="A3" s="1" cm="1">
        <f t="array" aca="1" ref="A3" ca="1">IF(ISBLANK(INDIRECT(CONCATENATE("Input!",RSE_Setup!$B$16,ROW()+1))),"",INDIRECT(CONCATENATE("Input!",RSE_Setup!$B$16,ROW()+1)))</f>
        <v>5.0000000000000001E-4</v>
      </c>
      <c r="B3" s="1" cm="1">
        <f t="array" aca="1" ref="B3" ca="1">IF(ISBLANK(INDIRECT(CONCATENATE("Input!",RSE_Setup!$B$17,ROW()+1))),"",INDIRECT(CONCATENATE("Input!",RSE_Setup!$B$17,ROW()+1)))</f>
        <v>3.0000000000000001E-3</v>
      </c>
      <c r="C3" s="1" cm="1">
        <f t="array" aca="1" ref="C3" ca="1">IF(ISBLANK(INDIRECT(CONCATENATE("Input!",RSE_Setup!$B$18,ROW()+1))),"",INDIRECT(CONCATENATE("Input!",RSE_Setup!$B$18,ROW()+1)))</f>
        <v>3.2258000000000002E-2</v>
      </c>
      <c r="D3" s="1" cm="1">
        <f t="array" aca="1" ref="D3" ca="1">IF(ISBLANK(INDIRECT(CONCATENATE("Input!",RSE_Setup!$B$19,ROW()+1))),"",INDIRECT(CONCATENATE("Input!",RSE_Setup!$B$19,ROW()+1)))</f>
        <v>4250</v>
      </c>
      <c r="E3" s="1" cm="1">
        <f t="array" aca="1" ref="E3" ca="1">IF(ISBLANK(INDIRECT(CONCATENATE("Input!",RSE_Setup!$B$24,ROW()+1))),"",INDIRECT(CONCATENATE("Input!",RSE_Setup!$B$24,ROW()+1)))</f>
        <v>265.77746400000001</v>
      </c>
      <c r="F3" s="1">
        <f ca="1"/>
        <v>270.20073352870008</v>
      </c>
    </row>
    <row r="4" spans="1:7" x14ac:dyDescent="0.3">
      <c r="A4" s="1" cm="1">
        <f t="array" aca="1" ref="A4" ca="1">IF(ISBLANK(INDIRECT(CONCATENATE("Input!",RSE_Setup!$B$16,ROW()+1))),"",INDIRECT(CONCATENATE("Input!",RSE_Setup!$B$16,ROW()+1)))</f>
        <v>5.0000000000000001E-4</v>
      </c>
      <c r="B4" s="1" cm="1">
        <f t="array" aca="1" ref="B4" ca="1">IF(ISBLANK(INDIRECT(CONCATENATE("Input!",RSE_Setup!$B$17,ROW()+1))),"",INDIRECT(CONCATENATE("Input!",RSE_Setup!$B$17,ROW()+1)))</f>
        <v>4.7499999999999999E-3</v>
      </c>
      <c r="C4" s="1" cm="1">
        <f t="array" aca="1" ref="C4" ca="1">IF(ISBLANK(INDIRECT(CONCATENATE("Input!",RSE_Setup!$B$18,ROW()+1))),"",INDIRECT(CONCATENATE("Input!",RSE_Setup!$B$18,ROW()+1)))</f>
        <v>3.2258000000000002E-2</v>
      </c>
      <c r="D4" s="1" cm="1">
        <f t="array" aca="1" ref="D4" ca="1">IF(ISBLANK(INDIRECT(CONCATENATE("Input!",RSE_Setup!$B$19,ROW()+1))),"",INDIRECT(CONCATENATE("Input!",RSE_Setup!$B$19,ROW()+1)))</f>
        <v>3250</v>
      </c>
      <c r="E4" s="1" cm="1">
        <f t="array" aca="1" ref="E4" ca="1">IF(ISBLANK(INDIRECT(CONCATENATE("Input!",RSE_Setup!$B$24,ROW()+1))),"",INDIRECT(CONCATENATE("Input!",RSE_Setup!$B$24,ROW()+1)))</f>
        <v>211.08391499999999</v>
      </c>
      <c r="F4" s="1">
        <f ca="1"/>
        <v>213.23118726626484</v>
      </c>
    </row>
    <row r="5" spans="1:7" x14ac:dyDescent="0.3">
      <c r="A5" s="1" cm="1">
        <f t="array" aca="1" ref="A5" ca="1">IF(ISBLANK(INDIRECT(CONCATENATE("Input!",RSE_Setup!$B$16,ROW()+1))),"",INDIRECT(CONCATENATE("Input!",RSE_Setup!$B$16,ROW()+1)))</f>
        <v>5.0000000000000001E-4</v>
      </c>
      <c r="B5" s="1" cm="1">
        <f t="array" aca="1" ref="B5" ca="1">IF(ISBLANK(INDIRECT(CONCATENATE("Input!",RSE_Setup!$B$17,ROW()+1))),"",INDIRECT(CONCATENATE("Input!",RSE_Setup!$B$17,ROW()+1)))</f>
        <v>4.7499999999999999E-3</v>
      </c>
      <c r="C5" s="1" cm="1">
        <f t="array" aca="1" ref="C5" ca="1">IF(ISBLANK(INDIRECT(CONCATENATE("Input!",RSE_Setup!$B$18,ROW()+1))),"",INDIRECT(CONCATENATE("Input!",RSE_Setup!$B$18,ROW()+1)))</f>
        <v>3.2258000000000002E-2</v>
      </c>
      <c r="D5" s="1" cm="1">
        <f t="array" aca="1" ref="D5" ca="1">IF(ISBLANK(INDIRECT(CONCATENATE("Input!",RSE_Setup!$B$19,ROW()+1))),"",INDIRECT(CONCATENATE("Input!",RSE_Setup!$B$19,ROW()+1)))</f>
        <v>4250</v>
      </c>
      <c r="E5" s="1" cm="1">
        <f t="array" aca="1" ref="E5" ca="1">IF(ISBLANK(INDIRECT(CONCATENATE("Input!",RSE_Setup!$B$24,ROW()+1))),"",INDIRECT(CONCATENATE("Input!",RSE_Setup!$B$24,ROW()+1)))</f>
        <v>269.46799800000002</v>
      </c>
      <c r="F5" s="1">
        <f ca="1"/>
        <v>273.52822439098253</v>
      </c>
    </row>
    <row r="6" spans="1:7" x14ac:dyDescent="0.3">
      <c r="A6" s="1" cm="1">
        <f t="array" aca="1" ref="A6" ca="1">IF(ISBLANK(INDIRECT(CONCATENATE("Input!",RSE_Setup!$B$16,ROW()+1))),"",INDIRECT(CONCATENATE("Input!",RSE_Setup!$B$16,ROW()+1)))</f>
        <v>5.0000000000000001E-4</v>
      </c>
      <c r="B6" s="1" cm="1">
        <f t="array" aca="1" ref="B6" ca="1">IF(ISBLANK(INDIRECT(CONCATENATE("Input!",RSE_Setup!$B$17,ROW()+1))),"",INDIRECT(CONCATENATE("Input!",RSE_Setup!$B$17,ROW()+1)))</f>
        <v>6.4999999999999997E-3</v>
      </c>
      <c r="C6" s="1" cm="1">
        <f t="array" aca="1" ref="C6" ca="1">IF(ISBLANK(INDIRECT(CONCATENATE("Input!",RSE_Setup!$B$18,ROW()+1))),"",INDIRECT(CONCATENATE("Input!",RSE_Setup!$B$18,ROW()+1)))</f>
        <v>3.2258000000000002E-2</v>
      </c>
      <c r="D6" s="1" cm="1">
        <f t="array" aca="1" ref="D6" ca="1">IF(ISBLANK(INDIRECT(CONCATENATE("Input!",RSE_Setup!$B$19,ROW()+1))),"",INDIRECT(CONCATENATE("Input!",RSE_Setup!$B$19,ROW()+1)))</f>
        <v>3250</v>
      </c>
      <c r="E6" s="1" cm="1">
        <f t="array" aca="1" ref="E6" ca="1">IF(ISBLANK(INDIRECT(CONCATENATE("Input!",RSE_Setup!$B$24,ROW()+1))),"",INDIRECT(CONCATENATE("Input!",RSE_Setup!$B$24,ROW()+1)))</f>
        <v>213.919363</v>
      </c>
      <c r="F6" s="1">
        <f ca="1"/>
        <v>216.04405363253116</v>
      </c>
    </row>
    <row r="7" spans="1:7" x14ac:dyDescent="0.3">
      <c r="A7" s="1" cm="1">
        <f t="array" aca="1" ref="A7" ca="1">IF(ISBLANK(INDIRECT(CONCATENATE("Input!",RSE_Setup!$B$16,ROW()+1))),"",INDIRECT(CONCATENATE("Input!",RSE_Setup!$B$16,ROW()+1)))</f>
        <v>5.0000000000000001E-4</v>
      </c>
      <c r="B7" s="1" cm="1">
        <f t="array" aca="1" ref="B7" ca="1">IF(ISBLANK(INDIRECT(CONCATENATE("Input!",RSE_Setup!$B$17,ROW()+1))),"",INDIRECT(CONCATENATE("Input!",RSE_Setup!$B$17,ROW()+1)))</f>
        <v>6.4999999999999997E-3</v>
      </c>
      <c r="C7" s="1" cm="1">
        <f t="array" aca="1" ref="C7" ca="1">IF(ISBLANK(INDIRECT(CONCATENATE("Input!",RSE_Setup!$B$18,ROW()+1))),"",INDIRECT(CONCATENATE("Input!",RSE_Setup!$B$18,ROW()+1)))</f>
        <v>3.2258000000000002E-2</v>
      </c>
      <c r="D7" s="1" cm="1">
        <f t="array" aca="1" ref="D7" ca="1">IF(ISBLANK(INDIRECT(CONCATENATE("Input!",RSE_Setup!$B$19,ROW()+1))),"",INDIRECT(CONCATENATE("Input!",RSE_Setup!$B$19,ROW()+1)))</f>
        <v>4250</v>
      </c>
      <c r="E7" s="1" cm="1">
        <f t="array" aca="1" ref="E7" ca="1">IF(ISBLANK(INDIRECT(CONCATENATE("Input!",RSE_Setup!$B$24,ROW()+1))),"",INDIRECT(CONCATENATE("Input!",RSE_Setup!$B$24,ROW()+1)))</f>
        <v>273.154583</v>
      </c>
      <c r="F7" s="1">
        <f ca="1"/>
        <v>277.17564064165828</v>
      </c>
    </row>
    <row r="8" spans="1:7" x14ac:dyDescent="0.3">
      <c r="A8" s="1" cm="1">
        <f t="array" aca="1" ref="A8" ca="1">IF(ISBLANK(INDIRECT(CONCATENATE("Input!",RSE_Setup!$B$16,ROW()+1))),"",INDIRECT(CONCATENATE("Input!",RSE_Setup!$B$16,ROW()+1)))</f>
        <v>7.5000000000000002E-4</v>
      </c>
      <c r="B8" s="1" cm="1">
        <f t="array" aca="1" ref="B8" ca="1">IF(ISBLANK(INDIRECT(CONCATENATE("Input!",RSE_Setup!$B$17,ROW()+1))),"",INDIRECT(CONCATENATE("Input!",RSE_Setup!$B$17,ROW()+1)))</f>
        <v>4.0000000000000001E-3</v>
      </c>
      <c r="C8" s="1" cm="1">
        <f t="array" aca="1" ref="C8" ca="1">IF(ISBLANK(INDIRECT(CONCATENATE("Input!",RSE_Setup!$B$18,ROW()+1))),"",INDIRECT(CONCATENATE("Input!",RSE_Setup!$B$18,ROW()+1)))</f>
        <v>3.2258000000000002E-2</v>
      </c>
      <c r="D8" s="1" cm="1">
        <f t="array" aca="1" ref="D8" ca="1">IF(ISBLANK(INDIRECT(CONCATENATE("Input!",RSE_Setup!$B$19,ROW()+1))),"",INDIRECT(CONCATENATE("Input!",RSE_Setup!$B$19,ROW()+1)))</f>
        <v>3250</v>
      </c>
      <c r="E8" s="1" cm="1">
        <f t="array" aca="1" ref="E8" ca="1">IF(ISBLANK(INDIRECT(CONCATENATE("Input!",RSE_Setup!$B$24,ROW()+1))),"",INDIRECT(CONCATENATE("Input!",RSE_Setup!$B$24,ROW()+1)))</f>
        <v>229.76704599999999</v>
      </c>
      <c r="F8" s="1">
        <f ca="1"/>
        <v>232.58033877566612</v>
      </c>
    </row>
    <row r="9" spans="1:7" x14ac:dyDescent="0.3">
      <c r="A9" s="1" cm="1">
        <f t="array" aca="1" ref="A9" ca="1">IF(ISBLANK(INDIRECT(CONCATENATE("Input!",RSE_Setup!$B$16,ROW()+1))),"",INDIRECT(CONCATENATE("Input!",RSE_Setup!$B$16,ROW()+1)))</f>
        <v>7.5000000000000002E-4</v>
      </c>
      <c r="B9" s="1" cm="1">
        <f t="array" aca="1" ref="B9" ca="1">IF(ISBLANK(INDIRECT(CONCATENATE("Input!",RSE_Setup!$B$17,ROW()+1))),"",INDIRECT(CONCATENATE("Input!",RSE_Setup!$B$17,ROW()+1)))</f>
        <v>4.0000000000000001E-3</v>
      </c>
      <c r="C9" s="1" cm="1">
        <f t="array" aca="1" ref="C9" ca="1">IF(ISBLANK(INDIRECT(CONCATENATE("Input!",RSE_Setup!$B$18,ROW()+1))),"",INDIRECT(CONCATENATE("Input!",RSE_Setup!$B$18,ROW()+1)))</f>
        <v>3.2258000000000002E-2</v>
      </c>
      <c r="D9" s="1" cm="1">
        <f t="array" aca="1" ref="D9" ca="1">IF(ISBLANK(INDIRECT(CONCATENATE("Input!",RSE_Setup!$B$19,ROW()+1))),"",INDIRECT(CONCATENATE("Input!",RSE_Setup!$B$19,ROW()+1)))</f>
        <v>4250</v>
      </c>
      <c r="E9" s="1" cm="1">
        <f t="array" aca="1" ref="E9" ca="1">IF(ISBLANK(INDIRECT(CONCATENATE("Input!",RSE_Setup!$B$24,ROW()+1))),"",INDIRECT(CONCATENATE("Input!",RSE_Setup!$B$24,ROW()+1)))</f>
        <v>293.34265199999999</v>
      </c>
      <c r="F9" s="1">
        <f ca="1"/>
        <v>298.30602494875228</v>
      </c>
    </row>
    <row r="10" spans="1:7" x14ac:dyDescent="0.3">
      <c r="A10" s="1" cm="1">
        <f t="array" aca="1" ref="A10" ca="1">IF(ISBLANK(INDIRECT(CONCATENATE("Input!",RSE_Setup!$B$16,ROW()+1))),"",INDIRECT(CONCATENATE("Input!",RSE_Setup!$B$16,ROW()+1)))</f>
        <v>7.5000000000000002E-4</v>
      </c>
      <c r="B10" s="1" cm="1">
        <f t="array" aca="1" ref="B10" ca="1">IF(ISBLANK(INDIRECT(CONCATENATE("Input!",RSE_Setup!$B$17,ROW()+1))),"",INDIRECT(CONCATENATE("Input!",RSE_Setup!$B$17,ROW()+1)))</f>
        <v>6.0000000000000001E-3</v>
      </c>
      <c r="C10" s="1" cm="1">
        <f t="array" aca="1" ref="C10" ca="1">IF(ISBLANK(INDIRECT(CONCATENATE("Input!",RSE_Setup!$B$18,ROW()+1))),"",INDIRECT(CONCATENATE("Input!",RSE_Setup!$B$18,ROW()+1)))</f>
        <v>3.2258000000000002E-2</v>
      </c>
      <c r="D10" s="1" cm="1">
        <f t="array" aca="1" ref="D10" ca="1">IF(ISBLANK(INDIRECT(CONCATENATE("Input!",RSE_Setup!$B$19,ROW()+1))),"",INDIRECT(CONCATENATE("Input!",RSE_Setup!$B$19,ROW()+1)))</f>
        <v>3250</v>
      </c>
      <c r="E10" s="1" cm="1">
        <f t="array" aca="1" ref="E10" ca="1">IF(ISBLANK(INDIRECT(CONCATENATE("Input!",RSE_Setup!$B$24,ROW()+1))),"",INDIRECT(CONCATENATE("Input!",RSE_Setup!$B$24,ROW()+1)))</f>
        <v>233.19515100000001</v>
      </c>
      <c r="F10" s="1">
        <f ca="1"/>
        <v>235.84711664639917</v>
      </c>
    </row>
    <row r="11" spans="1:7" x14ac:dyDescent="0.3">
      <c r="A11" s="1" cm="1">
        <f t="array" aca="1" ref="A11" ca="1">IF(ISBLANK(INDIRECT(CONCATENATE("Input!",RSE_Setup!$B$16,ROW()+1))),"",INDIRECT(CONCATENATE("Input!",RSE_Setup!$B$16,ROW()+1)))</f>
        <v>7.5000000000000002E-4</v>
      </c>
      <c r="B11" s="1" cm="1">
        <f t="array" aca="1" ref="B11" ca="1">IF(ISBLANK(INDIRECT(CONCATENATE("Input!",RSE_Setup!$B$17,ROW()+1))),"",INDIRECT(CONCATENATE("Input!",RSE_Setup!$B$17,ROW()+1)))</f>
        <v>6.0000000000000001E-3</v>
      </c>
      <c r="C11" s="1" cm="1">
        <f t="array" aca="1" ref="C11" ca="1">IF(ISBLANK(INDIRECT(CONCATENATE("Input!",RSE_Setup!$B$18,ROW()+1))),"",INDIRECT(CONCATENATE("Input!",RSE_Setup!$B$18,ROW()+1)))</f>
        <v>3.2258000000000002E-2</v>
      </c>
      <c r="D11" s="1" cm="1">
        <f t="array" aca="1" ref="D11" ca="1">IF(ISBLANK(INDIRECT(CONCATENATE("Input!",RSE_Setup!$B$19,ROW()+1))),"",INDIRECT(CONCATENATE("Input!",RSE_Setup!$B$19,ROW()+1)))</f>
        <v>4250</v>
      </c>
      <c r="E11" s="1" cm="1">
        <f t="array" aca="1" ref="E11" ca="1">IF(ISBLANK(INDIRECT(CONCATENATE("Input!",RSE_Setup!$B$24,ROW()+1))),"",INDIRECT(CONCATENATE("Input!",RSE_Setup!$B$24,ROW()+1)))</f>
        <v>297.93579899999997</v>
      </c>
      <c r="F11" s="1">
        <f ca="1"/>
        <v>302.52657411595334</v>
      </c>
    </row>
    <row r="12" spans="1:7" x14ac:dyDescent="0.3">
      <c r="A12" s="1" cm="1">
        <f t="array" aca="1" ref="A12" ca="1">IF(ISBLANK(INDIRECT(CONCATENATE("Input!",RSE_Setup!$B$16,ROW()+1))),"",INDIRECT(CONCATENATE("Input!",RSE_Setup!$B$16,ROW()+1)))</f>
        <v>7.5000000000000002E-4</v>
      </c>
      <c r="B12" s="1" cm="1">
        <f t="array" aca="1" ref="B12" ca="1">IF(ISBLANK(INDIRECT(CONCATENATE("Input!",RSE_Setup!$B$17,ROW()+1))),"",INDIRECT(CONCATENATE("Input!",RSE_Setup!$B$17,ROW()+1)))</f>
        <v>8.0000000000000002E-3</v>
      </c>
      <c r="C12" s="1" cm="1">
        <f t="array" aca="1" ref="C12" ca="1">IF(ISBLANK(INDIRECT(CONCATENATE("Input!",RSE_Setup!$B$18,ROW()+1))),"",INDIRECT(CONCATENATE("Input!",RSE_Setup!$B$18,ROW()+1)))</f>
        <v>3.2258000000000002E-2</v>
      </c>
      <c r="D12" s="1" cm="1">
        <f t="array" aca="1" ref="D12" ca="1">IF(ISBLANK(INDIRECT(CONCATENATE("Input!",RSE_Setup!$B$19,ROW()+1))),"",INDIRECT(CONCATENATE("Input!",RSE_Setup!$B$19,ROW()+1)))</f>
        <v>4250</v>
      </c>
      <c r="E12" s="1" cm="1">
        <f t="array" aca="1" ref="E12" ca="1">IF(ISBLANK(INDIRECT(CONCATENATE("Input!",RSE_Setup!$B$24,ROW()+1))),"",INDIRECT(CONCATENATE("Input!",RSE_Setup!$B$24,ROW()+1)))</f>
        <v>302.38627400000001</v>
      </c>
      <c r="F12" s="1">
        <f ca="1"/>
        <v>307.16498501493351</v>
      </c>
    </row>
    <row r="13" spans="1:7" x14ac:dyDescent="0.3">
      <c r="A13" s="1" cm="1">
        <f t="array" aca="1" ref="A13" ca="1">IF(ISBLANK(INDIRECT(CONCATENATE("Input!",RSE_Setup!$B$16,ROW()+1))),"",INDIRECT(CONCATENATE("Input!",RSE_Setup!$B$16,ROW()+1)))</f>
        <v>1E-3</v>
      </c>
      <c r="B13" s="1" cm="1">
        <f t="array" aca="1" ref="B13" ca="1">IF(ISBLANK(INDIRECT(CONCATENATE("Input!",RSE_Setup!$B$17,ROW()+1))),"",INDIRECT(CONCATENATE("Input!",RSE_Setup!$B$17,ROW()+1)))</f>
        <v>5.0000000000000001E-3</v>
      </c>
      <c r="C13" s="1" cm="1">
        <f t="array" aca="1" ref="C13" ca="1">IF(ISBLANK(INDIRECT(CONCATENATE("Input!",RSE_Setup!$B$18,ROW()+1))),"",INDIRECT(CONCATENATE("Input!",RSE_Setup!$B$18,ROW()+1)))</f>
        <v>3.2258000000000002E-2</v>
      </c>
      <c r="D13" s="1" cm="1">
        <f t="array" aca="1" ref="D13" ca="1">IF(ISBLANK(INDIRECT(CONCATENATE("Input!",RSE_Setup!$B$19,ROW()+1))),"",INDIRECT(CONCATENATE("Input!",RSE_Setup!$B$19,ROW()+1)))</f>
        <v>3250</v>
      </c>
      <c r="E13" s="1" cm="1">
        <f t="array" aca="1" ref="E13" ca="1">IF(ISBLANK(INDIRECT(CONCATENATE("Input!",RSE_Setup!$B$24,ROW()+1))),"",INDIRECT(CONCATENATE("Input!",RSE_Setup!$B$24,ROW()+1)))</f>
        <v>252.49749</v>
      </c>
      <c r="F13" s="1">
        <f ca="1"/>
        <v>255.29887023468964</v>
      </c>
    </row>
    <row r="14" spans="1:7" x14ac:dyDescent="0.3">
      <c r="A14" s="1" cm="1">
        <f t="array" aca="1" ref="A14" ca="1">IF(ISBLANK(INDIRECT(CONCATENATE("Input!",RSE_Setup!$B$16,ROW()+1))),"",INDIRECT(CONCATENATE("Input!",RSE_Setup!$B$16,ROW()+1)))</f>
        <v>1E-3</v>
      </c>
      <c r="B14" s="1" cm="1">
        <f t="array" aca="1" ref="B14" ca="1">IF(ISBLANK(INDIRECT(CONCATENATE("Input!",RSE_Setup!$B$17,ROW()+1))),"",INDIRECT(CONCATENATE("Input!",RSE_Setup!$B$17,ROW()+1)))</f>
        <v>5.0000000000000001E-3</v>
      </c>
      <c r="C14" s="1" cm="1">
        <f t="array" aca="1" ref="C14" ca="1">IF(ISBLANK(INDIRECT(CONCATENATE("Input!",RSE_Setup!$B$18,ROW()+1))),"",INDIRECT(CONCATENATE("Input!",RSE_Setup!$B$18,ROW()+1)))</f>
        <v>3.2258000000000002E-2</v>
      </c>
      <c r="D14" s="1" cm="1">
        <f t="array" aca="1" ref="D14" ca="1">IF(ISBLANK(INDIRECT(CONCATENATE("Input!",RSE_Setup!$B$19,ROW()+1))),"",INDIRECT(CONCATENATE("Input!",RSE_Setup!$B$19,ROW()+1)))</f>
        <v>4250</v>
      </c>
      <c r="E14" s="1" cm="1">
        <f t="array" aca="1" ref="E14" ca="1">IF(ISBLANK(INDIRECT(CONCATENATE("Input!",RSE_Setup!$B$24,ROW()+1))),"",INDIRECT(CONCATENATE("Input!",RSE_Setup!$B$24,ROW()+1)))</f>
        <v>322.39206300000001</v>
      </c>
      <c r="F14" s="1">
        <f ca="1"/>
        <v>327.28775534055376</v>
      </c>
    </row>
    <row r="15" spans="1:7" x14ac:dyDescent="0.3">
      <c r="A15" s="1" cm="1">
        <f t="array" aca="1" ref="A15" ca="1">IF(ISBLANK(INDIRECT(CONCATENATE("Input!",RSE_Setup!$B$16,ROW()+1))),"",INDIRECT(CONCATENATE("Input!",RSE_Setup!$B$16,ROW()+1)))</f>
        <v>1E-3</v>
      </c>
      <c r="B15" s="1" cm="1">
        <f t="array" aca="1" ref="B15" ca="1">IF(ISBLANK(INDIRECT(CONCATENATE("Input!",RSE_Setup!$B$17,ROW()+1))),"",INDIRECT(CONCATENATE("Input!",RSE_Setup!$B$17,ROW()+1)))</f>
        <v>6.4999999999999997E-3</v>
      </c>
      <c r="C15" s="1" cm="1">
        <f t="array" aca="1" ref="C15" ca="1">IF(ISBLANK(INDIRECT(CONCATENATE("Input!",RSE_Setup!$B$18,ROW()+1))),"",INDIRECT(CONCATENATE("Input!",RSE_Setup!$B$18,ROW()+1)))</f>
        <v>3.2258000000000002E-2</v>
      </c>
      <c r="D15" s="1" cm="1">
        <f t="array" aca="1" ref="D15" ca="1">IF(ISBLANK(INDIRECT(CONCATENATE("Input!",RSE_Setup!$B$19,ROW()+1))),"",INDIRECT(CONCATENATE("Input!",RSE_Setup!$B$19,ROW()+1)))</f>
        <v>3250</v>
      </c>
      <c r="E15" s="1" cm="1">
        <f t="array" aca="1" ref="E15" ca="1">IF(ISBLANK(INDIRECT(CONCATENATE("Input!",RSE_Setup!$B$24,ROW()+1))),"",INDIRECT(CONCATENATE("Input!",RSE_Setup!$B$24,ROW()+1)))</f>
        <v>255.09238199999999</v>
      </c>
      <c r="F15" s="1">
        <f ca="1"/>
        <v>258.00346868229531</v>
      </c>
    </row>
    <row r="16" spans="1:7" x14ac:dyDescent="0.3">
      <c r="A16" s="1" cm="1">
        <f t="array" aca="1" ref="A16" ca="1">IF(ISBLANK(INDIRECT(CONCATENATE("Input!",RSE_Setup!$B$16,ROW()+1))),"",INDIRECT(CONCATENATE("Input!",RSE_Setup!$B$16,ROW()+1)))</f>
        <v>1E-3</v>
      </c>
      <c r="B16" s="1" cm="1">
        <f t="array" aca="1" ref="B16" ca="1">IF(ISBLANK(INDIRECT(CONCATENATE("Input!",RSE_Setup!$B$17,ROW()+1))),"",INDIRECT(CONCATENATE("Input!",RSE_Setup!$B$17,ROW()+1)))</f>
        <v>6.4999999999999997E-3</v>
      </c>
      <c r="C16" s="1" cm="1">
        <f t="array" aca="1" ref="C16" ca="1">IF(ISBLANK(INDIRECT(CONCATENATE("Input!",RSE_Setup!$B$18,ROW()+1))),"",INDIRECT(CONCATENATE("Input!",RSE_Setup!$B$18,ROW()+1)))</f>
        <v>3.2258000000000002E-2</v>
      </c>
      <c r="D16" s="1" cm="1">
        <f t="array" aca="1" ref="D16" ca="1">IF(ISBLANK(INDIRECT(CONCATENATE("Input!",RSE_Setup!$B$19,ROW()+1))),"",INDIRECT(CONCATENATE("Input!",RSE_Setup!$B$19,ROW()+1)))</f>
        <v>4250</v>
      </c>
      <c r="E16" s="1" cm="1">
        <f t="array" aca="1" ref="E16" ca="1">IF(ISBLANK(INDIRECT(CONCATENATE("Input!",RSE_Setup!$B$24,ROW()+1))),"",INDIRECT(CONCATENATE("Input!",RSE_Setup!$B$24,ROW()+1)))</f>
        <v>325.83630399999998</v>
      </c>
      <c r="F16" s="1">
        <f ca="1"/>
        <v>330.70768226051035</v>
      </c>
    </row>
    <row r="17" spans="1:6" x14ac:dyDescent="0.3">
      <c r="A17" s="1" cm="1">
        <f t="array" aca="1" ref="A17" ca="1">IF(ISBLANK(INDIRECT(CONCATENATE("Input!",RSE_Setup!$B$16,ROW()+1))),"",INDIRECT(CONCATENATE("Input!",RSE_Setup!$B$16,ROW()+1)))</f>
        <v>1E-3</v>
      </c>
      <c r="B17" s="1" cm="1">
        <f t="array" aca="1" ref="B17" ca="1">IF(ISBLANK(INDIRECT(CONCATENATE("Input!",RSE_Setup!$B$17,ROW()+1))),"",INDIRECT(CONCATENATE("Input!",RSE_Setup!$B$17,ROW()+1)))</f>
        <v>8.0000000000000002E-3</v>
      </c>
      <c r="C17" s="1" cm="1">
        <f t="array" aca="1" ref="C17" ca="1">IF(ISBLANK(INDIRECT(CONCATENATE("Input!",RSE_Setup!$B$18,ROW()+1))),"",INDIRECT(CONCATENATE("Input!",RSE_Setup!$B$18,ROW()+1)))</f>
        <v>3.2258000000000002E-2</v>
      </c>
      <c r="D17" s="1" cm="1">
        <f t="array" aca="1" ref="D17" ca="1">IF(ISBLANK(INDIRECT(CONCATENATE("Input!",RSE_Setup!$B$19,ROW()+1))),"",INDIRECT(CONCATENATE("Input!",RSE_Setup!$B$19,ROW()+1)))</f>
        <v>4250</v>
      </c>
      <c r="E17" s="1" cm="1">
        <f t="array" aca="1" ref="E17" ca="1">IF(ISBLANK(INDIRECT(CONCATENATE("Input!",RSE_Setup!$B$24,ROW()+1))),"",INDIRECT(CONCATENATE("Input!",RSE_Setup!$B$24,ROW()+1)))</f>
        <v>330.06966799999998</v>
      </c>
      <c r="F17" s="1">
        <f ca="1"/>
        <v>334.36265640459277</v>
      </c>
    </row>
    <row r="18" spans="1:6" x14ac:dyDescent="0.3">
      <c r="A18" s="1" cm="1">
        <f t="array" aca="1" ref="A18" ca="1">IF(ISBLANK(INDIRECT(CONCATENATE("Input!",RSE_Setup!$B$16,ROW()+1))),"",INDIRECT(CONCATENATE("Input!",RSE_Setup!$B$16,ROW()+1)))</f>
        <v>2.9999999999999997E-4</v>
      </c>
      <c r="B18" s="1" cm="1">
        <f t="array" aca="1" ref="B18" ca="1">IF(ISBLANK(INDIRECT(CONCATENATE("Input!",RSE_Setup!$B$17,ROW()+1))),"",INDIRECT(CONCATENATE("Input!",RSE_Setup!$B$17,ROW()+1)))</f>
        <v>2E-3</v>
      </c>
      <c r="C18" s="1" cm="1">
        <f t="array" aca="1" ref="C18" ca="1">IF(ISBLANK(INDIRECT(CONCATENATE("Input!",RSE_Setup!$B$18,ROW()+1))),"",INDIRECT(CONCATENATE("Input!",RSE_Setup!$B$18,ROW()+1)))</f>
        <v>3.2258000000000002E-2</v>
      </c>
      <c r="D18" s="1" cm="1">
        <f t="array" aca="1" ref="D18" ca="1">IF(ISBLANK(INDIRECT(CONCATENATE("Input!",RSE_Setup!$B$19,ROW()+1))),"",INDIRECT(CONCATENATE("Input!",RSE_Setup!$B$19,ROW()+1)))</f>
        <v>5250</v>
      </c>
      <c r="E18" s="1" cm="1">
        <f t="array" aca="1" ref="E18" ca="1">IF(ISBLANK(INDIRECT(CONCATENATE("Input!",RSE_Setup!$B$24,ROW()+1))),"",INDIRECT(CONCATENATE("Input!",RSE_Setup!$B$24,ROW()+1)))</f>
        <v>301.83361300000001</v>
      </c>
      <c r="F18" s="1">
        <f ca="1"/>
        <v>302.32127461552079</v>
      </c>
    </row>
    <row r="19" spans="1:6" x14ac:dyDescent="0.3">
      <c r="A19" s="1" cm="1">
        <f t="array" aca="1" ref="A19" ca="1">IF(ISBLANK(INDIRECT(CONCATENATE("Input!",RSE_Setup!$B$16,ROW()+1))),"",INDIRECT(CONCATENATE("Input!",RSE_Setup!$B$16,ROW()+1)))</f>
        <v>2.9999999999999997E-4</v>
      </c>
      <c r="B19" s="1" cm="1">
        <f t="array" aca="1" ref="B19" ca="1">IF(ISBLANK(INDIRECT(CONCATENATE("Input!",RSE_Setup!$B$17,ROW()+1))),"",INDIRECT(CONCATENATE("Input!",RSE_Setup!$B$17,ROW()+1)))</f>
        <v>2E-3</v>
      </c>
      <c r="C19" s="1" cm="1">
        <f t="array" aca="1" ref="C19" ca="1">IF(ISBLANK(INDIRECT(CONCATENATE("Input!",RSE_Setup!$B$18,ROW()+1))),"",INDIRECT(CONCATENATE("Input!",RSE_Setup!$B$18,ROW()+1)))</f>
        <v>3.2258000000000002E-2</v>
      </c>
      <c r="D19" s="1" cm="1">
        <f t="array" aca="1" ref="D19" ca="1">IF(ISBLANK(INDIRECT(CONCATENATE("Input!",RSE_Setup!$B$19,ROW()+1))),"",INDIRECT(CONCATENATE("Input!",RSE_Setup!$B$19,ROW()+1)))</f>
        <v>6500</v>
      </c>
      <c r="E19" s="1" cm="1">
        <f t="array" aca="1" ref="E19" ca="1">IF(ISBLANK(INDIRECT(CONCATENATE("Input!",RSE_Setup!$B$24,ROW()+1))),"",INDIRECT(CONCATENATE("Input!",RSE_Setup!$B$24,ROW()+1)))</f>
        <v>365.29000100000002</v>
      </c>
      <c r="F19" s="1">
        <f ca="1"/>
        <v>370.12292609447911</v>
      </c>
    </row>
    <row r="20" spans="1:6" x14ac:dyDescent="0.3">
      <c r="A20" s="1" cm="1">
        <f t="array" aca="1" ref="A20" ca="1">IF(ISBLANK(INDIRECT(CONCATENATE("Input!",RSE_Setup!$B$16,ROW()+1))),"",INDIRECT(CONCATENATE("Input!",RSE_Setup!$B$16,ROW()+1)))</f>
        <v>2.9999999999999997E-4</v>
      </c>
      <c r="B20" s="1" cm="1">
        <f t="array" aca="1" ref="B20" ca="1">IF(ISBLANK(INDIRECT(CONCATENATE("Input!",RSE_Setup!$B$17,ROW()+1))),"",INDIRECT(CONCATENATE("Input!",RSE_Setup!$B$17,ROW()+1)))</f>
        <v>3.0000000000000001E-3</v>
      </c>
      <c r="C20" s="1" cm="1">
        <f t="array" aca="1" ref="C20" ca="1">IF(ISBLANK(INDIRECT(CONCATENATE("Input!",RSE_Setup!$B$18,ROW()+1))),"",INDIRECT(CONCATENATE("Input!",RSE_Setup!$B$18,ROW()+1)))</f>
        <v>3.2258000000000002E-2</v>
      </c>
      <c r="D20" s="1" cm="1">
        <f t="array" aca="1" ref="D20" ca="1">IF(ISBLANK(INDIRECT(CONCATENATE("Input!",RSE_Setup!$B$19,ROW()+1))),"",INDIRECT(CONCATENATE("Input!",RSE_Setup!$B$19,ROW()+1)))</f>
        <v>5250</v>
      </c>
      <c r="E20" s="1" cm="1">
        <f t="array" aca="1" ref="E20" ca="1">IF(ISBLANK(INDIRECT(CONCATENATE("Input!",RSE_Setup!$B$24,ROW()+1))),"",INDIRECT(CONCATENATE("Input!",RSE_Setup!$B$24,ROW()+1)))</f>
        <v>304.25137699999999</v>
      </c>
      <c r="F20" s="1">
        <f ca="1"/>
        <v>304.48288154600175</v>
      </c>
    </row>
    <row r="21" spans="1:6" x14ac:dyDescent="0.3">
      <c r="A21" s="1" cm="1">
        <f t="array" aca="1" ref="A21" ca="1">IF(ISBLANK(INDIRECT(CONCATENATE("Input!",RSE_Setup!$B$16,ROW()+1))),"",INDIRECT(CONCATENATE("Input!",RSE_Setup!$B$16,ROW()+1)))</f>
        <v>2.9999999999999997E-4</v>
      </c>
      <c r="B21" s="1" cm="1">
        <f t="array" aca="1" ref="B21" ca="1">IF(ISBLANK(INDIRECT(CONCATENATE("Input!",RSE_Setup!$B$17,ROW()+1))),"",INDIRECT(CONCATENATE("Input!",RSE_Setup!$B$17,ROW()+1)))</f>
        <v>3.0000000000000001E-3</v>
      </c>
      <c r="C21" s="1" cm="1">
        <f t="array" aca="1" ref="C21" ca="1">IF(ISBLANK(INDIRECT(CONCATENATE("Input!",RSE_Setup!$B$18,ROW()+1))),"",INDIRECT(CONCATENATE("Input!",RSE_Setup!$B$18,ROW()+1)))</f>
        <v>3.2258000000000002E-2</v>
      </c>
      <c r="D21" s="1" cm="1">
        <f t="array" aca="1" ref="D21" ca="1">IF(ISBLANK(INDIRECT(CONCATENATE("Input!",RSE_Setup!$B$19,ROW()+1))),"",INDIRECT(CONCATENATE("Input!",RSE_Setup!$B$19,ROW()+1)))</f>
        <v>6500</v>
      </c>
      <c r="E21" s="1" cm="1">
        <f t="array" aca="1" ref="E21" ca="1">IF(ISBLANK(INDIRECT(CONCATENATE("Input!",RSE_Setup!$B$24,ROW()+1))),"",INDIRECT(CONCATENATE("Input!",RSE_Setup!$B$24,ROW()+1)))</f>
        <v>368.19463100000002</v>
      </c>
      <c r="F21" s="1">
        <f ca="1"/>
        <v>372.88064008525254</v>
      </c>
    </row>
    <row r="22" spans="1:6" x14ac:dyDescent="0.3">
      <c r="A22" s="1" cm="1">
        <f t="array" aca="1" ref="A22" ca="1">IF(ISBLANK(INDIRECT(CONCATENATE("Input!",RSE_Setup!$B$16,ROW()+1))),"",INDIRECT(CONCATENATE("Input!",RSE_Setup!$B$16,ROW()+1)))</f>
        <v>2.9999999999999997E-4</v>
      </c>
      <c r="B22" s="1" cm="1">
        <f t="array" aca="1" ref="B22" ca="1">IF(ISBLANK(INDIRECT(CONCATENATE("Input!",RSE_Setup!$B$17,ROW()+1))),"",INDIRECT(CONCATENATE("Input!",RSE_Setup!$B$17,ROW()+1)))</f>
        <v>4.0000000000000001E-3</v>
      </c>
      <c r="C22" s="1" cm="1">
        <f t="array" aca="1" ref="C22" ca="1">IF(ISBLANK(INDIRECT(CONCATENATE("Input!",RSE_Setup!$B$18,ROW()+1))),"",INDIRECT(CONCATENATE("Input!",RSE_Setup!$B$18,ROW()+1)))</f>
        <v>3.2258000000000002E-2</v>
      </c>
      <c r="D22" s="1" cm="1">
        <f t="array" aca="1" ref="D22" ca="1">IF(ISBLANK(INDIRECT(CONCATENATE("Input!",RSE_Setup!$B$19,ROW()+1))),"",INDIRECT(CONCATENATE("Input!",RSE_Setup!$B$19,ROW()+1)))</f>
        <v>5250</v>
      </c>
      <c r="E22" s="1" cm="1">
        <f t="array" aca="1" ref="E22" ca="1">IF(ISBLANK(INDIRECT(CONCATENATE("Input!",RSE_Setup!$B$24,ROW()+1))),"",INDIRECT(CONCATENATE("Input!",RSE_Setup!$B$24,ROW()+1)))</f>
        <v>306.71396900000002</v>
      </c>
      <c r="F22" s="1">
        <f ca="1"/>
        <v>306.74895390942754</v>
      </c>
    </row>
    <row r="23" spans="1:6" x14ac:dyDescent="0.3">
      <c r="A23" s="1" cm="1">
        <f t="array" aca="1" ref="A23" ca="1">IF(ISBLANK(INDIRECT(CONCATENATE("Input!",RSE_Setup!$B$16,ROW()+1))),"",INDIRECT(CONCATENATE("Input!",RSE_Setup!$B$16,ROW()+1)))</f>
        <v>2.9999999999999997E-4</v>
      </c>
      <c r="B23" s="1" cm="1">
        <f t="array" aca="1" ref="B23" ca="1">IF(ISBLANK(INDIRECT(CONCATENATE("Input!",RSE_Setup!$B$17,ROW()+1))),"",INDIRECT(CONCATENATE("Input!",RSE_Setup!$B$17,ROW()+1)))</f>
        <v>4.0000000000000001E-3</v>
      </c>
      <c r="C23" s="1" cm="1">
        <f t="array" aca="1" ref="C23" ca="1">IF(ISBLANK(INDIRECT(CONCATENATE("Input!",RSE_Setup!$B$18,ROW()+1))),"",INDIRECT(CONCATENATE("Input!",RSE_Setup!$B$18,ROW()+1)))</f>
        <v>3.2258000000000002E-2</v>
      </c>
      <c r="D23" s="1" cm="1">
        <f t="array" aca="1" ref="D23" ca="1">IF(ISBLANK(INDIRECT(CONCATENATE("Input!",RSE_Setup!$B$19,ROW()+1))),"",INDIRECT(CONCATENATE("Input!",RSE_Setup!$B$19,ROW()+1)))</f>
        <v>6500</v>
      </c>
      <c r="E23" s="1" cm="1">
        <f t="array" aca="1" ref="E23" ca="1">IF(ISBLANK(INDIRECT(CONCATENATE("Input!",RSE_Setup!$B$24,ROW()+1))),"",INDIRECT(CONCATENATE("Input!",RSE_Setup!$B$24,ROW()+1)))</f>
        <v>371.18574000000001</v>
      </c>
      <c r="F23" s="1">
        <f ca="1"/>
        <v>375.74281950897085</v>
      </c>
    </row>
    <row r="24" spans="1:6" x14ac:dyDescent="0.3">
      <c r="A24" s="1" cm="1">
        <f t="array" aca="1" ref="A24" ca="1">IF(ISBLANK(INDIRECT(CONCATENATE("Input!",RSE_Setup!$B$16,ROW()+1))),"",INDIRECT(CONCATENATE("Input!",RSE_Setup!$B$16,ROW()+1)))</f>
        <v>5.0000000000000001E-4</v>
      </c>
      <c r="B24" s="1" cm="1">
        <f t="array" aca="1" ref="B24" ca="1">IF(ISBLANK(INDIRECT(CONCATENATE("Input!",RSE_Setup!$B$17,ROW()+1))),"",INDIRECT(CONCATENATE("Input!",RSE_Setup!$B$17,ROW()+1)))</f>
        <v>3.0000000000000001E-3</v>
      </c>
      <c r="C24" s="1" cm="1">
        <f t="array" aca="1" ref="C24" ca="1">IF(ISBLANK(INDIRECT(CONCATENATE("Input!",RSE_Setup!$B$18,ROW()+1))),"",INDIRECT(CONCATENATE("Input!",RSE_Setup!$B$18,ROW()+1)))</f>
        <v>5.5556000000000001E-2</v>
      </c>
      <c r="D24" s="1" cm="1">
        <f t="array" aca="1" ref="D24" ca="1">IF(ISBLANK(INDIRECT(CONCATENATE("Input!",RSE_Setup!$B$19,ROW()+1))),"",INDIRECT(CONCATENATE("Input!",RSE_Setup!$B$19,ROW()+1)))</f>
        <v>3750</v>
      </c>
      <c r="E24" s="1" cm="1">
        <f t="array" aca="1" ref="E24" ca="1">IF(ISBLANK(INDIRECT(CONCATENATE("Input!",RSE_Setup!$B$24,ROW()+1))),"",INDIRECT(CONCATENATE("Input!",RSE_Setup!$B$24,ROW()+1)))</f>
        <v>278.01088499999997</v>
      </c>
      <c r="F24" s="1">
        <f ca="1"/>
        <v>282.30542293748397</v>
      </c>
    </row>
    <row r="25" spans="1:6" x14ac:dyDescent="0.3">
      <c r="A25" s="1" cm="1">
        <f t="array" aca="1" ref="A25" ca="1">IF(ISBLANK(INDIRECT(CONCATENATE("Input!",RSE_Setup!$B$16,ROW()+1))),"",INDIRECT(CONCATENATE("Input!",RSE_Setup!$B$16,ROW()+1)))</f>
        <v>5.0000000000000001E-4</v>
      </c>
      <c r="B25" s="1" cm="1">
        <f t="array" aca="1" ref="B25" ca="1">IF(ISBLANK(INDIRECT(CONCATENATE("Input!",RSE_Setup!$B$17,ROW()+1))),"",INDIRECT(CONCATENATE("Input!",RSE_Setup!$B$17,ROW()+1)))</f>
        <v>3.0000000000000001E-3</v>
      </c>
      <c r="C25" s="1" cm="1">
        <f t="array" aca="1" ref="C25" ca="1">IF(ISBLANK(INDIRECT(CONCATENATE("Input!",RSE_Setup!$B$18,ROW()+1))),"",INDIRECT(CONCATENATE("Input!",RSE_Setup!$B$18,ROW()+1)))</f>
        <v>3.2258000000000002E-2</v>
      </c>
      <c r="D25" s="1" cm="1">
        <f t="array" aca="1" ref="D25" ca="1">IF(ISBLANK(INDIRECT(CONCATENATE("Input!",RSE_Setup!$B$19,ROW()+1))),"",INDIRECT(CONCATENATE("Input!",RSE_Setup!$B$19,ROW()+1)))</f>
        <v>3750</v>
      </c>
      <c r="E25" s="1" cm="1">
        <f t="array" aca="1" ref="E25" ca="1">IF(ISBLANK(INDIRECT(CONCATENATE("Input!",RSE_Setup!$B$24,ROW()+1))),"",INDIRECT(CONCATENATE("Input!",RSE_Setup!$B$24,ROW()+1)))</f>
        <v>242.92525599999999</v>
      </c>
      <c r="F25" s="1">
        <f ca="1"/>
        <v>240.47626813097378</v>
      </c>
    </row>
    <row r="26" spans="1:6" x14ac:dyDescent="0.3">
      <c r="A26" s="1" cm="1">
        <f t="array" aca="1" ref="A26" ca="1">IF(ISBLANK(INDIRECT(CONCATENATE("Input!",RSE_Setup!$B$16,ROW()+1))),"",INDIRECT(CONCATENATE("Input!",RSE_Setup!$B$16,ROW()+1)))</f>
        <v>5.0000000000000001E-4</v>
      </c>
      <c r="B26" s="1" cm="1">
        <f t="array" aca="1" ref="B26" ca="1">IF(ISBLANK(INDIRECT(CONCATENATE("Input!",RSE_Setup!$B$17,ROW()+1))),"",INDIRECT(CONCATENATE("Input!",RSE_Setup!$B$17,ROW()+1)))</f>
        <v>3.0000000000000001E-3</v>
      </c>
      <c r="C26" s="1" cm="1">
        <f t="array" aca="1" ref="C26" ca="1">IF(ISBLANK(INDIRECT(CONCATENATE("Input!",RSE_Setup!$B$18,ROW()+1))),"",INDIRECT(CONCATENATE("Input!",RSE_Setup!$B$18,ROW()+1)))</f>
        <v>3.2258000000000002E-2</v>
      </c>
      <c r="D26" s="1" cm="1">
        <f t="array" aca="1" ref="D26" ca="1">IF(ISBLANK(INDIRECT(CONCATENATE("Input!",RSE_Setup!$B$19,ROW()+1))),"",INDIRECT(CONCATENATE("Input!",RSE_Setup!$B$19,ROW()+1)))</f>
        <v>5250</v>
      </c>
      <c r="E26" s="1" cm="1">
        <f t="array" aca="1" ref="E26" ca="1">IF(ISBLANK(INDIRECT(CONCATENATE("Input!",RSE_Setup!$B$24,ROW()+1))),"",INDIRECT(CONCATENATE("Input!",RSE_Setup!$B$24,ROW()+1)))</f>
        <v>328.84759200000002</v>
      </c>
      <c r="F26" s="1">
        <f ca="1"/>
        <v>329.60899498958594</v>
      </c>
    </row>
    <row r="27" spans="1:6" x14ac:dyDescent="0.3">
      <c r="A27" s="1" cm="1">
        <f t="array" aca="1" ref="A27" ca="1">IF(ISBLANK(INDIRECT(CONCATENATE("Input!",RSE_Setup!$B$16,ROW()+1))),"",INDIRECT(CONCATENATE("Input!",RSE_Setup!$B$16,ROW()+1)))</f>
        <v>5.0000000000000001E-4</v>
      </c>
      <c r="B27" s="1" cm="1">
        <f t="array" aca="1" ref="B27" ca="1">IF(ISBLANK(INDIRECT(CONCATENATE("Input!",RSE_Setup!$B$17,ROW()+1))),"",INDIRECT(CONCATENATE("Input!",RSE_Setup!$B$17,ROW()+1)))</f>
        <v>3.0000000000000001E-3</v>
      </c>
      <c r="C27" s="1" cm="1">
        <f t="array" aca="1" ref="C27" ca="1">IF(ISBLANK(INDIRECT(CONCATENATE("Input!",RSE_Setup!$B$18,ROW()+1))),"",INDIRECT(CONCATENATE("Input!",RSE_Setup!$B$18,ROW()+1)))</f>
        <v>3.2258000000000002E-2</v>
      </c>
      <c r="D27" s="1" cm="1">
        <f t="array" aca="1" ref="D27" ca="1">IF(ISBLANK(INDIRECT(CONCATENATE("Input!",RSE_Setup!$B$19,ROW()+1))),"",INDIRECT(CONCATENATE("Input!",RSE_Setup!$B$19,ROW()+1)))</f>
        <v>6500</v>
      </c>
      <c r="E27" s="1" cm="1">
        <f t="array" aca="1" ref="E27" ca="1">IF(ISBLANK(INDIRECT(CONCATENATE("Input!",RSE_Setup!$B$24,ROW()+1))),"",INDIRECT(CONCATENATE("Input!",RSE_Setup!$B$24,ROW()+1)))</f>
        <v>398.23225200000002</v>
      </c>
      <c r="F27" s="1">
        <f ca="1"/>
        <v>403.79306681338073</v>
      </c>
    </row>
    <row r="28" spans="1:6" x14ac:dyDescent="0.3">
      <c r="A28" s="1" cm="1">
        <f t="array" aca="1" ref="A28" ca="1">IF(ISBLANK(INDIRECT(CONCATENATE("Input!",RSE_Setup!$B$16,ROW()+1))),"",INDIRECT(CONCATENATE("Input!",RSE_Setup!$B$16,ROW()+1)))</f>
        <v>5.0000000000000001E-4</v>
      </c>
      <c r="B28" s="1" cm="1">
        <f t="array" aca="1" ref="B28" ca="1">IF(ISBLANK(INDIRECT(CONCATENATE("Input!",RSE_Setup!$B$17,ROW()+1))),"",INDIRECT(CONCATENATE("Input!",RSE_Setup!$B$17,ROW()+1)))</f>
        <v>4.7499999999999999E-3</v>
      </c>
      <c r="C28" s="1" cm="1">
        <f t="array" aca="1" ref="C28" ca="1">IF(ISBLANK(INDIRECT(CONCATENATE("Input!",RSE_Setup!$B$18,ROW()+1))),"",INDIRECT(CONCATENATE("Input!",RSE_Setup!$B$18,ROW()+1)))</f>
        <v>5.5556000000000001E-2</v>
      </c>
      <c r="D28" s="1" cm="1">
        <f t="array" aca="1" ref="D28" ca="1">IF(ISBLANK(INDIRECT(CONCATENATE("Input!",RSE_Setup!$B$19,ROW()+1))),"",INDIRECT(CONCATENATE("Input!",RSE_Setup!$B$19,ROW()+1)))</f>
        <v>3000</v>
      </c>
      <c r="E28" s="1" cm="1">
        <f t="array" aca="1" ref="E28" ca="1">IF(ISBLANK(INDIRECT(CONCATENATE("Input!",RSE_Setup!$B$24,ROW()+1))),"",INDIRECT(CONCATENATE("Input!",RSE_Setup!$B$24,ROW()+1)))</f>
        <v>232.47862599999999</v>
      </c>
      <c r="F28" s="1">
        <f ca="1"/>
        <v>233.3274212281575</v>
      </c>
    </row>
    <row r="29" spans="1:6" x14ac:dyDescent="0.3">
      <c r="A29" s="1" cm="1">
        <f t="array" aca="1" ref="A29" ca="1">IF(ISBLANK(INDIRECT(CONCATENATE("Input!",RSE_Setup!$B$16,ROW()+1))),"",INDIRECT(CONCATENATE("Input!",RSE_Setup!$B$16,ROW()+1)))</f>
        <v>5.0000000000000001E-4</v>
      </c>
      <c r="B29" s="1" cm="1">
        <f t="array" aca="1" ref="B29" ca="1">IF(ISBLANK(INDIRECT(CONCATENATE("Input!",RSE_Setup!$B$17,ROW()+1))),"",INDIRECT(CONCATENATE("Input!",RSE_Setup!$B$17,ROW()+1)))</f>
        <v>4.7499999999999999E-3</v>
      </c>
      <c r="C29" s="1" cm="1">
        <f t="array" aca="1" ref="C29" ca="1">IF(ISBLANK(INDIRECT(CONCATENATE("Input!",RSE_Setup!$B$18,ROW()+1))),"",INDIRECT(CONCATENATE("Input!",RSE_Setup!$B$18,ROW()+1)))</f>
        <v>5.5556000000000001E-2</v>
      </c>
      <c r="D29" s="1" cm="1">
        <f t="array" aca="1" ref="D29" ca="1">IF(ISBLANK(INDIRECT(CONCATENATE("Input!",RSE_Setup!$B$19,ROW()+1))),"",INDIRECT(CONCATENATE("Input!",RSE_Setup!$B$19,ROW()+1)))</f>
        <v>3750</v>
      </c>
      <c r="E29" s="1" cm="1">
        <f t="array" aca="1" ref="E29" ca="1">IF(ISBLANK(INDIRECT(CONCATENATE("Input!",RSE_Setup!$B$24,ROW()+1))),"",INDIRECT(CONCATENATE("Input!",RSE_Setup!$B$24,ROW()+1)))</f>
        <v>281.35172299999999</v>
      </c>
      <c r="F29" s="1">
        <f ca="1"/>
        <v>285.60699226642794</v>
      </c>
    </row>
    <row r="30" spans="1:6" x14ac:dyDescent="0.3">
      <c r="A30" s="1" cm="1">
        <f t="array" aca="1" ref="A30" ca="1">IF(ISBLANK(INDIRECT(CONCATENATE("Input!",RSE_Setup!$B$16,ROW()+1))),"",INDIRECT(CONCATENATE("Input!",RSE_Setup!$B$16,ROW()+1)))</f>
        <v>5.0000000000000001E-4</v>
      </c>
      <c r="B30" s="1" cm="1">
        <f t="array" aca="1" ref="B30" ca="1">IF(ISBLANK(INDIRECT(CONCATENATE("Input!",RSE_Setup!$B$17,ROW()+1))),"",INDIRECT(CONCATENATE("Input!",RSE_Setup!$B$17,ROW()+1)))</f>
        <v>4.7499999999999999E-3</v>
      </c>
      <c r="C30" s="1" cm="1">
        <f t="array" aca="1" ref="C30" ca="1">IF(ISBLANK(INDIRECT(CONCATENATE("Input!",RSE_Setup!$B$18,ROW()+1))),"",INDIRECT(CONCATENATE("Input!",RSE_Setup!$B$18,ROW()+1)))</f>
        <v>3.2258000000000002E-2</v>
      </c>
      <c r="D30" s="1" cm="1">
        <f t="array" aca="1" ref="D30" ca="1">IF(ISBLANK(INDIRECT(CONCATENATE("Input!",RSE_Setup!$B$19,ROW()+1))),"",INDIRECT(CONCATENATE("Input!",RSE_Setup!$B$19,ROW()+1)))</f>
        <v>3750</v>
      </c>
      <c r="E30" s="1" cm="1">
        <f t="array" aca="1" ref="E30" ca="1">IF(ISBLANK(INDIRECT(CONCATENATE("Input!",RSE_Setup!$B$24,ROW()+1))),"",INDIRECT(CONCATENATE("Input!",RSE_Setup!$B$24,ROW()+1)))</f>
        <v>246.32309799999999</v>
      </c>
      <c r="F30" s="1">
        <f ca="1"/>
        <v>243.38648405105147</v>
      </c>
    </row>
    <row r="31" spans="1:6" x14ac:dyDescent="0.3">
      <c r="A31" s="1" cm="1">
        <f t="array" aca="1" ref="A31" ca="1">IF(ISBLANK(INDIRECT(CONCATENATE("Input!",RSE_Setup!$B$16,ROW()+1))),"",INDIRECT(CONCATENATE("Input!",RSE_Setup!$B$16,ROW()+1)))</f>
        <v>5.0000000000000001E-4</v>
      </c>
      <c r="B31" s="1" cm="1">
        <f t="array" aca="1" ref="B31" ca="1">IF(ISBLANK(INDIRECT(CONCATENATE("Input!",RSE_Setup!$B$17,ROW()+1))),"",INDIRECT(CONCATENATE("Input!",RSE_Setup!$B$17,ROW()+1)))</f>
        <v>4.7499999999999999E-3</v>
      </c>
      <c r="C31" s="1" cm="1">
        <f t="array" aca="1" ref="C31" ca="1">IF(ISBLANK(INDIRECT(CONCATENATE("Input!",RSE_Setup!$B$18,ROW()+1))),"",INDIRECT(CONCATENATE("Input!",RSE_Setup!$B$18,ROW()+1)))</f>
        <v>3.2258000000000002E-2</v>
      </c>
      <c r="D31" s="1" cm="1">
        <f t="array" aca="1" ref="D31" ca="1">IF(ISBLANK(INDIRECT(CONCATENATE("Input!",RSE_Setup!$B$19,ROW()+1))),"",INDIRECT(CONCATENATE("Input!",RSE_Setup!$B$19,ROW()+1)))</f>
        <v>5250</v>
      </c>
      <c r="E31" s="1" cm="1">
        <f t="array" aca="1" ref="E31" ca="1">IF(ISBLANK(INDIRECT(CONCATENATE("Input!",RSE_Setup!$B$24,ROW()+1))),"",INDIRECT(CONCATENATE("Input!",RSE_Setup!$B$24,ROW()+1)))</f>
        <v>333.409942</v>
      </c>
      <c r="F31" s="1">
        <f ca="1"/>
        <v>333.77103573627784</v>
      </c>
    </row>
    <row r="32" spans="1:6" x14ac:dyDescent="0.3">
      <c r="A32" s="1" cm="1">
        <f t="array" aca="1" ref="A32" ca="1">IF(ISBLANK(INDIRECT(CONCATENATE("Input!",RSE_Setup!$B$16,ROW()+1))),"",INDIRECT(CONCATENATE("Input!",RSE_Setup!$B$16,ROW()+1)))</f>
        <v>5.0000000000000001E-4</v>
      </c>
      <c r="B32" s="1" cm="1">
        <f t="array" aca="1" ref="B32" ca="1">IF(ISBLANK(INDIRECT(CONCATENATE("Input!",RSE_Setup!$B$17,ROW()+1))),"",INDIRECT(CONCATENATE("Input!",RSE_Setup!$B$17,ROW()+1)))</f>
        <v>4.7499999999999999E-3</v>
      </c>
      <c r="C32" s="1" cm="1">
        <f t="array" aca="1" ref="C32" ca="1">IF(ISBLANK(INDIRECT(CONCATENATE("Input!",RSE_Setup!$B$18,ROW()+1))),"",INDIRECT(CONCATENATE("Input!",RSE_Setup!$B$18,ROW()+1)))</f>
        <v>3.2258000000000002E-2</v>
      </c>
      <c r="D32" s="1" cm="1">
        <f t="array" aca="1" ref="D32" ca="1">IF(ISBLANK(INDIRECT(CONCATENATE("Input!",RSE_Setup!$B$19,ROW()+1))),"",INDIRECT(CONCATENATE("Input!",RSE_Setup!$B$19,ROW()+1)))</f>
        <v>6500</v>
      </c>
      <c r="E32" s="1" cm="1">
        <f t="array" aca="1" ref="E32" ca="1">IF(ISBLANK(INDIRECT(CONCATENATE("Input!",RSE_Setup!$B$24,ROW()+1))),"",INDIRECT(CONCATENATE("Input!",RSE_Setup!$B$24,ROW()+1)))</f>
        <v>403.867097</v>
      </c>
      <c r="F32" s="1">
        <f ca="1"/>
        <v>408.99829491558449</v>
      </c>
    </row>
    <row r="33" spans="1:6" x14ac:dyDescent="0.3">
      <c r="A33" s="1" cm="1">
        <f t="array" aca="1" ref="A33" ca="1">IF(ISBLANK(INDIRECT(CONCATENATE("Input!",RSE_Setup!$B$16,ROW()+1))),"",INDIRECT(CONCATENATE("Input!",RSE_Setup!$B$16,ROW()+1)))</f>
        <v>5.0000000000000001E-4</v>
      </c>
      <c r="B33" s="1" cm="1">
        <f t="array" aca="1" ref="B33" ca="1">IF(ISBLANK(INDIRECT(CONCATENATE("Input!",RSE_Setup!$B$17,ROW()+1))),"",INDIRECT(CONCATENATE("Input!",RSE_Setup!$B$17,ROW()+1)))</f>
        <v>6.4999999999999997E-3</v>
      </c>
      <c r="C33" s="1" cm="1">
        <f t="array" aca="1" ref="C33" ca="1">IF(ISBLANK(INDIRECT(CONCATENATE("Input!",RSE_Setup!$B$18,ROW()+1))),"",INDIRECT(CONCATENATE("Input!",RSE_Setup!$B$18,ROW()+1)))</f>
        <v>5.5556000000000001E-2</v>
      </c>
      <c r="D33" s="1" cm="1">
        <f t="array" aca="1" ref="D33" ca="1">IF(ISBLANK(INDIRECT(CONCATENATE("Input!",RSE_Setup!$B$19,ROW()+1))),"",INDIRECT(CONCATENATE("Input!",RSE_Setup!$B$19,ROW()+1)))</f>
        <v>3000</v>
      </c>
      <c r="E33" s="1" cm="1">
        <f t="array" aca="1" ref="E33" ca="1">IF(ISBLANK(INDIRECT(CONCATENATE("Input!",RSE_Setup!$B$24,ROW()+1))),"",INDIRECT(CONCATENATE("Input!",RSE_Setup!$B$24,ROW()+1)))</f>
        <v>235.21418199999999</v>
      </c>
      <c r="F33" s="1">
        <f ca="1"/>
        <v>236.32300353218773</v>
      </c>
    </row>
    <row r="34" spans="1:6" x14ac:dyDescent="0.3">
      <c r="A34" s="1" cm="1">
        <f t="array" aca="1" ref="A34" ca="1">IF(ISBLANK(INDIRECT(CONCATENATE("Input!",RSE_Setup!$B$16,ROW()+1))),"",INDIRECT(CONCATENATE("Input!",RSE_Setup!$B$16,ROW()+1)))</f>
        <v>5.0000000000000001E-4</v>
      </c>
      <c r="B34" s="1" cm="1">
        <f t="array" aca="1" ref="B34" ca="1">IF(ISBLANK(INDIRECT(CONCATENATE("Input!",RSE_Setup!$B$17,ROW()+1))),"",INDIRECT(CONCATENATE("Input!",RSE_Setup!$B$17,ROW()+1)))</f>
        <v>6.4999999999999997E-3</v>
      </c>
      <c r="C34" s="1" cm="1">
        <f t="array" aca="1" ref="C34" ca="1">IF(ISBLANK(INDIRECT(CONCATENATE("Input!",RSE_Setup!$B$18,ROW()+1))),"",INDIRECT(CONCATENATE("Input!",RSE_Setup!$B$18,ROW()+1)))</f>
        <v>5.5556000000000001E-2</v>
      </c>
      <c r="D34" s="1" cm="1">
        <f t="array" aca="1" ref="D34" ca="1">IF(ISBLANK(INDIRECT(CONCATENATE("Input!",RSE_Setup!$B$19,ROW()+1))),"",INDIRECT(CONCATENATE("Input!",RSE_Setup!$B$19,ROW()+1)))</f>
        <v>3750</v>
      </c>
      <c r="E34" s="1" cm="1">
        <f t="array" aca="1" ref="E34" ca="1">IF(ISBLANK(INDIRECT(CONCATENATE("Input!",RSE_Setup!$B$24,ROW()+1))),"",INDIRECT(CONCATENATE("Input!",RSE_Setup!$B$24,ROW()+1)))</f>
        <v>284.65212200000002</v>
      </c>
      <c r="F34" s="1">
        <f ca="1"/>
        <v>289.22848698376526</v>
      </c>
    </row>
    <row r="35" spans="1:6" x14ac:dyDescent="0.3">
      <c r="A35" s="1" cm="1">
        <f t="array" aca="1" ref="A35" ca="1">IF(ISBLANK(INDIRECT(CONCATENATE("Input!",RSE_Setup!$B$16,ROW()+1))),"",INDIRECT(CONCATENATE("Input!",RSE_Setup!$B$16,ROW()+1)))</f>
        <v>5.0000000000000001E-4</v>
      </c>
      <c r="B35" s="1" cm="1">
        <f t="array" aca="1" ref="B35" ca="1">IF(ISBLANK(INDIRECT(CONCATENATE("Input!",RSE_Setup!$B$17,ROW()+1))),"",INDIRECT(CONCATENATE("Input!",RSE_Setup!$B$17,ROW()+1)))</f>
        <v>6.4999999999999997E-3</v>
      </c>
      <c r="C35" s="1" cm="1">
        <f t="array" aca="1" ref="C35" ca="1">IF(ISBLANK(INDIRECT(CONCATENATE("Input!",RSE_Setup!$B$18,ROW()+1))),"",INDIRECT(CONCATENATE("Input!",RSE_Setup!$B$18,ROW()+1)))</f>
        <v>3.2258000000000002E-2</v>
      </c>
      <c r="D35" s="1" cm="1">
        <f t="array" aca="1" ref="D35" ca="1">IF(ISBLANK(INDIRECT(CONCATENATE("Input!",RSE_Setup!$B$19,ROW()+1))),"",INDIRECT(CONCATENATE("Input!",RSE_Setup!$B$19,ROW()+1)))</f>
        <v>3750</v>
      </c>
      <c r="E35" s="1" cm="1">
        <f t="array" aca="1" ref="E35" ca="1">IF(ISBLANK(INDIRECT(CONCATENATE("Input!",RSE_Setup!$B$24,ROW()+1))),"",INDIRECT(CONCATENATE("Input!",RSE_Setup!$B$24,ROW()+1)))</f>
        <v>249.698241</v>
      </c>
      <c r="F35" s="1">
        <f ca="1"/>
        <v>246.61662535952252</v>
      </c>
    </row>
    <row r="36" spans="1:6" x14ac:dyDescent="0.3">
      <c r="A36" s="1" cm="1">
        <f t="array" aca="1" ref="A36" ca="1">IF(ISBLANK(INDIRECT(CONCATENATE("Input!",RSE_Setup!$B$16,ROW()+1))),"",INDIRECT(CONCATENATE("Input!",RSE_Setup!$B$16,ROW()+1)))</f>
        <v>5.0000000000000001E-4</v>
      </c>
      <c r="B36" s="1" cm="1">
        <f t="array" aca="1" ref="B36" ca="1">IF(ISBLANK(INDIRECT(CONCATENATE("Input!",RSE_Setup!$B$17,ROW()+1))),"",INDIRECT(CONCATENATE("Input!",RSE_Setup!$B$17,ROW()+1)))</f>
        <v>6.4999999999999997E-3</v>
      </c>
      <c r="C36" s="1" cm="1">
        <f t="array" aca="1" ref="C36" ca="1">IF(ISBLANK(INDIRECT(CONCATENATE("Input!",RSE_Setup!$B$18,ROW()+1))),"",INDIRECT(CONCATENATE("Input!",RSE_Setup!$B$18,ROW()+1)))</f>
        <v>3.2258000000000002E-2</v>
      </c>
      <c r="D36" s="1" cm="1">
        <f t="array" aca="1" ref="D36" ca="1">IF(ISBLANK(INDIRECT(CONCATENATE("Input!",RSE_Setup!$B$19,ROW()+1))),"",INDIRECT(CONCATENATE("Input!",RSE_Setup!$B$19,ROW()+1)))</f>
        <v>5250</v>
      </c>
      <c r="E36" s="1" cm="1">
        <f t="array" aca="1" ref="E36" ca="1">IF(ISBLANK(INDIRECT(CONCATENATE("Input!",RSE_Setup!$B$24,ROW()+1))),"",INDIRECT(CONCATENATE("Input!",RSE_Setup!$B$24,ROW()+1)))</f>
        <v>338.26728300000002</v>
      </c>
      <c r="F36" s="1">
        <f ca="1"/>
        <v>338.25300187136315</v>
      </c>
    </row>
    <row r="37" spans="1:6" x14ac:dyDescent="0.3">
      <c r="A37" s="1" cm="1">
        <f t="array" aca="1" ref="A37" ca="1">IF(ISBLANK(INDIRECT(CONCATENATE("Input!",RSE_Setup!$B$16,ROW()+1))),"",INDIRECT(CONCATENATE("Input!",RSE_Setup!$B$16,ROW()+1)))</f>
        <v>5.0000000000000001E-4</v>
      </c>
      <c r="B37" s="1" cm="1">
        <f t="array" aca="1" ref="B37" ca="1">IF(ISBLANK(INDIRECT(CONCATENATE("Input!",RSE_Setup!$B$17,ROW()+1))),"",INDIRECT(CONCATENATE("Input!",RSE_Setup!$B$17,ROW()+1)))</f>
        <v>6.4999999999999997E-3</v>
      </c>
      <c r="C37" s="1" cm="1">
        <f t="array" aca="1" ref="C37" ca="1">IF(ISBLANK(INDIRECT(CONCATENATE("Input!",RSE_Setup!$B$18,ROW()+1))),"",INDIRECT(CONCATENATE("Input!",RSE_Setup!$B$18,ROW()+1)))</f>
        <v>3.2258000000000002E-2</v>
      </c>
      <c r="D37" s="1" cm="1">
        <f t="array" aca="1" ref="D37" ca="1">IF(ISBLANK(INDIRECT(CONCATENATE("Input!",RSE_Setup!$B$19,ROW()+1))),"",INDIRECT(CONCATENATE("Input!",RSE_Setup!$B$19,ROW()+1)))</f>
        <v>6500</v>
      </c>
      <c r="E37" s="1" cm="1">
        <f t="array" aca="1" ref="E37" ca="1">IF(ISBLANK(INDIRECT(CONCATENATE("Input!",RSE_Setup!$B$24,ROW()+1))),"",INDIRECT(CONCATENATE("Input!",RSE_Setup!$B$24,ROW()+1)))</f>
        <v>409.46136200000001</v>
      </c>
      <c r="F37" s="1">
        <f ca="1"/>
        <v>414.52344840618167</v>
      </c>
    </row>
    <row r="38" spans="1:6" x14ac:dyDescent="0.3">
      <c r="A38" s="1" cm="1">
        <f t="array" aca="1" ref="A38" ca="1">IF(ISBLANK(INDIRECT(CONCATENATE("Input!",RSE_Setup!$B$16,ROW()+1))),"",INDIRECT(CONCATENATE("Input!",RSE_Setup!$B$16,ROW()+1)))</f>
        <v>7.5000000000000002E-4</v>
      </c>
      <c r="B38" s="1" cm="1">
        <f t="array" aca="1" ref="B38" ca="1">IF(ISBLANK(INDIRECT(CONCATENATE("Input!",RSE_Setup!$B$17,ROW()+1))),"",INDIRECT(CONCATENATE("Input!",RSE_Setup!$B$17,ROW()+1)))</f>
        <v>4.0000000000000001E-3</v>
      </c>
      <c r="C38" s="1" cm="1">
        <f t="array" aca="1" ref="C38" ca="1">IF(ISBLANK(INDIRECT(CONCATENATE("Input!",RSE_Setup!$B$18,ROW()+1))),"",INDIRECT(CONCATENATE("Input!",RSE_Setup!$B$18,ROW()+1)))</f>
        <v>5.5556000000000001E-2</v>
      </c>
      <c r="D38" s="1" cm="1">
        <f t="array" aca="1" ref="D38" ca="1">IF(ISBLANK(INDIRECT(CONCATENATE("Input!",RSE_Setup!$B$19,ROW()+1))),"",INDIRECT(CONCATENATE("Input!",RSE_Setup!$B$19,ROW()+1)))</f>
        <v>3750</v>
      </c>
      <c r="E38" s="1" cm="1">
        <f t="array" aca="1" ref="E38" ca="1">IF(ISBLANK(INDIRECT(CONCATENATE("Input!",RSE_Setup!$B$24,ROW()+1))),"",INDIRECT(CONCATENATE("Input!",RSE_Setup!$B$24,ROW()+1)))</f>
        <v>302.38356399999998</v>
      </c>
      <c r="F38" s="1">
        <f ca="1"/>
        <v>307.44752785468779</v>
      </c>
    </row>
    <row r="39" spans="1:6" x14ac:dyDescent="0.3">
      <c r="A39" s="1" cm="1">
        <f t="array" aca="1" ref="A39" ca="1">IF(ISBLANK(INDIRECT(CONCATENATE("Input!",RSE_Setup!$B$16,ROW()+1))),"",INDIRECT(CONCATENATE("Input!",RSE_Setup!$B$16,ROW()+1)))</f>
        <v>7.5000000000000002E-4</v>
      </c>
      <c r="B39" s="1" cm="1">
        <f t="array" aca="1" ref="B39" ca="1">IF(ISBLANK(INDIRECT(CONCATENATE("Input!",RSE_Setup!$B$17,ROW()+1))),"",INDIRECT(CONCATENATE("Input!",RSE_Setup!$B$17,ROW()+1)))</f>
        <v>4.0000000000000001E-3</v>
      </c>
      <c r="C39" s="1" cm="1">
        <f t="array" aca="1" ref="C39" ca="1">IF(ISBLANK(INDIRECT(CONCATENATE("Input!",RSE_Setup!$B$18,ROW()+1))),"",INDIRECT(CONCATENATE("Input!",RSE_Setup!$B$18,ROW()+1)))</f>
        <v>3.2258000000000002E-2</v>
      </c>
      <c r="D39" s="1" cm="1">
        <f t="array" aca="1" ref="D39" ca="1">IF(ISBLANK(INDIRECT(CONCATENATE("Input!",RSE_Setup!$B$19,ROW()+1))),"",INDIRECT(CONCATENATE("Input!",RSE_Setup!$B$19,ROW()+1)))</f>
        <v>3750</v>
      </c>
      <c r="E39" s="1" cm="1">
        <f t="array" aca="1" ref="E39" ca="1">IF(ISBLANK(INDIRECT(CONCATENATE("Input!",RSE_Setup!$B$24,ROW()+1))),"",INDIRECT(CONCATENATE("Input!",RSE_Setup!$B$24,ROW()+1)))</f>
        <v>268.07932299999999</v>
      </c>
      <c r="F39" s="1">
        <f ca="1"/>
        <v>265.44996008463698</v>
      </c>
    </row>
    <row r="40" spans="1:6" x14ac:dyDescent="0.3">
      <c r="A40" s="1" cm="1">
        <f t="array" aca="1" ref="A40" ca="1">IF(ISBLANK(INDIRECT(CONCATENATE("Input!",RSE_Setup!$B$16,ROW()+1))),"",INDIRECT(CONCATENATE("Input!",RSE_Setup!$B$16,ROW()+1)))</f>
        <v>7.5000000000000002E-4</v>
      </c>
      <c r="B40" s="1" cm="1">
        <f t="array" aca="1" ref="B40" ca="1">IF(ISBLANK(INDIRECT(CONCATENATE("Input!",RSE_Setup!$B$17,ROW()+1))),"",INDIRECT(CONCATENATE("Input!",RSE_Setup!$B$17,ROW()+1)))</f>
        <v>4.0000000000000001E-3</v>
      </c>
      <c r="C40" s="1" cm="1">
        <f t="array" aca="1" ref="C40" ca="1">IF(ISBLANK(INDIRECT(CONCATENATE("Input!",RSE_Setup!$B$18,ROW()+1))),"",INDIRECT(CONCATENATE("Input!",RSE_Setup!$B$18,ROW()+1)))</f>
        <v>3.2258000000000002E-2</v>
      </c>
      <c r="D40" s="1" cm="1">
        <f t="array" aca="1" ref="D40" ca="1">IF(ISBLANK(INDIRECT(CONCATENATE("Input!",RSE_Setup!$B$19,ROW()+1))),"",INDIRECT(CONCATENATE("Input!",RSE_Setup!$B$19,ROW()+1)))</f>
        <v>5250</v>
      </c>
      <c r="E40" s="1" cm="1">
        <f t="array" aca="1" ref="E40" ca="1">IF(ISBLANK(INDIRECT(CONCATENATE("Input!",RSE_Setup!$B$24,ROW()+1))),"",INDIRECT(CONCATENATE("Input!",RSE_Setup!$B$24,ROW()+1)))</f>
        <v>363.59871299999998</v>
      </c>
      <c r="F40" s="1">
        <f ca="1"/>
        <v>363.97748534241612</v>
      </c>
    </row>
    <row r="41" spans="1:6" x14ac:dyDescent="0.3">
      <c r="A41" s="1" cm="1">
        <f t="array" aca="1" ref="A41" ca="1">IF(ISBLANK(INDIRECT(CONCATENATE("Input!",RSE_Setup!$B$16,ROW()+1))),"",INDIRECT(CONCATENATE("Input!",RSE_Setup!$B$16,ROW()+1)))</f>
        <v>7.5000000000000002E-4</v>
      </c>
      <c r="B41" s="1" cm="1">
        <f t="array" aca="1" ref="B41" ca="1">IF(ISBLANK(INDIRECT(CONCATENATE("Input!",RSE_Setup!$B$17,ROW()+1))),"",INDIRECT(CONCATENATE("Input!",RSE_Setup!$B$17,ROW()+1)))</f>
        <v>4.0000000000000001E-3</v>
      </c>
      <c r="C41" s="1" cm="1">
        <f t="array" aca="1" ref="C41" ca="1">IF(ISBLANK(INDIRECT(CONCATENATE("Input!",RSE_Setup!$B$18,ROW()+1))),"",INDIRECT(CONCATENATE("Input!",RSE_Setup!$B$18,ROW()+1)))</f>
        <v>3.2258000000000002E-2</v>
      </c>
      <c r="D41" s="1" cm="1">
        <f t="array" aca="1" ref="D41" ca="1">IF(ISBLANK(INDIRECT(CONCATENATE("Input!",RSE_Setup!$B$19,ROW()+1))),"",INDIRECT(CONCATENATE("Input!",RSE_Setup!$B$19,ROW()+1)))</f>
        <v>6500</v>
      </c>
      <c r="E41" s="1" cm="1">
        <f t="array" aca="1" ref="E41" ca="1">IF(ISBLANK(INDIRECT(CONCATENATE("Input!",RSE_Setup!$B$24,ROW()+1))),"",INDIRECT(CONCATENATE("Input!",RSE_Setup!$B$24,ROW()+1)))</f>
        <v>440.51397900000001</v>
      </c>
      <c r="F41" s="1">
        <f ca="1"/>
        <v>445.99055583218336</v>
      </c>
    </row>
    <row r="42" spans="1:6" x14ac:dyDescent="0.3">
      <c r="A42" s="1" cm="1">
        <f t="array" aca="1" ref="A42" ca="1">IF(ISBLANK(INDIRECT(CONCATENATE("Input!",RSE_Setup!$B$16,ROW()+1))),"",INDIRECT(CONCATENATE("Input!",RSE_Setup!$B$16,ROW()+1)))</f>
        <v>7.5000000000000002E-4</v>
      </c>
      <c r="B42" s="1" cm="1">
        <f t="array" aca="1" ref="B42" ca="1">IF(ISBLANK(INDIRECT(CONCATENATE("Input!",RSE_Setup!$B$17,ROW()+1))),"",INDIRECT(CONCATENATE("Input!",RSE_Setup!$B$17,ROW()+1)))</f>
        <v>6.0000000000000001E-3</v>
      </c>
      <c r="C42" s="1" cm="1">
        <f t="array" aca="1" ref="C42" ca="1">IF(ISBLANK(INDIRECT(CONCATENATE("Input!",RSE_Setup!$B$18,ROW()+1))),"",INDIRECT(CONCATENATE("Input!",RSE_Setup!$B$18,ROW()+1)))</f>
        <v>5.5556000000000001E-2</v>
      </c>
      <c r="D42" s="1" cm="1">
        <f t="array" aca="1" ref="D42" ca="1">IF(ISBLANK(INDIRECT(CONCATENATE("Input!",RSE_Setup!$B$19,ROW()+1))),"",INDIRECT(CONCATENATE("Input!",RSE_Setup!$B$19,ROW()+1)))</f>
        <v>3000</v>
      </c>
      <c r="E42" s="1" cm="1">
        <f t="array" aca="1" ref="E42" ca="1">IF(ISBLANK(INDIRECT(CONCATENATE("Input!",RSE_Setup!$B$24,ROW()+1))),"",INDIRECT(CONCATENATE("Input!",RSE_Setup!$B$24,ROW()+1)))</f>
        <v>252.82146700000001</v>
      </c>
      <c r="F42" s="1">
        <f ca="1"/>
        <v>254.57206611546133</v>
      </c>
    </row>
    <row r="43" spans="1:6" x14ac:dyDescent="0.3">
      <c r="A43" s="1" cm="1">
        <f t="array" aca="1" ref="A43" ca="1">IF(ISBLANK(INDIRECT(CONCATENATE("Input!",RSE_Setup!$B$16,ROW()+1))),"",INDIRECT(CONCATENATE("Input!",RSE_Setup!$B$16,ROW()+1)))</f>
        <v>7.5000000000000002E-4</v>
      </c>
      <c r="B43" s="1" cm="1">
        <f t="array" aca="1" ref="B43" ca="1">IF(ISBLANK(INDIRECT(CONCATENATE("Input!",RSE_Setup!$B$17,ROW()+1))),"",INDIRECT(CONCATENATE("Input!",RSE_Setup!$B$17,ROW()+1)))</f>
        <v>6.0000000000000001E-3</v>
      </c>
      <c r="C43" s="1" cm="1">
        <f t="array" aca="1" ref="C43" ca="1">IF(ISBLANK(INDIRECT(CONCATENATE("Input!",RSE_Setup!$B$18,ROW()+1))),"",INDIRECT(CONCATENATE("Input!",RSE_Setup!$B$18,ROW()+1)))</f>
        <v>5.5556000000000001E-2</v>
      </c>
      <c r="D43" s="1" cm="1">
        <f t="array" aca="1" ref="D43" ca="1">IF(ISBLANK(INDIRECT(CONCATENATE("Input!",RSE_Setup!$B$19,ROW()+1))),"",INDIRECT(CONCATENATE("Input!",RSE_Setup!$B$19,ROW()+1)))</f>
        <v>3750</v>
      </c>
      <c r="E43" s="1" cm="1">
        <f t="array" aca="1" ref="E43" ca="1">IF(ISBLANK(INDIRECT(CONCATENATE("Input!",RSE_Setup!$B$24,ROW()+1))),"",INDIRECT(CONCATENATE("Input!",RSE_Setup!$B$24,ROW()+1)))</f>
        <v>306.33700199999998</v>
      </c>
      <c r="F43" s="1">
        <f ca="1"/>
        <v>311.63845241235913</v>
      </c>
    </row>
    <row r="44" spans="1:6" x14ac:dyDescent="0.3">
      <c r="A44" s="1" cm="1">
        <f t="array" aca="1" ref="A44" ca="1">IF(ISBLANK(INDIRECT(CONCATENATE("Input!",RSE_Setup!$B$16,ROW()+1))),"",INDIRECT(CONCATENATE("Input!",RSE_Setup!$B$16,ROW()+1)))</f>
        <v>7.5000000000000002E-4</v>
      </c>
      <c r="B44" s="1" cm="1">
        <f t="array" aca="1" ref="B44" ca="1">IF(ISBLANK(INDIRECT(CONCATENATE("Input!",RSE_Setup!$B$17,ROW()+1))),"",INDIRECT(CONCATENATE("Input!",RSE_Setup!$B$17,ROW()+1)))</f>
        <v>6.0000000000000001E-3</v>
      </c>
      <c r="C44" s="1" cm="1">
        <f t="array" aca="1" ref="C44" ca="1">IF(ISBLANK(INDIRECT(CONCATENATE("Input!",RSE_Setup!$B$18,ROW()+1))),"",INDIRECT(CONCATENATE("Input!",RSE_Setup!$B$18,ROW()+1)))</f>
        <v>3.2258000000000002E-2</v>
      </c>
      <c r="D44" s="1" cm="1">
        <f t="array" aca="1" ref="D44" ca="1">IF(ISBLANK(INDIRECT(CONCATENATE("Input!",RSE_Setup!$B$19,ROW()+1))),"",INDIRECT(CONCATENATE("Input!",RSE_Setup!$B$19,ROW()+1)))</f>
        <v>3750</v>
      </c>
      <c r="E44" s="1" cm="1">
        <f t="array" aca="1" ref="E44" ca="1">IF(ISBLANK(INDIRECT(CONCATENATE("Input!",RSE_Setup!$B$24,ROW()+1))),"",INDIRECT(CONCATENATE("Input!",RSE_Setup!$B$24,ROW()+1)))</f>
        <v>272.08921900000001</v>
      </c>
      <c r="F44" s="1">
        <f ca="1"/>
        <v>269.19362360360401</v>
      </c>
    </row>
    <row r="45" spans="1:6" x14ac:dyDescent="0.3">
      <c r="A45" s="1" cm="1">
        <f t="array" aca="1" ref="A45" ca="1">IF(ISBLANK(INDIRECT(CONCATENATE("Input!",RSE_Setup!$B$16,ROW()+1))),"",INDIRECT(CONCATENATE("Input!",RSE_Setup!$B$16,ROW()+1)))</f>
        <v>7.5000000000000002E-4</v>
      </c>
      <c r="B45" s="1" cm="1">
        <f t="array" aca="1" ref="B45" ca="1">IF(ISBLANK(INDIRECT(CONCATENATE("Input!",RSE_Setup!$B$17,ROW()+1))),"",INDIRECT(CONCATENATE("Input!",RSE_Setup!$B$17,ROW()+1)))</f>
        <v>6.0000000000000001E-3</v>
      </c>
      <c r="C45" s="1" cm="1">
        <f t="array" aca="1" ref="C45" ca="1">IF(ISBLANK(INDIRECT(CONCATENATE("Input!",RSE_Setup!$B$18,ROW()+1))),"",INDIRECT(CONCATENATE("Input!",RSE_Setup!$B$18,ROW()+1)))</f>
        <v>3.2258000000000002E-2</v>
      </c>
      <c r="D45" s="1" cm="1">
        <f t="array" aca="1" ref="D45" ca="1">IF(ISBLANK(INDIRECT(CONCATENATE("Input!",RSE_Setup!$B$19,ROW()+1))),"",INDIRECT(CONCATENATE("Input!",RSE_Setup!$B$19,ROW()+1)))</f>
        <v>5250</v>
      </c>
      <c r="E45" s="1" cm="1">
        <f t="array" aca="1" ref="E45" ca="1">IF(ISBLANK(INDIRECT(CONCATENATE("Input!",RSE_Setup!$B$24,ROW()+1))),"",INDIRECT(CONCATENATE("Input!",RSE_Setup!$B$24,ROW()+1)))</f>
        <v>369.03095300000001</v>
      </c>
      <c r="F45" s="1">
        <f ca="1"/>
        <v>369.15180580608512</v>
      </c>
    </row>
    <row r="46" spans="1:6" x14ac:dyDescent="0.3">
      <c r="A46" s="1" cm="1">
        <f t="array" aca="1" ref="A46" ca="1">IF(ISBLANK(INDIRECT(CONCATENATE("Input!",RSE_Setup!$B$16,ROW()+1))),"",INDIRECT(CONCATENATE("Input!",RSE_Setup!$B$16,ROW()+1)))</f>
        <v>7.5000000000000002E-4</v>
      </c>
      <c r="B46" s="1" cm="1">
        <f t="array" aca="1" ref="B46" ca="1">IF(ISBLANK(INDIRECT(CONCATENATE("Input!",RSE_Setup!$B$17,ROW()+1))),"",INDIRECT(CONCATENATE("Input!",RSE_Setup!$B$17,ROW()+1)))</f>
        <v>6.0000000000000001E-3</v>
      </c>
      <c r="C46" s="1" cm="1">
        <f t="array" aca="1" ref="C46" ca="1">IF(ISBLANK(INDIRECT(CONCATENATE("Input!",RSE_Setup!$B$18,ROW()+1))),"",INDIRECT(CONCATENATE("Input!",RSE_Setup!$B$18,ROW()+1)))</f>
        <v>3.2258000000000002E-2</v>
      </c>
      <c r="D46" s="1" cm="1">
        <f t="array" aca="1" ref="D46" ca="1">IF(ISBLANK(INDIRECT(CONCATENATE("Input!",RSE_Setup!$B$19,ROW()+1))),"",INDIRECT(CONCATENATE("Input!",RSE_Setup!$B$19,ROW()+1)))</f>
        <v>6500</v>
      </c>
      <c r="E46" s="1" cm="1">
        <f t="array" aca="1" ref="E46" ca="1">IF(ISBLANK(INDIRECT(CONCATENATE("Input!",RSE_Setup!$B$24,ROW()+1))),"",INDIRECT(CONCATENATE("Input!",RSE_Setup!$B$24,ROW()+1)))</f>
        <v>447.13806699999998</v>
      </c>
      <c r="F46" s="1">
        <f ca="1"/>
        <v>452.3570904164373</v>
      </c>
    </row>
    <row r="47" spans="1:6" x14ac:dyDescent="0.3">
      <c r="A47" s="1" cm="1">
        <f t="array" aca="1" ref="A47" ca="1">IF(ISBLANK(INDIRECT(CONCATENATE("Input!",RSE_Setup!$B$16,ROW()+1))),"",INDIRECT(CONCATENATE("Input!",RSE_Setup!$B$16,ROW()+1)))</f>
        <v>7.5000000000000002E-4</v>
      </c>
      <c r="B47" s="1" cm="1">
        <f t="array" aca="1" ref="B47" ca="1">IF(ISBLANK(INDIRECT(CONCATENATE("Input!",RSE_Setup!$B$17,ROW()+1))),"",INDIRECT(CONCATENATE("Input!",RSE_Setup!$B$17,ROW()+1)))</f>
        <v>8.0000000000000002E-3</v>
      </c>
      <c r="C47" s="1" cm="1">
        <f t="array" aca="1" ref="C47" ca="1">IF(ISBLANK(INDIRECT(CONCATENATE("Input!",RSE_Setup!$B$18,ROW()+1))),"",INDIRECT(CONCATENATE("Input!",RSE_Setup!$B$18,ROW()+1)))</f>
        <v>3.2258000000000002E-2</v>
      </c>
      <c r="D47" s="1" cm="1">
        <f t="array" aca="1" ref="D47" ca="1">IF(ISBLANK(INDIRECT(CONCATENATE("Input!",RSE_Setup!$B$19,ROW()+1))),"",INDIRECT(CONCATENATE("Input!",RSE_Setup!$B$19,ROW()+1)))</f>
        <v>5250</v>
      </c>
      <c r="E47" s="1" cm="1">
        <f t="array" aca="1" ref="E47" ca="1">IF(ISBLANK(INDIRECT(CONCATENATE("Input!",RSE_Setup!$B$24,ROW()+1))),"",INDIRECT(CONCATENATE("Input!",RSE_Setup!$B$24,ROW()+1)))</f>
        <v>374.49655899999999</v>
      </c>
      <c r="F47" s="1">
        <f ca="1"/>
        <v>374.7439880015333</v>
      </c>
    </row>
    <row r="48" spans="1:6" x14ac:dyDescent="0.3">
      <c r="A48" s="1" cm="1">
        <f t="array" aca="1" ref="A48" ca="1">IF(ISBLANK(INDIRECT(CONCATENATE("Input!",RSE_Setup!$B$16,ROW()+1))),"",INDIRECT(CONCATENATE("Input!",RSE_Setup!$B$16,ROW()+1)))</f>
        <v>7.5000000000000002E-4</v>
      </c>
      <c r="B48" s="1" cm="1">
        <f t="array" aca="1" ref="B48" ca="1">IF(ISBLANK(INDIRECT(CONCATENATE("Input!",RSE_Setup!$B$17,ROW()+1))),"",INDIRECT(CONCATENATE("Input!",RSE_Setup!$B$17,ROW()+1)))</f>
        <v>8.0000000000000002E-3</v>
      </c>
      <c r="C48" s="1" cm="1">
        <f t="array" aca="1" ref="C48" ca="1">IF(ISBLANK(INDIRECT(CONCATENATE("Input!",RSE_Setup!$B$18,ROW()+1))),"",INDIRECT(CONCATENATE("Input!",RSE_Setup!$B$18,ROW()+1)))</f>
        <v>3.2258000000000002E-2</v>
      </c>
      <c r="D48" s="1" cm="1">
        <f t="array" aca="1" ref="D48" ca="1">IF(ISBLANK(INDIRECT(CONCATENATE("Input!",RSE_Setup!$B$19,ROW()+1))),"",INDIRECT(CONCATENATE("Input!",RSE_Setup!$B$19,ROW()+1)))</f>
        <v>6500</v>
      </c>
      <c r="E48" s="1" cm="1">
        <f t="array" aca="1" ref="E48" ca="1">IF(ISBLANK(INDIRECT(CONCATENATE("Input!",RSE_Setup!$B$24,ROW()+1))),"",INDIRECT(CONCATENATE("Input!",RSE_Setup!$B$24,ROW()+1)))</f>
        <v>453.78840700000001</v>
      </c>
      <c r="F48" s="1">
        <f ca="1"/>
        <v>459.14148673247047</v>
      </c>
    </row>
    <row r="49" spans="1:6" x14ac:dyDescent="0.3">
      <c r="A49" s="1" cm="1">
        <f t="array" aca="1" ref="A49" ca="1">IF(ISBLANK(INDIRECT(CONCATENATE("Input!",RSE_Setup!$B$16,ROW()+1))),"",INDIRECT(CONCATENATE("Input!",RSE_Setup!$B$16,ROW()+1)))</f>
        <v>1E-3</v>
      </c>
      <c r="B49" s="1" cm="1">
        <f t="array" aca="1" ref="B49" ca="1">IF(ISBLANK(INDIRECT(CONCATENATE("Input!",RSE_Setup!$B$17,ROW()+1))),"",INDIRECT(CONCATENATE("Input!",RSE_Setup!$B$17,ROW()+1)))</f>
        <v>5.0000000000000001E-3</v>
      </c>
      <c r="C49" s="1" cm="1">
        <f t="array" aca="1" ref="C49" ca="1">IF(ISBLANK(INDIRECT(CONCATENATE("Input!",RSE_Setup!$B$18,ROW()+1))),"",INDIRECT(CONCATENATE("Input!",RSE_Setup!$B$18,ROW()+1)))</f>
        <v>5.5556000000000001E-2</v>
      </c>
      <c r="D49" s="1" cm="1">
        <f t="array" aca="1" ref="D49" ca="1">IF(ISBLANK(INDIRECT(CONCATENATE("Input!",RSE_Setup!$B$19,ROW()+1))),"",INDIRECT(CONCATENATE("Input!",RSE_Setup!$B$19,ROW()+1)))</f>
        <v>3750</v>
      </c>
      <c r="E49" s="1" cm="1">
        <f t="array" aca="1" ref="E49" ca="1">IF(ISBLANK(INDIRECT(CONCATENATE("Input!",RSE_Setup!$B$24,ROW()+1))),"",INDIRECT(CONCATENATE("Input!",RSE_Setup!$B$24,ROW()+1)))</f>
        <v>327.62418100000002</v>
      </c>
      <c r="F49" s="1">
        <f ca="1"/>
        <v>333.4660717436409</v>
      </c>
    </row>
    <row r="50" spans="1:6" x14ac:dyDescent="0.3">
      <c r="A50" s="1" cm="1">
        <f t="array" aca="1" ref="A50" ca="1">IF(ISBLANK(INDIRECT(CONCATENATE("Input!",RSE_Setup!$B$16,ROW()+1))),"",INDIRECT(CONCATENATE("Input!",RSE_Setup!$B$16,ROW()+1)))</f>
        <v>1E-3</v>
      </c>
      <c r="B50" s="1" cm="1">
        <f t="array" aca="1" ref="B50" ca="1">IF(ISBLANK(INDIRECT(CONCATENATE("Input!",RSE_Setup!$B$17,ROW()+1))),"",INDIRECT(CONCATENATE("Input!",RSE_Setup!$B$17,ROW()+1)))</f>
        <v>5.0000000000000001E-3</v>
      </c>
      <c r="C50" s="1" cm="1">
        <f t="array" aca="1" ref="C50" ca="1">IF(ISBLANK(INDIRECT(CONCATENATE("Input!",RSE_Setup!$B$18,ROW()+1))),"",INDIRECT(CONCATENATE("Input!",RSE_Setup!$B$18,ROW()+1)))</f>
        <v>3.2258000000000002E-2</v>
      </c>
      <c r="D50" s="1" cm="1">
        <f t="array" aca="1" ref="D50" ca="1">IF(ISBLANK(INDIRECT(CONCATENATE("Input!",RSE_Setup!$B$19,ROW()+1))),"",INDIRECT(CONCATENATE("Input!",RSE_Setup!$B$19,ROW()+1)))</f>
        <v>3750</v>
      </c>
      <c r="E50" s="1" cm="1">
        <f t="array" aca="1" ref="E50" ca="1">IF(ISBLANK(INDIRECT(CONCATENATE("Input!",RSE_Setup!$B$24,ROW()+1))),"",INDIRECT(CONCATENATE("Input!",RSE_Setup!$B$24,ROW()+1)))</f>
        <v>294.309439</v>
      </c>
      <c r="F50" s="1">
        <f ca="1"/>
        <v>291.30009101004947</v>
      </c>
    </row>
    <row r="51" spans="1:6" x14ac:dyDescent="0.3">
      <c r="A51" s="1" cm="1">
        <f t="array" aca="1" ref="A51" ca="1">IF(ISBLANK(INDIRECT(CONCATENATE("Input!",RSE_Setup!$B$16,ROW()+1))),"",INDIRECT(CONCATENATE("Input!",RSE_Setup!$B$16,ROW()+1)))</f>
        <v>1E-3</v>
      </c>
      <c r="B51" s="1" cm="1">
        <f t="array" aca="1" ref="B51" ca="1">IF(ISBLANK(INDIRECT(CONCATENATE("Input!",RSE_Setup!$B$17,ROW()+1))),"",INDIRECT(CONCATENATE("Input!",RSE_Setup!$B$17,ROW()+1)))</f>
        <v>5.0000000000000001E-3</v>
      </c>
      <c r="C51" s="1" cm="1">
        <f t="array" aca="1" ref="C51" ca="1">IF(ISBLANK(INDIRECT(CONCATENATE("Input!",RSE_Setup!$B$18,ROW()+1))),"",INDIRECT(CONCATENATE("Input!",RSE_Setup!$B$18,ROW()+1)))</f>
        <v>3.2258000000000002E-2</v>
      </c>
      <c r="D51" s="1" cm="1">
        <f t="array" aca="1" ref="D51" ca="1">IF(ISBLANK(INDIRECT(CONCATENATE("Input!",RSE_Setup!$B$19,ROW()+1))),"",INDIRECT(CONCATENATE("Input!",RSE_Setup!$B$19,ROW()+1)))</f>
        <v>5250</v>
      </c>
      <c r="E51" s="1" cm="1">
        <f t="array" aca="1" ref="E51" ca="1">IF(ISBLANK(INDIRECT(CONCATENATE("Input!",RSE_Setup!$B$24,ROW()+1))),"",INDIRECT(CONCATENATE("Input!",RSE_Setup!$B$24,ROW()+1)))</f>
        <v>399.37124999999997</v>
      </c>
      <c r="F51" s="1">
        <f ca="1"/>
        <v>399.22241466699552</v>
      </c>
    </row>
    <row r="52" spans="1:6" x14ac:dyDescent="0.3">
      <c r="A52" s="1" cm="1">
        <f t="array" aca="1" ref="A52" ca="1">IF(ISBLANK(INDIRECT(CONCATENATE("Input!",RSE_Setup!$B$16,ROW()+1))),"",INDIRECT(CONCATENATE("Input!",RSE_Setup!$B$16,ROW()+1)))</f>
        <v>1E-3</v>
      </c>
      <c r="B52" s="1" cm="1">
        <f t="array" aca="1" ref="B52" ca="1">IF(ISBLANK(INDIRECT(CONCATENATE("Input!",RSE_Setup!$B$17,ROW()+1))),"",INDIRECT(CONCATENATE("Input!",RSE_Setup!$B$17,ROW()+1)))</f>
        <v>5.0000000000000001E-3</v>
      </c>
      <c r="C52" s="1" cm="1">
        <f t="array" aca="1" ref="C52" ca="1">IF(ISBLANK(INDIRECT(CONCATENATE("Input!",RSE_Setup!$B$18,ROW()+1))),"",INDIRECT(CONCATENATE("Input!",RSE_Setup!$B$18,ROW()+1)))</f>
        <v>3.2258000000000002E-2</v>
      </c>
      <c r="D52" s="1" cm="1">
        <f t="array" aca="1" ref="D52" ca="1">IF(ISBLANK(INDIRECT(CONCATENATE("Input!",RSE_Setup!$B$19,ROW()+1))),"",INDIRECT(CONCATENATE("Input!",RSE_Setup!$B$19,ROW()+1)))</f>
        <v>6500</v>
      </c>
      <c r="E52" s="1" cm="1">
        <f t="array" aca="1" ref="E52" ca="1">IF(ISBLANK(INDIRECT(CONCATENATE("Input!",RSE_Setup!$B$24,ROW()+1))),"",INDIRECT(CONCATENATE("Input!",RSE_Setup!$B$24,ROW()+1)))</f>
        <v>484.20869499999998</v>
      </c>
      <c r="F52" s="1">
        <f ca="1"/>
        <v>489.06448382273527</v>
      </c>
    </row>
    <row r="53" spans="1:6" x14ac:dyDescent="0.3">
      <c r="A53" s="1" cm="1">
        <f t="array" aca="1" ref="A53" ca="1">IF(ISBLANK(INDIRECT(CONCATENATE("Input!",RSE_Setup!$B$16,ROW()+1))),"",INDIRECT(CONCATENATE("Input!",RSE_Setup!$B$16,ROW()+1)))</f>
        <v>1E-3</v>
      </c>
      <c r="B53" s="1" cm="1">
        <f t="array" aca="1" ref="B53" ca="1">IF(ISBLANK(INDIRECT(CONCATENATE("Input!",RSE_Setup!$B$17,ROW()+1))),"",INDIRECT(CONCATENATE("Input!",RSE_Setup!$B$17,ROW()+1)))</f>
        <v>6.4999999999999997E-3</v>
      </c>
      <c r="C53" s="1" cm="1">
        <f t="array" aca="1" ref="C53" ca="1">IF(ISBLANK(INDIRECT(CONCATENATE("Input!",RSE_Setup!$B$18,ROW()+1))),"",INDIRECT(CONCATENATE("Input!",RSE_Setup!$B$18,ROW()+1)))</f>
        <v>5.5556000000000001E-2</v>
      </c>
      <c r="D53" s="1" cm="1">
        <f t="array" aca="1" ref="D53" ca="1">IF(ISBLANK(INDIRECT(CONCATENATE("Input!",RSE_Setup!$B$19,ROW()+1))),"",INDIRECT(CONCATENATE("Input!",RSE_Setup!$B$19,ROW()+1)))</f>
        <v>3750</v>
      </c>
      <c r="E53" s="1" cm="1">
        <f t="array" aca="1" ref="E53" ca="1">IF(ISBLANK(INDIRECT(CONCATENATE("Input!",RSE_Setup!$B$24,ROW()+1))),"",INDIRECT(CONCATENATE("Input!",RSE_Setup!$B$24,ROW()+1)))</f>
        <v>330.62766800000003</v>
      </c>
      <c r="F53" s="1">
        <f ca="1"/>
        <v>336.8637802064502</v>
      </c>
    </row>
    <row r="54" spans="1:6" x14ac:dyDescent="0.3">
      <c r="A54" s="1" cm="1">
        <f t="array" aca="1" ref="A54" ca="1">IF(ISBLANK(INDIRECT(CONCATENATE("Input!",RSE_Setup!$B$16,ROW()+1))),"",INDIRECT(CONCATENATE("Input!",RSE_Setup!$B$16,ROW()+1)))</f>
        <v>1E-3</v>
      </c>
      <c r="B54" s="1" cm="1">
        <f t="array" aca="1" ref="B54" ca="1">IF(ISBLANK(INDIRECT(CONCATENATE("Input!",RSE_Setup!$B$17,ROW()+1))),"",INDIRECT(CONCATENATE("Input!",RSE_Setup!$B$17,ROW()+1)))</f>
        <v>6.4999999999999997E-3</v>
      </c>
      <c r="C54" s="1" cm="1">
        <f t="array" aca="1" ref="C54" ca="1">IF(ISBLANK(INDIRECT(CONCATENATE("Input!",RSE_Setup!$B$18,ROW()+1))),"",INDIRECT(CONCATENATE("Input!",RSE_Setup!$B$18,ROW()+1)))</f>
        <v>3.2258000000000002E-2</v>
      </c>
      <c r="D54" s="1" cm="1">
        <f t="array" aca="1" ref="D54" ca="1">IF(ISBLANK(INDIRECT(CONCATENATE("Input!",RSE_Setup!$B$19,ROW()+1))),"",INDIRECT(CONCATENATE("Input!",RSE_Setup!$B$19,ROW()+1)))</f>
        <v>3750</v>
      </c>
      <c r="E54" s="1" cm="1">
        <f t="array" aca="1" ref="E54" ca="1">IF(ISBLANK(INDIRECT(CONCATENATE("Input!",RSE_Setup!$B$24,ROW()+1))),"",INDIRECT(CONCATENATE("Input!",RSE_Setup!$B$24,ROW()+1)))</f>
        <v>297.67992199999998</v>
      </c>
      <c r="F54" s="1">
        <f ca="1"/>
        <v>294.36235369383058</v>
      </c>
    </row>
    <row r="55" spans="1:6" x14ac:dyDescent="0.3">
      <c r="A55" s="1" cm="1">
        <f t="array" aca="1" ref="A55" ca="1">IF(ISBLANK(INDIRECT(CONCATENATE("Input!",RSE_Setup!$B$16,ROW()+1))),"",INDIRECT(CONCATENATE("Input!",RSE_Setup!$B$16,ROW()+1)))</f>
        <v>1E-3</v>
      </c>
      <c r="B55" s="1" cm="1">
        <f t="array" aca="1" ref="B55" ca="1">IF(ISBLANK(INDIRECT(CONCATENATE("Input!",RSE_Setup!$B$17,ROW()+1))),"",INDIRECT(CONCATENATE("Input!",RSE_Setup!$B$17,ROW()+1)))</f>
        <v>6.4999999999999997E-3</v>
      </c>
      <c r="C55" s="1" cm="1">
        <f t="array" aca="1" ref="C55" ca="1">IF(ISBLANK(INDIRECT(CONCATENATE("Input!",RSE_Setup!$B$18,ROW()+1))),"",INDIRECT(CONCATENATE("Input!",RSE_Setup!$B$18,ROW()+1)))</f>
        <v>3.2258000000000002E-2</v>
      </c>
      <c r="D55" s="1" cm="1">
        <f t="array" aca="1" ref="D55" ca="1">IF(ISBLANK(INDIRECT(CONCATENATE("Input!",RSE_Setup!$B$19,ROW()+1))),"",INDIRECT(CONCATENATE("Input!",RSE_Setup!$B$19,ROW()+1)))</f>
        <v>5250</v>
      </c>
      <c r="E55" s="1" cm="1">
        <f t="array" aca="1" ref="E55" ca="1">IF(ISBLANK(INDIRECT(CONCATENATE("Input!",RSE_Setup!$B$24,ROW()+1))),"",INDIRECT(CONCATENATE("Input!",RSE_Setup!$B$24,ROW()+1)))</f>
        <v>403.61950300000001</v>
      </c>
      <c r="F55" s="1">
        <f ca="1"/>
        <v>403.35767005930313</v>
      </c>
    </row>
    <row r="56" spans="1:6" x14ac:dyDescent="0.3">
      <c r="A56" s="1" cm="1">
        <f t="array" aca="1" ref="A56" ca="1">IF(ISBLANK(INDIRECT(CONCATENATE("Input!",RSE_Setup!$B$16,ROW()+1))),"",INDIRECT(CONCATENATE("Input!",RSE_Setup!$B$16,ROW()+1)))</f>
        <v>1E-3</v>
      </c>
      <c r="B56" s="1" cm="1">
        <f t="array" aca="1" ref="B56" ca="1">IF(ISBLANK(INDIRECT(CONCATENATE("Input!",RSE_Setup!$B$17,ROW()+1))),"",INDIRECT(CONCATENATE("Input!",RSE_Setup!$B$17,ROW()+1)))</f>
        <v>6.4999999999999997E-3</v>
      </c>
      <c r="C56" s="1" cm="1">
        <f t="array" aca="1" ref="C56" ca="1">IF(ISBLANK(INDIRECT(CONCATENATE("Input!",RSE_Setup!$B$18,ROW()+1))),"",INDIRECT(CONCATENATE("Input!",RSE_Setup!$B$18,ROW()+1)))</f>
        <v>3.2258000000000002E-2</v>
      </c>
      <c r="D56" s="1" cm="1">
        <f t="array" aca="1" ref="D56" ca="1">IF(ISBLANK(INDIRECT(CONCATENATE("Input!",RSE_Setup!$B$19,ROW()+1))),"",INDIRECT(CONCATENATE("Input!",RSE_Setup!$B$19,ROW()+1)))</f>
        <v>6500</v>
      </c>
      <c r="E56" s="1" cm="1">
        <f t="array" aca="1" ref="E56" ca="1">IF(ISBLANK(INDIRECT(CONCATENATE("Input!",RSE_Setup!$B$24,ROW()+1))),"",INDIRECT(CONCATENATE("Input!",RSE_Setup!$B$24,ROW()+1)))</f>
        <v>489.38141200000001</v>
      </c>
      <c r="F56" s="1">
        <f ca="1"/>
        <v>494.09389980548161</v>
      </c>
    </row>
    <row r="57" spans="1:6" x14ac:dyDescent="0.3">
      <c r="A57" s="1" cm="1">
        <f t="array" aca="1" ref="A57" ca="1">IF(ISBLANK(INDIRECT(CONCATENATE("Input!",RSE_Setup!$B$16,ROW()+1))),"",INDIRECT(CONCATENATE("Input!",RSE_Setup!$B$16,ROW()+1)))</f>
        <v>1E-3</v>
      </c>
      <c r="B57" s="1" cm="1">
        <f t="array" aca="1" ref="B57" ca="1">IF(ISBLANK(INDIRECT(CONCATENATE("Input!",RSE_Setup!$B$17,ROW()+1))),"",INDIRECT(CONCATENATE("Input!",RSE_Setup!$B$17,ROW()+1)))</f>
        <v>8.0000000000000002E-3</v>
      </c>
      <c r="C57" s="1" cm="1">
        <f t="array" aca="1" ref="C57" ca="1">IF(ISBLANK(INDIRECT(CONCATENATE("Input!",RSE_Setup!$B$18,ROW()+1))),"",INDIRECT(CONCATENATE("Input!",RSE_Setup!$B$18,ROW()+1)))</f>
        <v>3.2258000000000002E-2</v>
      </c>
      <c r="D57" s="1" cm="1">
        <f t="array" aca="1" ref="D57" ca="1">IF(ISBLANK(INDIRECT(CONCATENATE("Input!",RSE_Setup!$B$19,ROW()+1))),"",INDIRECT(CONCATENATE("Input!",RSE_Setup!$B$19,ROW()+1)))</f>
        <v>5250</v>
      </c>
      <c r="E57" s="1" cm="1">
        <f t="array" aca="1" ref="E57" ca="1">IF(ISBLANK(INDIRECT(CONCATENATE("Input!",RSE_Setup!$B$24,ROW()+1))),"",INDIRECT(CONCATENATE("Input!",RSE_Setup!$B$24,ROW()+1)))</f>
        <v>407.91493000000003</v>
      </c>
      <c r="F57" s="1">
        <f ca="1"/>
        <v>407.72797267573651</v>
      </c>
    </row>
    <row r="58" spans="1:6" x14ac:dyDescent="0.3">
      <c r="A58" s="1" cm="1">
        <f t="array" aca="1" ref="A58" ca="1">IF(ISBLANK(INDIRECT(CONCATENATE("Input!",RSE_Setup!$B$16,ROW()+1))),"",INDIRECT(CONCATENATE("Input!",RSE_Setup!$B$16,ROW()+1)))</f>
        <v>1E-3</v>
      </c>
      <c r="B58" s="1" cm="1">
        <f t="array" aca="1" ref="B58" ca="1">IF(ISBLANK(INDIRECT(CONCATENATE("Input!",RSE_Setup!$B$17,ROW()+1))),"",INDIRECT(CONCATENATE("Input!",RSE_Setup!$B$17,ROW()+1)))</f>
        <v>8.0000000000000002E-3</v>
      </c>
      <c r="C58" s="1" cm="1">
        <f t="array" aca="1" ref="C58" ca="1">IF(ISBLANK(INDIRECT(CONCATENATE("Input!",RSE_Setup!$B$18,ROW()+1))),"",INDIRECT(CONCATENATE("Input!",RSE_Setup!$B$18,ROW()+1)))</f>
        <v>3.2258000000000002E-2</v>
      </c>
      <c r="D58" s="1" cm="1">
        <f t="array" aca="1" ref="D58" ca="1">IF(ISBLANK(INDIRECT(CONCATENATE("Input!",RSE_Setup!$B$19,ROW()+1))),"",INDIRECT(CONCATENATE("Input!",RSE_Setup!$B$19,ROW()+1)))</f>
        <v>6500</v>
      </c>
      <c r="E58" s="1" cm="1">
        <f t="array" aca="1" ref="E58" ca="1">IF(ISBLANK(INDIRECT(CONCATENATE("Input!",RSE_Setup!$B$24,ROW()+1))),"",INDIRECT(CONCATENATE("Input!",RSE_Setup!$B$24,ROW()+1)))</f>
        <v>494.62891500000001</v>
      </c>
      <c r="F58" s="1">
        <f ca="1"/>
        <v>499.35836301235366</v>
      </c>
    </row>
    <row r="59" spans="1:6" x14ac:dyDescent="0.3">
      <c r="A59" s="1" cm="1">
        <f t="array" aca="1" ref="A59" ca="1">IF(ISBLANK(INDIRECT(CONCATENATE("Input!",RSE_Setup!$B$16,ROW()+1))),"",INDIRECT(CONCATENATE("Input!",RSE_Setup!$B$16,ROW()+1)))</f>
        <v>2.9999999999999997E-4</v>
      </c>
      <c r="B59" s="1" cm="1">
        <f t="array" aca="1" ref="B59" ca="1">IF(ISBLANK(INDIRECT(CONCATENATE("Input!",RSE_Setup!$B$17,ROW()+1))),"",INDIRECT(CONCATENATE("Input!",RSE_Setup!$B$17,ROW()+1)))</f>
        <v>2E-3</v>
      </c>
      <c r="C59" s="1" cm="1">
        <f t="array" aca="1" ref="C59" ca="1">IF(ISBLANK(INDIRECT(CONCATENATE("Input!",RSE_Setup!$B$18,ROW()+1))),"",INDIRECT(CONCATENATE("Input!",RSE_Setup!$B$18,ROW()+1)))</f>
        <v>5.5556000000000001E-2</v>
      </c>
      <c r="D59" s="1" cm="1">
        <f t="array" aca="1" ref="D59" ca="1">IF(ISBLANK(INDIRECT(CONCATENATE("Input!",RSE_Setup!$B$19,ROW()+1))),"",INDIRECT(CONCATENATE("Input!",RSE_Setup!$B$19,ROW()+1)))</f>
        <v>6000</v>
      </c>
      <c r="E59" s="1" cm="1">
        <f t="array" aca="1" ref="E59" ca="1">IF(ISBLANK(INDIRECT(CONCATENATE("Input!",RSE_Setup!$B$24,ROW()+1))),"",INDIRECT(CONCATENATE("Input!",RSE_Setup!$B$24,ROW()+1)))</f>
        <v>397.05692800000003</v>
      </c>
      <c r="F59" s="1">
        <f ca="1"/>
        <v>405.7867577511538</v>
      </c>
    </row>
    <row r="60" spans="1:6" x14ac:dyDescent="0.3">
      <c r="A60" s="1" cm="1">
        <f t="array" aca="1" ref="A60" ca="1">IF(ISBLANK(INDIRECT(CONCATENATE("Input!",RSE_Setup!$B$16,ROW()+1))),"",INDIRECT(CONCATENATE("Input!",RSE_Setup!$B$16,ROW()+1)))</f>
        <v>2.9999999999999997E-4</v>
      </c>
      <c r="B60" s="1" cm="1">
        <f t="array" aca="1" ref="B60" ca="1">IF(ISBLANK(INDIRECT(CONCATENATE("Input!",RSE_Setup!$B$17,ROW()+1))),"",INDIRECT(CONCATENATE("Input!",RSE_Setup!$B$17,ROW()+1)))</f>
        <v>2E-3</v>
      </c>
      <c r="C60" s="1" cm="1">
        <f t="array" aca="1" ref="C60" ca="1">IF(ISBLANK(INDIRECT(CONCATENATE("Input!",RSE_Setup!$B$18,ROW()+1))),"",INDIRECT(CONCATENATE("Input!",RSE_Setup!$B$18,ROW()+1)))</f>
        <v>3.2258000000000002E-2</v>
      </c>
      <c r="D60" s="1" cm="1">
        <f t="array" aca="1" ref="D60" ca="1">IF(ISBLANK(INDIRECT(CONCATENATE("Input!",RSE_Setup!$B$19,ROW()+1))),"",INDIRECT(CONCATENATE("Input!",RSE_Setup!$B$19,ROW()+1)))</f>
        <v>6000</v>
      </c>
      <c r="E60" s="1" cm="1">
        <f t="array" aca="1" ref="E60" ca="1">IF(ISBLANK(INDIRECT(CONCATENATE("Input!",RSE_Setup!$B$24,ROW()+1))),"",INDIRECT(CONCATENATE("Input!",RSE_Setup!$B$24,ROW()+1)))</f>
        <v>349.41406499999999</v>
      </c>
      <c r="F60" s="1">
        <f ca="1"/>
        <v>343.01243283653741</v>
      </c>
    </row>
    <row r="61" spans="1:6" x14ac:dyDescent="0.3">
      <c r="A61" s="1" cm="1">
        <f t="array" aca="1" ref="A61" ca="1">IF(ISBLANK(INDIRECT(CONCATENATE("Input!",RSE_Setup!$B$16,ROW()+1))),"",INDIRECT(CONCATENATE("Input!",RSE_Setup!$B$16,ROW()+1)))</f>
        <v>2.9999999999999997E-4</v>
      </c>
      <c r="B61" s="1" cm="1">
        <f t="array" aca="1" ref="B61" ca="1">IF(ISBLANK(INDIRECT(CONCATENATE("Input!",RSE_Setup!$B$17,ROW()+1))),"",INDIRECT(CONCATENATE("Input!",RSE_Setup!$B$17,ROW()+1)))</f>
        <v>2E-3</v>
      </c>
      <c r="C61" s="1" cm="1">
        <f t="array" aca="1" ref="C61" ca="1">IF(ISBLANK(INDIRECT(CONCATENATE("Input!",RSE_Setup!$B$18,ROW()+1))),"",INDIRECT(CONCATENATE("Input!",RSE_Setup!$B$18,ROW()+1)))</f>
        <v>3.2258000000000002E-2</v>
      </c>
      <c r="D61" s="1" cm="1">
        <f t="array" aca="1" ref="D61" ca="1">IF(ISBLANK(INDIRECT(CONCATENATE("Input!",RSE_Setup!$B$19,ROW()+1))),"",INDIRECT(CONCATENATE("Input!",RSE_Setup!$B$19,ROW()+1)))</f>
        <v>8000</v>
      </c>
      <c r="E61" s="1" cm="1">
        <f t="array" aca="1" ref="E61" ca="1">IF(ISBLANK(INDIRECT(CONCATENATE("Input!",RSE_Setup!$B$24,ROW()+1))),"",INDIRECT(CONCATENATE("Input!",RSE_Setup!$B$24,ROW()+1)))</f>
        <v>451.49248999999998</v>
      </c>
      <c r="F61" s="1">
        <f ca="1"/>
        <v>451.37306719917075</v>
      </c>
    </row>
    <row r="62" spans="1:6" x14ac:dyDescent="0.3">
      <c r="A62" s="1" cm="1">
        <f t="array" aca="1" ref="A62" ca="1">IF(ISBLANK(INDIRECT(CONCATENATE("Input!",RSE_Setup!$B$16,ROW()+1))),"",INDIRECT(CONCATENATE("Input!",RSE_Setup!$B$16,ROW()+1)))</f>
        <v>2.9999999999999997E-4</v>
      </c>
      <c r="B62" s="1" cm="1">
        <f t="array" aca="1" ref="B62" ca="1">IF(ISBLANK(INDIRECT(CONCATENATE("Input!",RSE_Setup!$B$17,ROW()+1))),"",INDIRECT(CONCATENATE("Input!",RSE_Setup!$B$17,ROW()+1)))</f>
        <v>2E-3</v>
      </c>
      <c r="C62" s="1" cm="1">
        <f t="array" aca="1" ref="C62" ca="1">IF(ISBLANK(INDIRECT(CONCATENATE("Input!",RSE_Setup!$B$18,ROW()+1))),"",INDIRECT(CONCATENATE("Input!",RSE_Setup!$B$18,ROW()+1)))</f>
        <v>3.2258000000000002E-2</v>
      </c>
      <c r="D62" s="1" cm="1">
        <f t="array" aca="1" ref="D62" ca="1">IF(ISBLANK(INDIRECT(CONCATENATE("Input!",RSE_Setup!$B$19,ROW()+1))),"",INDIRECT(CONCATENATE("Input!",RSE_Setup!$B$19,ROW()+1)))</f>
        <v>10000</v>
      </c>
      <c r="E62" s="1" cm="1">
        <f t="array" aca="1" ref="E62" ca="1">IF(ISBLANK(INDIRECT(CONCATENATE("Input!",RSE_Setup!$B$24,ROW()+1))),"",INDIRECT(CONCATENATE("Input!",RSE_Setup!$B$24,ROW()+1)))</f>
        <v>554.41388500000005</v>
      </c>
      <c r="F62" s="1">
        <f ca="1"/>
        <v>559.51679844411478</v>
      </c>
    </row>
    <row r="63" spans="1:6" x14ac:dyDescent="0.3">
      <c r="A63" s="1" cm="1">
        <f t="array" aca="1" ref="A63" ca="1">IF(ISBLANK(INDIRECT(CONCATENATE("Input!",RSE_Setup!$B$16,ROW()+1))),"",INDIRECT(CONCATENATE("Input!",RSE_Setup!$B$16,ROW()+1)))</f>
        <v>2.9999999999999997E-4</v>
      </c>
      <c r="B63" s="1" cm="1">
        <f t="array" aca="1" ref="B63" ca="1">IF(ISBLANK(INDIRECT(CONCATENATE("Input!",RSE_Setup!$B$17,ROW()+1))),"",INDIRECT(CONCATENATE("Input!",RSE_Setup!$B$17,ROW()+1)))</f>
        <v>3.0000000000000001E-3</v>
      </c>
      <c r="C63" s="1" cm="1">
        <f t="array" aca="1" ref="C63" ca="1">IF(ISBLANK(INDIRECT(CONCATENATE("Input!",RSE_Setup!$B$18,ROW()+1))),"",INDIRECT(CONCATENATE("Input!",RSE_Setup!$B$18,ROW()+1)))</f>
        <v>5.5556000000000001E-2</v>
      </c>
      <c r="D63" s="1" cm="1">
        <f t="array" aca="1" ref="D63" ca="1">IF(ISBLANK(INDIRECT(CONCATENATE("Input!",RSE_Setup!$B$19,ROW()+1))),"",INDIRECT(CONCATENATE("Input!",RSE_Setup!$B$19,ROW()+1)))</f>
        <v>6000</v>
      </c>
      <c r="E63" s="1" cm="1">
        <f t="array" aca="1" ref="E63" ca="1">IF(ISBLANK(INDIRECT(CONCATENATE("Input!",RSE_Setup!$B$24,ROW()+1))),"",INDIRECT(CONCATENATE("Input!",RSE_Setup!$B$24,ROW()+1)))</f>
        <v>399.95909</v>
      </c>
      <c r="F63" s="1">
        <f ca="1"/>
        <v>408.52965943716231</v>
      </c>
    </row>
    <row r="64" spans="1:6" x14ac:dyDescent="0.3">
      <c r="A64" s="1" cm="1">
        <f t="array" aca="1" ref="A64" ca="1">IF(ISBLANK(INDIRECT(CONCATENATE("Input!",RSE_Setup!$B$16,ROW()+1))),"",INDIRECT(CONCATENATE("Input!",RSE_Setup!$B$16,ROW()+1)))</f>
        <v>2.9999999999999997E-4</v>
      </c>
      <c r="B64" s="1" cm="1">
        <f t="array" aca="1" ref="B64" ca="1">IF(ISBLANK(INDIRECT(CONCATENATE("Input!",RSE_Setup!$B$17,ROW()+1))),"",INDIRECT(CONCATENATE("Input!",RSE_Setup!$B$17,ROW()+1)))</f>
        <v>3.0000000000000001E-3</v>
      </c>
      <c r="C64" s="1" cm="1">
        <f t="array" aca="1" ref="C64" ca="1">IF(ISBLANK(INDIRECT(CONCATENATE("Input!",RSE_Setup!$B$18,ROW()+1))),"",INDIRECT(CONCATENATE("Input!",RSE_Setup!$B$18,ROW()+1)))</f>
        <v>3.2258000000000002E-2</v>
      </c>
      <c r="D64" s="1" cm="1">
        <f t="array" aca="1" ref="D64" ca="1">IF(ISBLANK(INDIRECT(CONCATENATE("Input!",RSE_Setup!$B$19,ROW()+1))),"",INDIRECT(CONCATENATE("Input!",RSE_Setup!$B$19,ROW()+1)))</f>
        <v>6000</v>
      </c>
      <c r="E64" s="1" cm="1">
        <f t="array" aca="1" ref="E64" ca="1">IF(ISBLANK(INDIRECT(CONCATENATE("Input!",RSE_Setup!$B$24,ROW()+1))),"",INDIRECT(CONCATENATE("Input!",RSE_Setup!$B$24,ROW()+1)))</f>
        <v>352.17042800000002</v>
      </c>
      <c r="F64" s="1">
        <f ca="1"/>
        <v>345.53170400319379</v>
      </c>
    </row>
    <row r="65" spans="1:6" x14ac:dyDescent="0.3">
      <c r="A65" s="1" cm="1">
        <f t="array" aca="1" ref="A65" ca="1">IF(ISBLANK(INDIRECT(CONCATENATE("Input!",RSE_Setup!$B$16,ROW()+1))),"",INDIRECT(CONCATENATE("Input!",RSE_Setup!$B$16,ROW()+1)))</f>
        <v>2.9999999999999997E-4</v>
      </c>
      <c r="B65" s="1" cm="1">
        <f t="array" aca="1" ref="B65" ca="1">IF(ISBLANK(INDIRECT(CONCATENATE("Input!",RSE_Setup!$B$17,ROW()+1))),"",INDIRECT(CONCATENATE("Input!",RSE_Setup!$B$17,ROW()+1)))</f>
        <v>3.0000000000000001E-3</v>
      </c>
      <c r="C65" s="1" cm="1">
        <f t="array" aca="1" ref="C65" ca="1">IF(ISBLANK(INDIRECT(CONCATENATE("Input!",RSE_Setup!$B$18,ROW()+1))),"",INDIRECT(CONCATENATE("Input!",RSE_Setup!$B$18,ROW()+1)))</f>
        <v>3.2258000000000002E-2</v>
      </c>
      <c r="D65" s="1" cm="1">
        <f t="array" aca="1" ref="D65" ca="1">IF(ISBLANK(INDIRECT(CONCATENATE("Input!",RSE_Setup!$B$19,ROW()+1))),"",INDIRECT(CONCATENATE("Input!",RSE_Setup!$B$19,ROW()+1)))</f>
        <v>8000</v>
      </c>
      <c r="E65" s="1" cm="1">
        <f t="array" aca="1" ref="E65" ca="1">IF(ISBLANK(INDIRECT(CONCATENATE("Input!",RSE_Setup!$B$24,ROW()+1))),"",INDIRECT(CONCATENATE("Input!",RSE_Setup!$B$24,ROW()+1)))</f>
        <v>455.18907200000001</v>
      </c>
      <c r="F65" s="1">
        <f ca="1"/>
        <v>454.84610966229508</v>
      </c>
    </row>
    <row r="66" spans="1:6" x14ac:dyDescent="0.3">
      <c r="A66" s="1" cm="1">
        <f t="array" aca="1" ref="A66" ca="1">IF(ISBLANK(INDIRECT(CONCATENATE("Input!",RSE_Setup!$B$16,ROW()+1))),"",INDIRECT(CONCATENATE("Input!",RSE_Setup!$B$16,ROW()+1)))</f>
        <v>2.9999999999999997E-4</v>
      </c>
      <c r="B66" s="1" cm="1">
        <f t="array" aca="1" ref="B66" ca="1">IF(ISBLANK(INDIRECT(CONCATENATE("Input!",RSE_Setup!$B$17,ROW()+1))),"",INDIRECT(CONCATENATE("Input!",RSE_Setup!$B$17,ROW()+1)))</f>
        <v>3.0000000000000001E-3</v>
      </c>
      <c r="C66" s="1" cm="1">
        <f t="array" aca="1" ref="C66" ca="1">IF(ISBLANK(INDIRECT(CONCATENATE("Input!",RSE_Setup!$B$18,ROW()+1))),"",INDIRECT(CONCATENATE("Input!",RSE_Setup!$B$18,ROW()+1)))</f>
        <v>3.2258000000000002E-2</v>
      </c>
      <c r="D66" s="1" cm="1">
        <f t="array" aca="1" ref="D66" ca="1">IF(ISBLANK(INDIRECT(CONCATENATE("Input!",RSE_Setup!$B$19,ROW()+1))),"",INDIRECT(CONCATENATE("Input!",RSE_Setup!$B$19,ROW()+1)))</f>
        <v>10000</v>
      </c>
      <c r="E66" s="1" cm="1">
        <f t="array" aca="1" ref="E66" ca="1">IF(ISBLANK(INDIRECT(CONCATENATE("Input!",RSE_Setup!$B$24,ROW()+1))),"",INDIRECT(CONCATENATE("Input!",RSE_Setup!$B$24,ROW()+1)))</f>
        <v>559.83977000000004</v>
      </c>
      <c r="F66" s="1">
        <f ca="1"/>
        <v>563.94361220370706</v>
      </c>
    </row>
    <row r="67" spans="1:6" x14ac:dyDescent="0.3">
      <c r="A67" s="1" cm="1">
        <f t="array" aca="1" ref="A67" ca="1">IF(ISBLANK(INDIRECT(CONCATENATE("Input!",RSE_Setup!$B$16,ROW()+1))),"",INDIRECT(CONCATENATE("Input!",RSE_Setup!$B$16,ROW()+1)))</f>
        <v>2.9999999999999997E-4</v>
      </c>
      <c r="B67" s="1" cm="1">
        <f t="array" aca="1" ref="B67" ca="1">IF(ISBLANK(INDIRECT(CONCATENATE("Input!",RSE_Setup!$B$17,ROW()+1))),"",INDIRECT(CONCATENATE("Input!",RSE_Setup!$B$17,ROW()+1)))</f>
        <v>4.0000000000000001E-3</v>
      </c>
      <c r="C67" s="1" cm="1">
        <f t="array" aca="1" ref="C67" ca="1">IF(ISBLANK(INDIRECT(CONCATENATE("Input!",RSE_Setup!$B$18,ROW()+1))),"",INDIRECT(CONCATENATE("Input!",RSE_Setup!$B$18,ROW()+1)))</f>
        <v>5.5556000000000001E-2</v>
      </c>
      <c r="D67" s="1" cm="1">
        <f t="array" aca="1" ref="D67" ca="1">IF(ISBLANK(INDIRECT(CONCATENATE("Input!",RSE_Setup!$B$19,ROW()+1))),"",INDIRECT(CONCATENATE("Input!",RSE_Setup!$B$19,ROW()+1)))</f>
        <v>6000</v>
      </c>
      <c r="E67" s="1" cm="1">
        <f t="array" aca="1" ref="E67" ca="1">IF(ISBLANK(INDIRECT(CONCATENATE("Input!",RSE_Setup!$B$24,ROW()+1))),"",INDIRECT(CONCATENATE("Input!",RSE_Setup!$B$24,ROW()+1)))</f>
        <v>402.94182000000001</v>
      </c>
      <c r="F67" s="1">
        <f ca="1"/>
        <v>411.37702655611577</v>
      </c>
    </row>
    <row r="68" spans="1:6" x14ac:dyDescent="0.3">
      <c r="A68" s="1" cm="1">
        <f t="array" aca="1" ref="A68" ca="1">IF(ISBLANK(INDIRECT(CONCATENATE("Input!",RSE_Setup!$B$16,ROW()+1))),"",INDIRECT(CONCATENATE("Input!",RSE_Setup!$B$16,ROW()+1)))</f>
        <v>2.9999999999999997E-4</v>
      </c>
      <c r="B68" s="1" cm="1">
        <f t="array" aca="1" ref="B68" ca="1">IF(ISBLANK(INDIRECT(CONCATENATE("Input!",RSE_Setup!$B$17,ROW()+1))),"",INDIRECT(CONCATENATE("Input!",RSE_Setup!$B$17,ROW()+1)))</f>
        <v>4.0000000000000001E-3</v>
      </c>
      <c r="C68" s="1" cm="1">
        <f t="array" aca="1" ref="C68" ca="1">IF(ISBLANK(INDIRECT(CONCATENATE("Input!",RSE_Setup!$B$18,ROW()+1))),"",INDIRECT(CONCATENATE("Input!",RSE_Setup!$B$18,ROW()+1)))</f>
        <v>3.2258000000000002E-2</v>
      </c>
      <c r="D68" s="1" cm="1">
        <f t="array" aca="1" ref="D68" ca="1">IF(ISBLANK(INDIRECT(CONCATENATE("Input!",RSE_Setup!$B$19,ROW()+1))),"",INDIRECT(CONCATENATE("Input!",RSE_Setup!$B$19,ROW()+1)))</f>
        <v>6000</v>
      </c>
      <c r="E68" s="1" cm="1">
        <f t="array" aca="1" ref="E68" ca="1">IF(ISBLANK(INDIRECT(CONCATENATE("Input!",RSE_Setup!$B$24,ROW()+1))),"",INDIRECT(CONCATENATE("Input!",RSE_Setup!$B$24,ROW()+1)))</f>
        <v>355.02331600000002</v>
      </c>
      <c r="F68" s="1">
        <f ca="1"/>
        <v>348.15544060279512</v>
      </c>
    </row>
    <row r="69" spans="1:6" x14ac:dyDescent="0.3">
      <c r="A69" s="1" cm="1">
        <f t="array" aca="1" ref="A69" ca="1">IF(ISBLANK(INDIRECT(CONCATENATE("Input!",RSE_Setup!$B$16,ROW()+1))),"",INDIRECT(CONCATENATE("Input!",RSE_Setup!$B$16,ROW()+1)))</f>
        <v>2.9999999999999997E-4</v>
      </c>
      <c r="B69" s="1" cm="1">
        <f t="array" aca="1" ref="B69" ca="1">IF(ISBLANK(INDIRECT(CONCATENATE("Input!",RSE_Setup!$B$17,ROW()+1))),"",INDIRECT(CONCATENATE("Input!",RSE_Setup!$B$17,ROW()+1)))</f>
        <v>4.0000000000000001E-3</v>
      </c>
      <c r="C69" s="1" cm="1">
        <f t="array" aca="1" ref="C69" ca="1">IF(ISBLANK(INDIRECT(CONCATENATE("Input!",RSE_Setup!$B$18,ROW()+1))),"",INDIRECT(CONCATENATE("Input!",RSE_Setup!$B$18,ROW()+1)))</f>
        <v>3.2258000000000002E-2</v>
      </c>
      <c r="D69" s="1" cm="1">
        <f t="array" aca="1" ref="D69" ca="1">IF(ISBLANK(INDIRECT(CONCATENATE("Input!",RSE_Setup!$B$19,ROW()+1))),"",INDIRECT(CONCATENATE("Input!",RSE_Setup!$B$19,ROW()+1)))</f>
        <v>8000</v>
      </c>
      <c r="E69" s="1" cm="1">
        <f t="array" aca="1" ref="E69" ca="1">IF(ISBLANK(INDIRECT(CONCATENATE("Input!",RSE_Setup!$B$24,ROW()+1))),"",INDIRECT(CONCATENATE("Input!",RSE_Setup!$B$24,ROW()+1)))</f>
        <v>458.812996</v>
      </c>
      <c r="F69" s="1">
        <f ca="1"/>
        <v>458.42361755836441</v>
      </c>
    </row>
    <row r="70" spans="1:6" x14ac:dyDescent="0.3">
      <c r="A70" s="1" cm="1">
        <f t="array" aca="1" ref="A70" ca="1">IF(ISBLANK(INDIRECT(CONCATENATE("Input!",RSE_Setup!$B$16,ROW()+1))),"",INDIRECT(CONCATENATE("Input!",RSE_Setup!$B$16,ROW()+1)))</f>
        <v>2.9999999999999997E-4</v>
      </c>
      <c r="B70" s="1" cm="1">
        <f t="array" aca="1" ref="B70" ca="1">IF(ISBLANK(INDIRECT(CONCATENATE("Input!",RSE_Setup!$B$17,ROW()+1))),"",INDIRECT(CONCATENATE("Input!",RSE_Setup!$B$17,ROW()+1)))</f>
        <v>4.0000000000000001E-3</v>
      </c>
      <c r="C70" s="1" cm="1">
        <f t="array" aca="1" ref="C70" ca="1">IF(ISBLANK(INDIRECT(CONCATENATE("Input!",RSE_Setup!$B$18,ROW()+1))),"",INDIRECT(CONCATENATE("Input!",RSE_Setup!$B$18,ROW()+1)))</f>
        <v>3.2258000000000002E-2</v>
      </c>
      <c r="D70" s="1" cm="1">
        <f t="array" aca="1" ref="D70" ca="1">IF(ISBLANK(INDIRECT(CONCATENATE("Input!",RSE_Setup!$B$19,ROW()+1))),"",INDIRECT(CONCATENATE("Input!",RSE_Setup!$B$19,ROW()+1)))</f>
        <v>10000</v>
      </c>
      <c r="E70" s="1" cm="1">
        <f t="array" aca="1" ref="E70" ca="1">IF(ISBLANK(INDIRECT(CONCATENATE("Input!",RSE_Setup!$B$24,ROW()+1))),"",INDIRECT(CONCATENATE("Input!",RSE_Setup!$B$24,ROW()+1)))</f>
        <v>564.43891699999995</v>
      </c>
      <c r="F70" s="1">
        <f ca="1"/>
        <v>568.4748913962444</v>
      </c>
    </row>
    <row r="71" spans="1:6" x14ac:dyDescent="0.3">
      <c r="A71" s="1" cm="1">
        <f t="array" aca="1" ref="A71" ca="1">IF(ISBLANK(INDIRECT(CONCATENATE("Input!",RSE_Setup!$B$16,ROW()+1))),"",INDIRECT(CONCATENATE("Input!",RSE_Setup!$B$16,ROW()+1)))</f>
        <v>5.0000000000000001E-4</v>
      </c>
      <c r="B71" s="1" cm="1">
        <f t="array" aca="1" ref="B71" ca="1">IF(ISBLANK(INDIRECT(CONCATENATE("Input!",RSE_Setup!$B$17,ROW()+1))),"",INDIRECT(CONCATENATE("Input!",RSE_Setup!$B$17,ROW()+1)))</f>
        <v>3.0000000000000001E-3</v>
      </c>
      <c r="C71" s="1" cm="1">
        <f t="array" aca="1" ref="C71" ca="1">IF(ISBLANK(INDIRECT(CONCATENATE("Input!",RSE_Setup!$B$18,ROW()+1))),"",INDIRECT(CONCATENATE("Input!",RSE_Setup!$B$18,ROW()+1)))</f>
        <v>5.5556000000000001E-2</v>
      </c>
      <c r="D71" s="1" cm="1">
        <f t="array" aca="1" ref="D71" ca="1">IF(ISBLANK(INDIRECT(CONCATENATE("Input!",RSE_Setup!$B$19,ROW()+1))),"",INDIRECT(CONCATENATE("Input!",RSE_Setup!$B$19,ROW()+1)))</f>
        <v>3375</v>
      </c>
      <c r="E71" s="1" cm="1">
        <f t="array" aca="1" ref="E71" ca="1">IF(ISBLANK(INDIRECT(CONCATENATE("Input!",RSE_Setup!$B$24,ROW()+1))),"",INDIRECT(CONCATENATE("Input!",RSE_Setup!$B$24,ROW()+1)))</f>
        <v>263.375271</v>
      </c>
      <c r="F71" s="1">
        <f ca="1"/>
        <v>256.48240637511799</v>
      </c>
    </row>
    <row r="72" spans="1:6" x14ac:dyDescent="0.3">
      <c r="A72" s="1" cm="1">
        <f t="array" aca="1" ref="A72" ca="1">IF(ISBLANK(INDIRECT(CONCATENATE("Input!",RSE_Setup!$B$16,ROW()+1))),"",INDIRECT(CONCATENATE("Input!",RSE_Setup!$B$16,ROW()+1)))</f>
        <v>5.0000000000000001E-4</v>
      </c>
      <c r="B72" s="1" cm="1">
        <f t="array" aca="1" ref="B72" ca="1">IF(ISBLANK(INDIRECT(CONCATENATE("Input!",RSE_Setup!$B$17,ROW()+1))),"",INDIRECT(CONCATENATE("Input!",RSE_Setup!$B$17,ROW()+1)))</f>
        <v>3.0000000000000001E-3</v>
      </c>
      <c r="C72" s="1" cm="1">
        <f t="array" aca="1" ref="C72" ca="1">IF(ISBLANK(INDIRECT(CONCATENATE("Input!",RSE_Setup!$B$18,ROW()+1))),"",INDIRECT(CONCATENATE("Input!",RSE_Setup!$B$18,ROW()+1)))</f>
        <v>5.5556000000000001E-2</v>
      </c>
      <c r="D72" s="1" cm="1">
        <f t="array" aca="1" ref="D72" ca="1">IF(ISBLANK(INDIRECT(CONCATENATE("Input!",RSE_Setup!$B$19,ROW()+1))),"",INDIRECT(CONCATENATE("Input!",RSE_Setup!$B$19,ROW()+1)))</f>
        <v>4500</v>
      </c>
      <c r="E72" s="1" cm="1">
        <f t="array" aca="1" ref="E72" ca="1">IF(ISBLANK(INDIRECT(CONCATENATE("Input!",RSE_Setup!$B$24,ROW()+1))),"",INDIRECT(CONCATENATE("Input!",RSE_Setup!$B$24,ROW()+1)))</f>
        <v>337.18350400000003</v>
      </c>
      <c r="F72" s="1">
        <f ca="1"/>
        <v>333.92857956152221</v>
      </c>
    </row>
    <row r="73" spans="1:6" x14ac:dyDescent="0.3">
      <c r="A73" s="1" cm="1">
        <f t="array" aca="1" ref="A73" ca="1">IF(ISBLANK(INDIRECT(CONCATENATE("Input!",RSE_Setup!$B$16,ROW()+1))),"",INDIRECT(CONCATENATE("Input!",RSE_Setup!$B$16,ROW()+1)))</f>
        <v>5.0000000000000001E-4</v>
      </c>
      <c r="B73" s="1" cm="1">
        <f t="array" aca="1" ref="B73" ca="1">IF(ISBLANK(INDIRECT(CONCATENATE("Input!",RSE_Setup!$B$17,ROW()+1))),"",INDIRECT(CONCATENATE("Input!",RSE_Setup!$B$17,ROW()+1)))</f>
        <v>3.0000000000000001E-3</v>
      </c>
      <c r="C73" s="1" cm="1">
        <f t="array" aca="1" ref="C73" ca="1">IF(ISBLANK(INDIRECT(CONCATENATE("Input!",RSE_Setup!$B$18,ROW()+1))),"",INDIRECT(CONCATENATE("Input!",RSE_Setup!$B$18,ROW()+1)))</f>
        <v>5.5556000000000001E-2</v>
      </c>
      <c r="D73" s="1" cm="1">
        <f t="array" aca="1" ref="D73" ca="1">IF(ISBLANK(INDIRECT(CONCATENATE("Input!",RSE_Setup!$B$19,ROW()+1))),"",INDIRECT(CONCATENATE("Input!",RSE_Setup!$B$19,ROW()+1)))</f>
        <v>6000</v>
      </c>
      <c r="E73" s="1" cm="1">
        <f t="array" aca="1" ref="E73" ca="1">IF(ISBLANK(INDIRECT(CONCATENATE("Input!",RSE_Setup!$B$24,ROW()+1))),"",INDIRECT(CONCATENATE("Input!",RSE_Setup!$B$24,ROW()+1)))</f>
        <v>428.10327799999999</v>
      </c>
      <c r="F73" s="1">
        <f ca="1"/>
        <v>437.08338680682368</v>
      </c>
    </row>
    <row r="74" spans="1:6" x14ac:dyDescent="0.3">
      <c r="A74" s="1" cm="1">
        <f t="array" aca="1" ref="A74" ca="1">IF(ISBLANK(INDIRECT(CONCATENATE("Input!",RSE_Setup!$B$16,ROW()+1))),"",INDIRECT(CONCATENATE("Input!",RSE_Setup!$B$16,ROW()+1)))</f>
        <v>5.0000000000000001E-4</v>
      </c>
      <c r="B74" s="1" cm="1">
        <f t="array" aca="1" ref="B74" ca="1">IF(ISBLANK(INDIRECT(CONCATENATE("Input!",RSE_Setup!$B$17,ROW()+1))),"",INDIRECT(CONCATENATE("Input!",RSE_Setup!$B$17,ROW()+1)))</f>
        <v>3.0000000000000001E-3</v>
      </c>
      <c r="C74" s="1" cm="1">
        <f t="array" aca="1" ref="C74" ca="1">IF(ISBLANK(INDIRECT(CONCATENATE("Input!",RSE_Setup!$B$18,ROW()+1))),"",INDIRECT(CONCATENATE("Input!",RSE_Setup!$B$18,ROW()+1)))</f>
        <v>3.2258000000000002E-2</v>
      </c>
      <c r="D74" s="1" cm="1">
        <f t="array" aca="1" ref="D74" ca="1">IF(ISBLANK(INDIRECT(CONCATENATE("Input!",RSE_Setup!$B$19,ROW()+1))),"",INDIRECT(CONCATENATE("Input!",RSE_Setup!$B$19,ROW()+1)))</f>
        <v>6000</v>
      </c>
      <c r="E74" s="1" cm="1">
        <f t="array" aca="1" ref="E74" ca="1">IF(ISBLANK(INDIRECT(CONCATENATE("Input!",RSE_Setup!$B$24,ROW()+1))),"",INDIRECT(CONCATENATE("Input!",RSE_Setup!$B$24,ROW()+1)))</f>
        <v>380.781857</v>
      </c>
      <c r="F74" s="1">
        <f ca="1"/>
        <v>374.12960541750442</v>
      </c>
    </row>
    <row r="75" spans="1:6" x14ac:dyDescent="0.3">
      <c r="A75" s="1" cm="1">
        <f t="array" aca="1" ref="A75" ca="1">IF(ISBLANK(INDIRECT(CONCATENATE("Input!",RSE_Setup!$B$16,ROW()+1))),"",INDIRECT(CONCATENATE("Input!",RSE_Setup!$B$16,ROW()+1)))</f>
        <v>5.0000000000000001E-4</v>
      </c>
      <c r="B75" s="1" cm="1">
        <f t="array" aca="1" ref="B75" ca="1">IF(ISBLANK(INDIRECT(CONCATENATE("Input!",RSE_Setup!$B$17,ROW()+1))),"",INDIRECT(CONCATENATE("Input!",RSE_Setup!$B$17,ROW()+1)))</f>
        <v>3.0000000000000001E-3</v>
      </c>
      <c r="C75" s="1" cm="1">
        <f t="array" aca="1" ref="C75" ca="1">IF(ISBLANK(INDIRECT(CONCATENATE("Input!",RSE_Setup!$B$18,ROW()+1))),"",INDIRECT(CONCATENATE("Input!",RSE_Setup!$B$18,ROW()+1)))</f>
        <v>3.2258000000000002E-2</v>
      </c>
      <c r="D75" s="1" cm="1">
        <f t="array" aca="1" ref="D75" ca="1">IF(ISBLANK(INDIRECT(CONCATENATE("Input!",RSE_Setup!$B$19,ROW()+1))),"",INDIRECT(CONCATENATE("Input!",RSE_Setup!$B$19,ROW()+1)))</f>
        <v>8000</v>
      </c>
      <c r="E75" s="1" cm="1">
        <f t="array" aca="1" ref="E75" ca="1">IF(ISBLANK(INDIRECT(CONCATENATE("Input!",RSE_Setup!$B$24,ROW()+1))),"",INDIRECT(CONCATENATE("Input!",RSE_Setup!$B$24,ROW()+1)))</f>
        <v>492.49405400000001</v>
      </c>
      <c r="F75" s="1">
        <f ca="1"/>
        <v>492.70211233187604</v>
      </c>
    </row>
    <row r="76" spans="1:6" x14ac:dyDescent="0.3">
      <c r="A76" s="1" cm="1">
        <f t="array" aca="1" ref="A76" ca="1">IF(ISBLANK(INDIRECT(CONCATENATE("Input!",RSE_Setup!$B$16,ROW()+1))),"",INDIRECT(CONCATENATE("Input!",RSE_Setup!$B$16,ROW()+1)))</f>
        <v>5.0000000000000001E-4</v>
      </c>
      <c r="B76" s="1" cm="1">
        <f t="array" aca="1" ref="B76" ca="1">IF(ISBLANK(INDIRECT(CONCATENATE("Input!",RSE_Setup!$B$17,ROW()+1))),"",INDIRECT(CONCATENATE("Input!",RSE_Setup!$B$17,ROW()+1)))</f>
        <v>3.0000000000000001E-3</v>
      </c>
      <c r="C76" s="1" cm="1">
        <f t="array" aca="1" ref="C76" ca="1">IF(ISBLANK(INDIRECT(CONCATENATE("Input!",RSE_Setup!$B$18,ROW()+1))),"",INDIRECT(CONCATENATE("Input!",RSE_Setup!$B$18,ROW()+1)))</f>
        <v>3.2258000000000002E-2</v>
      </c>
      <c r="D76" s="1" cm="1">
        <f t="array" aca="1" ref="D76" ca="1">IF(ISBLANK(INDIRECT(CONCATENATE("Input!",RSE_Setup!$B$19,ROW()+1))),"",INDIRECT(CONCATENATE("Input!",RSE_Setup!$B$19,ROW()+1)))</f>
        <v>10000</v>
      </c>
      <c r="E76" s="1" cm="1">
        <f t="array" aca="1" ref="E76" ca="1">IF(ISBLANK(INDIRECT(CONCATENATE("Input!",RSE_Setup!$B$24,ROW()+1))),"",INDIRECT(CONCATENATE("Input!",RSE_Setup!$B$24,ROW()+1)))</f>
        <v>606.41102699999999</v>
      </c>
      <c r="F76" s="1">
        <f ca="1"/>
        <v>611.05771612855847</v>
      </c>
    </row>
    <row r="77" spans="1:6" x14ac:dyDescent="0.3">
      <c r="A77" s="1" cm="1">
        <f t="array" aca="1" ref="A77" ca="1">IF(ISBLANK(INDIRECT(CONCATENATE("Input!",RSE_Setup!$B$16,ROW()+1))),"",INDIRECT(CONCATENATE("Input!",RSE_Setup!$B$16,ROW()+1)))</f>
        <v>5.0000000000000001E-4</v>
      </c>
      <c r="B77" s="1" cm="1">
        <f t="array" aca="1" ref="B77" ca="1">IF(ISBLANK(INDIRECT(CONCATENATE("Input!",RSE_Setup!$B$17,ROW()+1))),"",INDIRECT(CONCATENATE("Input!",RSE_Setup!$B$17,ROW()+1)))</f>
        <v>4.7499999999999999E-3</v>
      </c>
      <c r="C77" s="1" cm="1">
        <f t="array" aca="1" ref="C77" ca="1">IF(ISBLANK(INDIRECT(CONCATENATE("Input!",RSE_Setup!$B$18,ROW()+1))),"",INDIRECT(CONCATENATE("Input!",RSE_Setup!$B$18,ROW()+1)))</f>
        <v>5.5556000000000001E-2</v>
      </c>
      <c r="D77" s="1" cm="1">
        <f t="array" aca="1" ref="D77" ca="1">IF(ISBLANK(INDIRECT(CONCATENATE("Input!",RSE_Setup!$B$19,ROW()+1))),"",INDIRECT(CONCATENATE("Input!",RSE_Setup!$B$19,ROW()+1)))</f>
        <v>3375</v>
      </c>
      <c r="E77" s="1" cm="1">
        <f t="array" aca="1" ref="E77" ca="1">IF(ISBLANK(INDIRECT(CONCATENATE("Input!",RSE_Setup!$B$24,ROW()+1))),"",INDIRECT(CONCATENATE("Input!",RSE_Setup!$B$24,ROW()+1)))</f>
        <v>266.42752100000001</v>
      </c>
      <c r="F77" s="1">
        <f ca="1"/>
        <v>259.47101949740835</v>
      </c>
    </row>
    <row r="78" spans="1:6" x14ac:dyDescent="0.3">
      <c r="A78" s="1" cm="1">
        <f t="array" aca="1" ref="A78" ca="1">IF(ISBLANK(INDIRECT(CONCATENATE("Input!",RSE_Setup!$B$16,ROW()+1))),"",INDIRECT(CONCATENATE("Input!",RSE_Setup!$B$16,ROW()+1)))</f>
        <v>5.0000000000000001E-4</v>
      </c>
      <c r="B78" s="1" cm="1">
        <f t="array" aca="1" ref="B78" ca="1">IF(ISBLANK(INDIRECT(CONCATENATE("Input!",RSE_Setup!$B$17,ROW()+1))),"",INDIRECT(CONCATENATE("Input!",RSE_Setup!$B$17,ROW()+1)))</f>
        <v>4.7499999999999999E-3</v>
      </c>
      <c r="C78" s="1" cm="1">
        <f t="array" aca="1" ref="C78" ca="1">IF(ISBLANK(INDIRECT(CONCATENATE("Input!",RSE_Setup!$B$18,ROW()+1))),"",INDIRECT(CONCATENATE("Input!",RSE_Setup!$B$18,ROW()+1)))</f>
        <v>5.5556000000000001E-2</v>
      </c>
      <c r="D78" s="1" cm="1">
        <f t="array" aca="1" ref="D78" ca="1">IF(ISBLANK(INDIRECT(CONCATENATE("Input!",RSE_Setup!$B$19,ROW()+1))),"",INDIRECT(CONCATENATE("Input!",RSE_Setup!$B$19,ROW()+1)))</f>
        <v>4500</v>
      </c>
      <c r="E78" s="1" cm="1">
        <f t="array" aca="1" ref="E78" ca="1">IF(ISBLANK(INDIRECT(CONCATENATE("Input!",RSE_Setup!$B$24,ROW()+1))),"",INDIRECT(CONCATENATE("Input!",RSE_Setup!$B$24,ROW()+1)))</f>
        <v>341.28225400000002</v>
      </c>
      <c r="F78" s="1">
        <f ca="1"/>
        <v>337.85606130377329</v>
      </c>
    </row>
    <row r="79" spans="1:6" x14ac:dyDescent="0.3">
      <c r="A79" s="1" cm="1">
        <f t="array" aca="1" ref="A79" ca="1">IF(ISBLANK(INDIRECT(CONCATENATE("Input!",RSE_Setup!$B$16,ROW()+1))),"",INDIRECT(CONCATENATE("Input!",RSE_Setup!$B$16,ROW()+1)))</f>
        <v>5.0000000000000001E-4</v>
      </c>
      <c r="B79" s="1" cm="1">
        <f t="array" aca="1" ref="B79" ca="1">IF(ISBLANK(INDIRECT(CONCATENATE("Input!",RSE_Setup!$B$17,ROW()+1))),"",INDIRECT(CONCATENATE("Input!",RSE_Setup!$B$17,ROW()+1)))</f>
        <v>4.7499999999999999E-3</v>
      </c>
      <c r="C79" s="1" cm="1">
        <f t="array" aca="1" ref="C79" ca="1">IF(ISBLANK(INDIRECT(CONCATENATE("Input!",RSE_Setup!$B$18,ROW()+1))),"",INDIRECT(CONCATENATE("Input!",RSE_Setup!$B$18,ROW()+1)))</f>
        <v>5.5556000000000001E-2</v>
      </c>
      <c r="D79" s="1" cm="1">
        <f t="array" aca="1" ref="D79" ca="1">IF(ISBLANK(INDIRECT(CONCATENATE("Input!",RSE_Setup!$B$19,ROW()+1))),"",INDIRECT(CONCATENATE("Input!",RSE_Setup!$B$19,ROW()+1)))</f>
        <v>6000</v>
      </c>
      <c r="E79" s="1" cm="1">
        <f t="array" aca="1" ref="E79" ca="1">IF(ISBLANK(INDIRECT(CONCATENATE("Input!",RSE_Setup!$B$24,ROW()+1))),"",INDIRECT(CONCATENATE("Input!",RSE_Setup!$B$24,ROW()+1)))</f>
        <v>433.41862099999997</v>
      </c>
      <c r="F79" s="1">
        <f ca="1"/>
        <v>442.26269337568897</v>
      </c>
    </row>
    <row r="80" spans="1:6" x14ac:dyDescent="0.3">
      <c r="A80" s="1" cm="1">
        <f t="array" aca="1" ref="A80" ca="1">IF(ISBLANK(INDIRECT(CONCATENATE("Input!",RSE_Setup!$B$16,ROW()+1))),"",INDIRECT(CONCATENATE("Input!",RSE_Setup!$B$16,ROW()+1)))</f>
        <v>5.0000000000000001E-4</v>
      </c>
      <c r="B80" s="1" cm="1">
        <f t="array" aca="1" ref="B80" ca="1">IF(ISBLANK(INDIRECT(CONCATENATE("Input!",RSE_Setup!$B$17,ROW()+1))),"",INDIRECT(CONCATENATE("Input!",RSE_Setup!$B$17,ROW()+1)))</f>
        <v>4.7499999999999999E-3</v>
      </c>
      <c r="C80" s="1" cm="1">
        <f t="array" aca="1" ref="C80" ca="1">IF(ISBLANK(INDIRECT(CONCATENATE("Input!",RSE_Setup!$B$18,ROW()+1))),"",INDIRECT(CONCATENATE("Input!",RSE_Setup!$B$18,ROW()+1)))</f>
        <v>3.2258000000000002E-2</v>
      </c>
      <c r="D80" s="1" cm="1">
        <f t="array" aca="1" ref="D80" ca="1">IF(ISBLANK(INDIRECT(CONCATENATE("Input!",RSE_Setup!$B$19,ROW()+1))),"",INDIRECT(CONCATENATE("Input!",RSE_Setup!$B$19,ROW()+1)))</f>
        <v>6000</v>
      </c>
      <c r="E80" s="1" cm="1">
        <f t="array" aca="1" ref="E80" ca="1">IF(ISBLANK(INDIRECT(CONCATENATE("Input!",RSE_Setup!$B$24,ROW()+1))),"",INDIRECT(CONCATENATE("Input!",RSE_Setup!$B$24,ROW()+1)))</f>
        <v>386.07646199999999</v>
      </c>
      <c r="F80" s="1">
        <f ca="1"/>
        <v>378.91755857750354</v>
      </c>
    </row>
    <row r="81" spans="1:6" x14ac:dyDescent="0.3">
      <c r="A81" s="1" cm="1">
        <f t="array" aca="1" ref="A81" ca="1">IF(ISBLANK(INDIRECT(CONCATENATE("Input!",RSE_Setup!$B$16,ROW()+1))),"",INDIRECT(CONCATENATE("Input!",RSE_Setup!$B$16,ROW()+1)))</f>
        <v>5.0000000000000001E-4</v>
      </c>
      <c r="B81" s="1" cm="1">
        <f t="array" aca="1" ref="B81" ca="1">IF(ISBLANK(INDIRECT(CONCATENATE("Input!",RSE_Setup!$B$17,ROW()+1))),"",INDIRECT(CONCATENATE("Input!",RSE_Setup!$B$17,ROW()+1)))</f>
        <v>4.7499999999999999E-3</v>
      </c>
      <c r="C81" s="1" cm="1">
        <f t="array" aca="1" ref="C81" ca="1">IF(ISBLANK(INDIRECT(CONCATENATE("Input!",RSE_Setup!$B$18,ROW()+1))),"",INDIRECT(CONCATENATE("Input!",RSE_Setup!$B$18,ROW()+1)))</f>
        <v>3.2258000000000002E-2</v>
      </c>
      <c r="D81" s="1" cm="1">
        <f t="array" aca="1" ref="D81" ca="1">IF(ISBLANK(INDIRECT(CONCATENATE("Input!",RSE_Setup!$B$19,ROW()+1))),"",INDIRECT(CONCATENATE("Input!",RSE_Setup!$B$19,ROW()+1)))</f>
        <v>8000</v>
      </c>
      <c r="E81" s="1" cm="1">
        <f t="array" aca="1" ref="E81" ca="1">IF(ISBLANK(INDIRECT(CONCATENATE("Input!",RSE_Setup!$B$24,ROW()+1))),"",INDIRECT(CONCATENATE("Input!",RSE_Setup!$B$24,ROW()+1)))</f>
        <v>499.766032</v>
      </c>
      <c r="F81" s="1">
        <f ca="1"/>
        <v>499.15916526069401</v>
      </c>
    </row>
    <row r="82" spans="1:6" x14ac:dyDescent="0.3">
      <c r="A82" s="1" cm="1">
        <f t="array" aca="1" ref="A82" ca="1">IF(ISBLANK(INDIRECT(CONCATENATE("Input!",RSE_Setup!$B$16,ROW()+1))),"",INDIRECT(CONCATENATE("Input!",RSE_Setup!$B$16,ROW()+1)))</f>
        <v>5.0000000000000001E-4</v>
      </c>
      <c r="B82" s="1" cm="1">
        <f t="array" aca="1" ref="B82" ca="1">IF(ISBLANK(INDIRECT(CONCATENATE("Input!",RSE_Setup!$B$17,ROW()+1))),"",INDIRECT(CONCATENATE("Input!",RSE_Setup!$B$17,ROW()+1)))</f>
        <v>4.7499999999999999E-3</v>
      </c>
      <c r="C82" s="1" cm="1">
        <f t="array" aca="1" ref="C82" ca="1">IF(ISBLANK(INDIRECT(CONCATENATE("Input!",RSE_Setup!$B$18,ROW()+1))),"",INDIRECT(CONCATENATE("Input!",RSE_Setup!$B$18,ROW()+1)))</f>
        <v>3.2258000000000002E-2</v>
      </c>
      <c r="D82" s="1" cm="1">
        <f t="array" aca="1" ref="D82" ca="1">IF(ISBLANK(INDIRECT(CONCATENATE("Input!",RSE_Setup!$B$19,ROW()+1))),"",INDIRECT(CONCATENATE("Input!",RSE_Setup!$B$19,ROW()+1)))</f>
        <v>10000</v>
      </c>
      <c r="E82" s="1" cm="1">
        <f t="array" aca="1" ref="E82" ca="1">IF(ISBLANK(INDIRECT(CONCATENATE("Input!",RSE_Setup!$B$24,ROW()+1))),"",INDIRECT(CONCATENATE("Input!",RSE_Setup!$B$24,ROW()+1)))</f>
        <v>614.83167900000001</v>
      </c>
      <c r="F82" s="1">
        <f ca="1"/>
        <v>619.18386882619541</v>
      </c>
    </row>
    <row r="83" spans="1:6" x14ac:dyDescent="0.3">
      <c r="A83" s="1" cm="1">
        <f t="array" aca="1" ref="A83" ca="1">IF(ISBLANK(INDIRECT(CONCATENATE("Input!",RSE_Setup!$B$16,ROW()+1))),"",INDIRECT(CONCATENATE("Input!",RSE_Setup!$B$16,ROW()+1)))</f>
        <v>5.0000000000000001E-4</v>
      </c>
      <c r="B83" s="1" cm="1">
        <f t="array" aca="1" ref="B83" ca="1">IF(ISBLANK(INDIRECT(CONCATENATE("Input!",RSE_Setup!$B$17,ROW()+1))),"",INDIRECT(CONCATENATE("Input!",RSE_Setup!$B$17,ROW()+1)))</f>
        <v>6.4999999999999997E-3</v>
      </c>
      <c r="C83" s="1" cm="1">
        <f t="array" aca="1" ref="C83" ca="1">IF(ISBLANK(INDIRECT(CONCATENATE("Input!",RSE_Setup!$B$18,ROW()+1))),"",INDIRECT(CONCATENATE("Input!",RSE_Setup!$B$18,ROW()+1)))</f>
        <v>5.5556000000000001E-2</v>
      </c>
      <c r="D83" s="1" cm="1">
        <f t="array" aca="1" ref="D83" ca="1">IF(ISBLANK(INDIRECT(CONCATENATE("Input!",RSE_Setup!$B$19,ROW()+1))),"",INDIRECT(CONCATENATE("Input!",RSE_Setup!$B$19,ROW()+1)))</f>
        <v>3375</v>
      </c>
      <c r="E83" s="1" cm="1">
        <f t="array" aca="1" ref="E83" ca="1">IF(ISBLANK(INDIRECT(CONCATENATE("Input!",RSE_Setup!$B$24,ROW()+1))),"",INDIRECT(CONCATENATE("Input!",RSE_Setup!$B$24,ROW()+1)))</f>
        <v>269.54745000000003</v>
      </c>
      <c r="F83" s="1">
        <f ca="1"/>
        <v>262.77955800809212</v>
      </c>
    </row>
    <row r="84" spans="1:6" x14ac:dyDescent="0.3">
      <c r="A84" s="1" cm="1">
        <f t="array" aca="1" ref="A84" ca="1">IF(ISBLANK(INDIRECT(CONCATENATE("Input!",RSE_Setup!$B$16,ROW()+1))),"",INDIRECT(CONCATENATE("Input!",RSE_Setup!$B$16,ROW()+1)))</f>
        <v>5.0000000000000001E-4</v>
      </c>
      <c r="B84" s="1" cm="1">
        <f t="array" aca="1" ref="B84" ca="1">IF(ISBLANK(INDIRECT(CONCATENATE("Input!",RSE_Setup!$B$17,ROW()+1))),"",INDIRECT(CONCATENATE("Input!",RSE_Setup!$B$17,ROW()+1)))</f>
        <v>6.4999999999999997E-3</v>
      </c>
      <c r="C84" s="1" cm="1">
        <f t="array" aca="1" ref="C84" ca="1">IF(ISBLANK(INDIRECT(CONCATENATE("Input!",RSE_Setup!$B$18,ROW()+1))),"",INDIRECT(CONCATENATE("Input!",RSE_Setup!$B$18,ROW()+1)))</f>
        <v>5.5556000000000001E-2</v>
      </c>
      <c r="D84" s="1" cm="1">
        <f t="array" aca="1" ref="D84" ca="1">IF(ISBLANK(INDIRECT(CONCATENATE("Input!",RSE_Setup!$B$19,ROW()+1))),"",INDIRECT(CONCATENATE("Input!",RSE_Setup!$B$19,ROW()+1)))</f>
        <v>4500</v>
      </c>
      <c r="E84" s="1" cm="1">
        <f t="array" aca="1" ref="E84" ca="1">IF(ISBLANK(INDIRECT(CONCATENATE("Input!",RSE_Setup!$B$24,ROW()+1))),"",INDIRECT(CONCATENATE("Input!",RSE_Setup!$B$24,ROW()+1)))</f>
        <v>345.360345</v>
      </c>
      <c r="F84" s="1">
        <f ca="1"/>
        <v>342.10346843441778</v>
      </c>
    </row>
    <row r="85" spans="1:6" x14ac:dyDescent="0.3">
      <c r="A85" s="1" cm="1">
        <f t="array" aca="1" ref="A85" ca="1">IF(ISBLANK(INDIRECT(CONCATENATE("Input!",RSE_Setup!$B$16,ROW()+1))),"",INDIRECT(CONCATENATE("Input!",RSE_Setup!$B$16,ROW()+1)))</f>
        <v>5.0000000000000001E-4</v>
      </c>
      <c r="B85" s="1" cm="1">
        <f t="array" aca="1" ref="B85" ca="1">IF(ISBLANK(INDIRECT(CONCATENATE("Input!",RSE_Setup!$B$17,ROW()+1))),"",INDIRECT(CONCATENATE("Input!",RSE_Setup!$B$17,ROW()+1)))</f>
        <v>6.4999999999999997E-3</v>
      </c>
      <c r="C85" s="1" cm="1">
        <f t="array" aca="1" ref="C85" ca="1">IF(ISBLANK(INDIRECT(CONCATENATE("Input!",RSE_Setup!$B$18,ROW()+1))),"",INDIRECT(CONCATENATE("Input!",RSE_Setup!$B$18,ROW()+1)))</f>
        <v>5.5556000000000001E-2</v>
      </c>
      <c r="D85" s="1" cm="1">
        <f t="array" aca="1" ref="D85" ca="1">IF(ISBLANK(INDIRECT(CONCATENATE("Input!",RSE_Setup!$B$19,ROW()+1))),"",INDIRECT(CONCATENATE("Input!",RSE_Setup!$B$19,ROW()+1)))</f>
        <v>6000</v>
      </c>
      <c r="E85" s="1" cm="1">
        <f t="array" aca="1" ref="E85" ca="1">IF(ISBLANK(INDIRECT(CONCATENATE("Input!",RSE_Setup!$B$24,ROW()+1))),"",INDIRECT(CONCATENATE("Input!",RSE_Setup!$B$24,ROW()+1)))</f>
        <v>438.90257500000001</v>
      </c>
      <c r="F85" s="1">
        <f ca="1"/>
        <v>447.76192533294773</v>
      </c>
    </row>
    <row r="86" spans="1:6" x14ac:dyDescent="0.3">
      <c r="A86" s="1" cm="1">
        <f t="array" aca="1" ref="A86" ca="1">IF(ISBLANK(INDIRECT(CONCATENATE("Input!",RSE_Setup!$B$16,ROW()+1))),"",INDIRECT(CONCATENATE("Input!",RSE_Setup!$B$16,ROW()+1)))</f>
        <v>5.0000000000000001E-4</v>
      </c>
      <c r="B86" s="1" cm="1">
        <f t="array" aca="1" ref="B86" ca="1">IF(ISBLANK(INDIRECT(CONCATENATE("Input!",RSE_Setup!$B$17,ROW()+1))),"",INDIRECT(CONCATENATE("Input!",RSE_Setup!$B$17,ROW()+1)))</f>
        <v>6.4999999999999997E-3</v>
      </c>
      <c r="C86" s="1" cm="1">
        <f t="array" aca="1" ref="C86" ca="1">IF(ISBLANK(INDIRECT(CONCATENATE("Input!",RSE_Setup!$B$18,ROW()+1))),"",INDIRECT(CONCATENATE("Input!",RSE_Setup!$B$18,ROW()+1)))</f>
        <v>3.2258000000000002E-2</v>
      </c>
      <c r="D86" s="1" cm="1">
        <f t="array" aca="1" ref="D86" ca="1">IF(ISBLANK(INDIRECT(CONCATENATE("Input!",RSE_Setup!$B$19,ROW()+1))),"",INDIRECT(CONCATENATE("Input!",RSE_Setup!$B$19,ROW()+1)))</f>
        <v>6000</v>
      </c>
      <c r="E86" s="1" cm="1">
        <f t="array" aca="1" ref="E86" ca="1">IF(ISBLANK(INDIRECT(CONCATENATE("Input!",RSE_Setup!$B$24,ROW()+1))),"",INDIRECT(CONCATENATE("Input!",RSE_Setup!$B$24,ROW()+1)))</f>
        <v>391.682953</v>
      </c>
      <c r="F86" s="1">
        <f ca="1"/>
        <v>384.02543712589591</v>
      </c>
    </row>
    <row r="87" spans="1:6" x14ac:dyDescent="0.3">
      <c r="A87" s="1" cm="1">
        <f t="array" aca="1" ref="A87" ca="1">IF(ISBLANK(INDIRECT(CONCATENATE("Input!",RSE_Setup!$B$16,ROW()+1))),"",INDIRECT(CONCATENATE("Input!",RSE_Setup!$B$16,ROW()+1)))</f>
        <v>7.5000000000000002E-4</v>
      </c>
      <c r="B87" s="1" cm="1">
        <f t="array" aca="1" ref="B87" ca="1">IF(ISBLANK(INDIRECT(CONCATENATE("Input!",RSE_Setup!$B$17,ROW()+1))),"",INDIRECT(CONCATENATE("Input!",RSE_Setup!$B$17,ROW()+1)))</f>
        <v>4.0000000000000001E-3</v>
      </c>
      <c r="C87" s="1" cm="1">
        <f t="array" aca="1" ref="C87" ca="1">IF(ISBLANK(INDIRECT(CONCATENATE("Input!",RSE_Setup!$B$18,ROW()+1))),"",INDIRECT(CONCATENATE("Input!",RSE_Setup!$B$18,ROW()+1)))</f>
        <v>5.5556000000000001E-2</v>
      </c>
      <c r="D87" s="1" cm="1">
        <f t="array" aca="1" ref="D87" ca="1">IF(ISBLANK(INDIRECT(CONCATENATE("Input!",RSE_Setup!$B$19,ROW()+1))),"",INDIRECT(CONCATENATE("Input!",RSE_Setup!$B$19,ROW()+1)))</f>
        <v>3375</v>
      </c>
      <c r="E87" s="1" cm="1">
        <f t="array" aca="1" ref="E87" ca="1">IF(ISBLANK(INDIRECT(CONCATENATE("Input!",RSE_Setup!$B$24,ROW()+1))),"",INDIRECT(CONCATENATE("Input!",RSE_Setup!$B$24,ROW()+1)))</f>
        <v>286.02538800000002</v>
      </c>
      <c r="F87" s="1">
        <f ca="1"/>
        <v>279.27581169253</v>
      </c>
    </row>
    <row r="88" spans="1:6" x14ac:dyDescent="0.3">
      <c r="A88" s="1" cm="1">
        <f t="array" aca="1" ref="A88" ca="1">IF(ISBLANK(INDIRECT(CONCATENATE("Input!",RSE_Setup!$B$16,ROW()+1))),"",INDIRECT(CONCATENATE("Input!",RSE_Setup!$B$16,ROW()+1)))</f>
        <v>7.5000000000000002E-4</v>
      </c>
      <c r="B88" s="1" cm="1">
        <f t="array" aca="1" ref="B88" ca="1">IF(ISBLANK(INDIRECT(CONCATENATE("Input!",RSE_Setup!$B$17,ROW()+1))),"",INDIRECT(CONCATENATE("Input!",RSE_Setup!$B$17,ROW()+1)))</f>
        <v>4.0000000000000001E-3</v>
      </c>
      <c r="C88" s="1" cm="1">
        <f t="array" aca="1" ref="C88" ca="1">IF(ISBLANK(INDIRECT(CONCATENATE("Input!",RSE_Setup!$B$18,ROW()+1))),"",INDIRECT(CONCATENATE("Input!",RSE_Setup!$B$18,ROW()+1)))</f>
        <v>5.5556000000000001E-2</v>
      </c>
      <c r="D88" s="1" cm="1">
        <f t="array" aca="1" ref="D88" ca="1">IF(ISBLANK(INDIRECT(CONCATENATE("Input!",RSE_Setup!$B$19,ROW()+1))),"",INDIRECT(CONCATENATE("Input!",RSE_Setup!$B$19,ROW()+1)))</f>
        <v>4500</v>
      </c>
      <c r="E88" s="1" cm="1">
        <f t="array" aca="1" ref="E88" ca="1">IF(ISBLANK(INDIRECT(CONCATENATE("Input!",RSE_Setup!$B$24,ROW()+1))),"",INDIRECT(CONCATENATE("Input!",RSE_Setup!$B$24,ROW()+1)))</f>
        <v>366.94800400000003</v>
      </c>
      <c r="F88" s="1">
        <f ca="1"/>
        <v>363.76808367830955</v>
      </c>
    </row>
    <row r="89" spans="1:6" x14ac:dyDescent="0.3">
      <c r="A89" s="1" cm="1">
        <f t="array" aca="1" ref="A89" ca="1">IF(ISBLANK(INDIRECT(CONCATENATE("Input!",RSE_Setup!$B$16,ROW()+1))),"",INDIRECT(CONCATENATE("Input!",RSE_Setup!$B$16,ROW()+1)))</f>
        <v>7.5000000000000002E-4</v>
      </c>
      <c r="B89" s="1" cm="1">
        <f t="array" aca="1" ref="B89" ca="1">IF(ISBLANK(INDIRECT(CONCATENATE("Input!",RSE_Setup!$B$17,ROW()+1))),"",INDIRECT(CONCATENATE("Input!",RSE_Setup!$B$17,ROW()+1)))</f>
        <v>4.0000000000000001E-3</v>
      </c>
      <c r="C89" s="1" cm="1">
        <f t="array" aca="1" ref="C89" ca="1">IF(ISBLANK(INDIRECT(CONCATENATE("Input!",RSE_Setup!$B$18,ROW()+1))),"",INDIRECT(CONCATENATE("Input!",RSE_Setup!$B$18,ROW()+1)))</f>
        <v>5.5556000000000001E-2</v>
      </c>
      <c r="D89" s="1" cm="1">
        <f t="array" aca="1" ref="D89" ca="1">IF(ISBLANK(INDIRECT(CONCATENATE("Input!",RSE_Setup!$B$19,ROW()+1))),"",INDIRECT(CONCATENATE("Input!",RSE_Setup!$B$19,ROW()+1)))</f>
        <v>6000</v>
      </c>
      <c r="E89" s="1" cm="1">
        <f t="array" aca="1" ref="E89" ca="1">IF(ISBLANK(INDIRECT(CONCATENATE("Input!",RSE_Setup!$B$24,ROW()+1))),"",INDIRECT(CONCATENATE("Input!",RSE_Setup!$B$24,ROW()+1)))</f>
        <v>467.49500999999998</v>
      </c>
      <c r="F89" s="1">
        <f ca="1"/>
        <v>476.31768932277794</v>
      </c>
    </row>
    <row r="90" spans="1:6" x14ac:dyDescent="0.3">
      <c r="A90" s="1" cm="1">
        <f t="array" aca="1" ref="A90" ca="1">IF(ISBLANK(INDIRECT(CONCATENATE("Input!",RSE_Setup!$B$16,ROW()+1))),"",INDIRECT(CONCATENATE("Input!",RSE_Setup!$B$16,ROW()+1)))</f>
        <v>7.5000000000000002E-4</v>
      </c>
      <c r="B90" s="1" cm="1">
        <f t="array" aca="1" ref="B90" ca="1">IF(ISBLANK(INDIRECT(CONCATENATE("Input!",RSE_Setup!$B$17,ROW()+1))),"",INDIRECT(CONCATENATE("Input!",RSE_Setup!$B$17,ROW()+1)))</f>
        <v>4.0000000000000001E-3</v>
      </c>
      <c r="C90" s="1" cm="1">
        <f t="array" aca="1" ref="C90" ca="1">IF(ISBLANK(INDIRECT(CONCATENATE("Input!",RSE_Setup!$B$18,ROW()+1))),"",INDIRECT(CONCATENATE("Input!",RSE_Setup!$B$18,ROW()+1)))</f>
        <v>3.2258000000000002E-2</v>
      </c>
      <c r="D90" s="1" cm="1">
        <f t="array" aca="1" ref="D90" ca="1">IF(ISBLANK(INDIRECT(CONCATENATE("Input!",RSE_Setup!$B$19,ROW()+1))),"",INDIRECT(CONCATENATE("Input!",RSE_Setup!$B$19,ROW()+1)))</f>
        <v>6000</v>
      </c>
      <c r="E90" s="1" cm="1">
        <f t="array" aca="1" ref="E90" ca="1">IF(ISBLANK(INDIRECT(CONCATENATE("Input!",RSE_Setup!$B$24,ROW()+1))),"",INDIRECT(CONCATENATE("Input!",RSE_Setup!$B$24,ROW()+1)))</f>
        <v>421.08254399999998</v>
      </c>
      <c r="F90" s="1">
        <f ca="1"/>
        <v>413.19549496991817</v>
      </c>
    </row>
    <row r="91" spans="1:6" x14ac:dyDescent="0.3">
      <c r="A91" s="1" cm="1">
        <f t="array" aca="1" ref="A91" ca="1">IF(ISBLANK(INDIRECT(CONCATENATE("Input!",RSE_Setup!$B$16,ROW()+1))),"",INDIRECT(CONCATENATE("Input!",RSE_Setup!$B$16,ROW()+1)))</f>
        <v>7.5000000000000002E-4</v>
      </c>
      <c r="B91" s="1" cm="1">
        <f t="array" aca="1" ref="B91" ca="1">IF(ISBLANK(INDIRECT(CONCATENATE("Input!",RSE_Setup!$B$17,ROW()+1))),"",INDIRECT(CONCATENATE("Input!",RSE_Setup!$B$17,ROW()+1)))</f>
        <v>6.0000000000000001E-3</v>
      </c>
      <c r="C91" s="1" cm="1">
        <f t="array" aca="1" ref="C91" ca="1">IF(ISBLANK(INDIRECT(CONCATENATE("Input!",RSE_Setup!$B$18,ROW()+1))),"",INDIRECT(CONCATENATE("Input!",RSE_Setup!$B$18,ROW()+1)))</f>
        <v>5.5556000000000001E-2</v>
      </c>
      <c r="D91" s="1" cm="1">
        <f t="array" aca="1" ref="D91" ca="1">IF(ISBLANK(INDIRECT(CONCATENATE("Input!",RSE_Setup!$B$19,ROW()+1))),"",INDIRECT(CONCATENATE("Input!",RSE_Setup!$B$19,ROW()+1)))</f>
        <v>3375</v>
      </c>
      <c r="E91" s="1" cm="1">
        <f t="array" aca="1" ref="E91" ca="1">IF(ISBLANK(INDIRECT(CONCATENATE("Input!",RSE_Setup!$B$24,ROW()+1))),"",INDIRECT(CONCATENATE("Input!",RSE_Setup!$B$24,ROW()+1)))</f>
        <v>289.71176400000002</v>
      </c>
      <c r="F91" s="1">
        <f ca="1"/>
        <v>283.10907201402591</v>
      </c>
    </row>
    <row r="92" spans="1:6" x14ac:dyDescent="0.3">
      <c r="A92" s="1" cm="1">
        <f t="array" aca="1" ref="A92" ca="1">IF(ISBLANK(INDIRECT(CONCATENATE("Input!",RSE_Setup!$B$16,ROW()+1))),"",INDIRECT(CONCATENATE("Input!",RSE_Setup!$B$16,ROW()+1)))</f>
        <v>7.5000000000000002E-4</v>
      </c>
      <c r="B92" s="1" cm="1">
        <f t="array" aca="1" ref="B92" ca="1">IF(ISBLANK(INDIRECT(CONCATENATE("Input!",RSE_Setup!$B$17,ROW()+1))),"",INDIRECT(CONCATENATE("Input!",RSE_Setup!$B$17,ROW()+1)))</f>
        <v>6.0000000000000001E-3</v>
      </c>
      <c r="C92" s="1" cm="1">
        <f t="array" aca="1" ref="C92" ca="1">IF(ISBLANK(INDIRECT(CONCATENATE("Input!",RSE_Setup!$B$18,ROW()+1))),"",INDIRECT(CONCATENATE("Input!",RSE_Setup!$B$18,ROW()+1)))</f>
        <v>5.5556000000000001E-2</v>
      </c>
      <c r="D92" s="1" cm="1">
        <f t="array" aca="1" ref="D92" ca="1">IF(ISBLANK(INDIRECT(CONCATENATE("Input!",RSE_Setup!$B$19,ROW()+1))),"",INDIRECT(CONCATENATE("Input!",RSE_Setup!$B$19,ROW()+1)))</f>
        <v>4500</v>
      </c>
      <c r="E92" s="1" cm="1">
        <f t="array" aca="1" ref="E92" ca="1">IF(ISBLANK(INDIRECT(CONCATENATE("Input!",RSE_Setup!$B$24,ROW()+1))),"",INDIRECT(CONCATENATE("Input!",RSE_Setup!$B$24,ROW()+1)))</f>
        <v>371.801242</v>
      </c>
      <c r="F92" s="1">
        <f ca="1"/>
        <v>368.67433670833185</v>
      </c>
    </row>
    <row r="93" spans="1:6" x14ac:dyDescent="0.3">
      <c r="A93" s="1" cm="1">
        <f t="array" aca="1" ref="A93" ca="1">IF(ISBLANK(INDIRECT(CONCATENATE("Input!",RSE_Setup!$B$16,ROW()+1))),"",INDIRECT(CONCATENATE("Input!",RSE_Setup!$B$16,ROW()+1)))</f>
        <v>7.5000000000000002E-4</v>
      </c>
      <c r="B93" s="1" cm="1">
        <f t="array" aca="1" ref="B93" ca="1">IF(ISBLANK(INDIRECT(CONCATENATE("Input!",RSE_Setup!$B$17,ROW()+1))),"",INDIRECT(CONCATENATE("Input!",RSE_Setup!$B$17,ROW()+1)))</f>
        <v>6.0000000000000001E-3</v>
      </c>
      <c r="C93" s="1" cm="1">
        <f t="array" aca="1" ref="C93" ca="1">IF(ISBLANK(INDIRECT(CONCATENATE("Input!",RSE_Setup!$B$18,ROW()+1))),"",INDIRECT(CONCATENATE("Input!",RSE_Setup!$B$18,ROW()+1)))</f>
        <v>5.5556000000000001E-2</v>
      </c>
      <c r="D93" s="1" cm="1">
        <f t="array" aca="1" ref="D93" ca="1">IF(ISBLANK(INDIRECT(CONCATENATE("Input!",RSE_Setup!$B$19,ROW()+1))),"",INDIRECT(CONCATENATE("Input!",RSE_Setup!$B$19,ROW()+1)))</f>
        <v>6000</v>
      </c>
      <c r="E93" s="1" cm="1">
        <f t="array" aca="1" ref="E93" ca="1">IF(ISBLANK(INDIRECT(CONCATENATE("Input!",RSE_Setup!$B$24,ROW()+1))),"",INDIRECT(CONCATENATE("Input!",RSE_Setup!$B$24,ROW()+1)))</f>
        <v>473.93566800000002</v>
      </c>
      <c r="F93" s="1">
        <f ca="1"/>
        <v>482.65459929750227</v>
      </c>
    </row>
    <row r="94" spans="1:6" x14ac:dyDescent="0.3">
      <c r="A94" s="1" cm="1">
        <f t="array" aca="1" ref="A94" ca="1">IF(ISBLANK(INDIRECT(CONCATENATE("Input!",RSE_Setup!$B$16,ROW()+1))),"",INDIRECT(CONCATENATE("Input!",RSE_Setup!$B$16,ROW()+1)))</f>
        <v>7.5000000000000002E-4</v>
      </c>
      <c r="B94" s="1" cm="1">
        <f t="array" aca="1" ref="B94" ca="1">IF(ISBLANK(INDIRECT(CONCATENATE("Input!",RSE_Setup!$B$17,ROW()+1))),"",INDIRECT(CONCATENATE("Input!",RSE_Setup!$B$17,ROW()+1)))</f>
        <v>6.0000000000000001E-3</v>
      </c>
      <c r="C94" s="1" cm="1">
        <f t="array" aca="1" ref="C94" ca="1">IF(ISBLANK(INDIRECT(CONCATENATE("Input!",RSE_Setup!$B$18,ROW()+1))),"",INDIRECT(CONCATENATE("Input!",RSE_Setup!$B$18,ROW()+1)))</f>
        <v>3.2258000000000002E-2</v>
      </c>
      <c r="D94" s="1" cm="1">
        <f t="array" aca="1" ref="D94" ca="1">IF(ISBLANK(INDIRECT(CONCATENATE("Input!",RSE_Setup!$B$19,ROW()+1))),"",INDIRECT(CONCATENATE("Input!",RSE_Setup!$B$19,ROW()+1)))</f>
        <v>6000</v>
      </c>
      <c r="E94" s="1" cm="1">
        <f t="array" aca="1" ref="E94" ca="1">IF(ISBLANK(INDIRECT(CONCATENATE("Input!",RSE_Setup!$B$24,ROW()+1))),"",INDIRECT(CONCATENATE("Input!",RSE_Setup!$B$24,ROW()+1)))</f>
        <v>427.21662600000002</v>
      </c>
      <c r="F94" s="1">
        <f ca="1"/>
        <v>419.08514390593814</v>
      </c>
    </row>
    <row r="95" spans="1:6" x14ac:dyDescent="0.3">
      <c r="A95" s="1" cm="1">
        <f t="array" aca="1" ref="A95" ca="1">IF(ISBLANK(INDIRECT(CONCATENATE("Input!",RSE_Setup!$B$16,ROW()+1))),"",INDIRECT(CONCATENATE("Input!",RSE_Setup!$B$16,ROW()+1)))</f>
        <v>7.5000000000000002E-4</v>
      </c>
      <c r="B95" s="1" cm="1">
        <f t="array" aca="1" ref="B95" ca="1">IF(ISBLANK(INDIRECT(CONCATENATE("Input!",RSE_Setup!$B$17,ROW()+1))),"",INDIRECT(CONCATENATE("Input!",RSE_Setup!$B$17,ROW()+1)))</f>
        <v>8.0000000000000002E-3</v>
      </c>
      <c r="C95" s="1" cm="1">
        <f t="array" aca="1" ref="C95" ca="1">IF(ISBLANK(INDIRECT(CONCATENATE("Input!",RSE_Setup!$B$18,ROW()+1))),"",INDIRECT(CONCATENATE("Input!",RSE_Setup!$B$18,ROW()+1)))</f>
        <v>5.5556000000000001E-2</v>
      </c>
      <c r="D95" s="1" cm="1">
        <f t="array" aca="1" ref="D95" ca="1">IF(ISBLANK(INDIRECT(CONCATENATE("Input!",RSE_Setup!$B$19,ROW()+1))),"",INDIRECT(CONCATENATE("Input!",RSE_Setup!$B$19,ROW()+1)))</f>
        <v>4500</v>
      </c>
      <c r="E95" s="1" cm="1">
        <f t="array" aca="1" ref="E95" ca="1">IF(ISBLANK(INDIRECT(CONCATENATE("Input!",RSE_Setup!$B$24,ROW()+1))),"",INDIRECT(CONCATENATE("Input!",RSE_Setup!$B$24,ROW()+1)))</f>
        <v>376.67568699999998</v>
      </c>
      <c r="F95" s="1">
        <f ca="1"/>
        <v>373.99845147013338</v>
      </c>
    </row>
    <row r="96" spans="1:6" x14ac:dyDescent="0.3">
      <c r="A96" s="1" cm="1">
        <f t="array" aca="1" ref="A96" ca="1">IF(ISBLANK(INDIRECT(CONCATENATE("Input!",RSE_Setup!$B$16,ROW()+1))),"",INDIRECT(CONCATENATE("Input!",RSE_Setup!$B$16,ROW()+1)))</f>
        <v>7.5000000000000002E-4</v>
      </c>
      <c r="B96" s="1" cm="1">
        <f t="array" aca="1" ref="B96" ca="1">IF(ISBLANK(INDIRECT(CONCATENATE("Input!",RSE_Setup!$B$17,ROW()+1))),"",INDIRECT(CONCATENATE("Input!",RSE_Setup!$B$17,ROW()+1)))</f>
        <v>8.0000000000000002E-3</v>
      </c>
      <c r="C96" s="1" cm="1">
        <f t="array" aca="1" ref="C96" ca="1">IF(ISBLANK(INDIRECT(CONCATENATE("Input!",RSE_Setup!$B$18,ROW()+1))),"",INDIRECT(CONCATENATE("Input!",RSE_Setup!$B$18,ROW()+1)))</f>
        <v>5.5556000000000001E-2</v>
      </c>
      <c r="D96" s="1" cm="1">
        <f t="array" aca="1" ref="D96" ca="1">IF(ISBLANK(INDIRECT(CONCATENATE("Input!",RSE_Setup!$B$19,ROW()+1))),"",INDIRECT(CONCATENATE("Input!",RSE_Setup!$B$19,ROW()+1)))</f>
        <v>6000</v>
      </c>
      <c r="E96" s="1" cm="1">
        <f t="array" aca="1" ref="E96" ca="1">IF(ISBLANK(INDIRECT(CONCATENATE("Input!",RSE_Setup!$B$24,ROW()+1))),"",INDIRECT(CONCATENATE("Input!",RSE_Setup!$B$24,ROW()+1)))</f>
        <v>480.211904</v>
      </c>
      <c r="F96" s="1">
        <f ca="1"/>
        <v>489.40937100400583</v>
      </c>
    </row>
    <row r="97" spans="1:6" x14ac:dyDescent="0.3">
      <c r="A97" s="1" cm="1">
        <f t="array" aca="1" ref="A97" ca="1">IF(ISBLANK(INDIRECT(CONCATENATE("Input!",RSE_Setup!$B$16,ROW()+1))),"",INDIRECT(CONCATENATE("Input!",RSE_Setup!$B$16,ROW()+1)))</f>
        <v>7.5000000000000002E-4</v>
      </c>
      <c r="B97" s="1" cm="1">
        <f t="array" aca="1" ref="B97" ca="1">IF(ISBLANK(INDIRECT(CONCATENATE("Input!",RSE_Setup!$B$17,ROW()+1))),"",INDIRECT(CONCATENATE("Input!",RSE_Setup!$B$17,ROW()+1)))</f>
        <v>8.0000000000000002E-3</v>
      </c>
      <c r="C97" s="1" cm="1">
        <f t="array" aca="1" ref="C97" ca="1">IF(ISBLANK(INDIRECT(CONCATENATE("Input!",RSE_Setup!$B$18,ROW()+1))),"",INDIRECT(CONCATENATE("Input!",RSE_Setup!$B$18,ROW()+1)))</f>
        <v>3.2258000000000002E-2</v>
      </c>
      <c r="D97" s="1" cm="1">
        <f t="array" aca="1" ref="D97" ca="1">IF(ISBLANK(INDIRECT(CONCATENATE("Input!",RSE_Setup!$B$19,ROW()+1))),"",INDIRECT(CONCATENATE("Input!",RSE_Setup!$B$19,ROW()+1)))</f>
        <v>6000</v>
      </c>
      <c r="E97" s="1" cm="1">
        <f t="array" aca="1" ref="E97" ca="1">IF(ISBLANK(INDIRECT(CONCATENATE("Input!",RSE_Setup!$B$24,ROW()+1))),"",INDIRECT(CONCATENATE("Input!",RSE_Setup!$B$24,ROW()+1)))</f>
        <v>433.57674900000001</v>
      </c>
      <c r="F97" s="1">
        <f ca="1"/>
        <v>425.39265457373733</v>
      </c>
    </row>
    <row r="98" spans="1:6" x14ac:dyDescent="0.3">
      <c r="A98" s="1" cm="1">
        <f t="array" aca="1" ref="A98" ca="1">IF(ISBLANK(INDIRECT(CONCATENATE("Input!",RSE_Setup!$B$16,ROW()+1))),"",INDIRECT(CONCATENATE("Input!",RSE_Setup!$B$16,ROW()+1)))</f>
        <v>1E-3</v>
      </c>
      <c r="B98" s="1" cm="1">
        <f t="array" aca="1" ref="B98" ca="1">IF(ISBLANK(INDIRECT(CONCATENATE("Input!",RSE_Setup!$B$17,ROW()+1))),"",INDIRECT(CONCATENATE("Input!",RSE_Setup!$B$17,ROW()+1)))</f>
        <v>5.0000000000000001E-3</v>
      </c>
      <c r="C98" s="1" cm="1">
        <f t="array" aca="1" ref="C98" ca="1">IF(ISBLANK(INDIRECT(CONCATENATE("Input!",RSE_Setup!$B$18,ROW()+1))),"",INDIRECT(CONCATENATE("Input!",RSE_Setup!$B$18,ROW()+1)))</f>
        <v>5.5556000000000001E-2</v>
      </c>
      <c r="D98" s="1" cm="1">
        <f t="array" aca="1" ref="D98" ca="1">IF(ISBLANK(INDIRECT(CONCATENATE("Input!",RSE_Setup!$B$19,ROW()+1))),"",INDIRECT(CONCATENATE("Input!",RSE_Setup!$B$19,ROW()+1)))</f>
        <v>3375</v>
      </c>
      <c r="E98" s="1" cm="1">
        <f t="array" aca="1" ref="E98" ca="1">IF(ISBLANK(INDIRECT(CONCATENATE("Input!",RSE_Setup!$B$24,ROW()+1))),"",INDIRECT(CONCATENATE("Input!",RSE_Setup!$B$24,ROW()+1)))</f>
        <v>309.40090400000003</v>
      </c>
      <c r="F98" s="1">
        <f ca="1"/>
        <v>302.9456559816914</v>
      </c>
    </row>
    <row r="99" spans="1:6" x14ac:dyDescent="0.3">
      <c r="A99" s="1" cm="1">
        <f t="array" aca="1" ref="A99" ca="1">IF(ISBLANK(INDIRECT(CONCATENATE("Input!",RSE_Setup!$B$16,ROW()+1))),"",INDIRECT(CONCATENATE("Input!",RSE_Setup!$B$16,ROW()+1)))</f>
        <v>1E-3</v>
      </c>
      <c r="B99" s="1" cm="1">
        <f t="array" aca="1" ref="B99" ca="1">IF(ISBLANK(INDIRECT(CONCATENATE("Input!",RSE_Setup!$B$17,ROW()+1))),"",INDIRECT(CONCATENATE("Input!",RSE_Setup!$B$17,ROW()+1)))</f>
        <v>5.0000000000000001E-3</v>
      </c>
      <c r="C99" s="1" cm="1">
        <f t="array" aca="1" ref="C99" ca="1">IF(ISBLANK(INDIRECT(CONCATENATE("Input!",RSE_Setup!$B$18,ROW()+1))),"",INDIRECT(CONCATENATE("Input!",RSE_Setup!$B$18,ROW()+1)))</f>
        <v>5.5556000000000001E-2</v>
      </c>
      <c r="D99" s="1" cm="1">
        <f t="array" aca="1" ref="D99" ca="1">IF(ISBLANK(INDIRECT(CONCATENATE("Input!",RSE_Setup!$B$19,ROW()+1))),"",INDIRECT(CONCATENATE("Input!",RSE_Setup!$B$19,ROW()+1)))</f>
        <v>4500</v>
      </c>
      <c r="E99" s="1" cm="1">
        <f t="array" aca="1" ref="E99" ca="1">IF(ISBLANK(INDIRECT(CONCATENATE("Input!",RSE_Setup!$B$24,ROW()+1))),"",INDIRECT(CONCATENATE("Input!",RSE_Setup!$B$24,ROW()+1)))</f>
        <v>397.67825099999999</v>
      </c>
      <c r="F99" s="1">
        <f ca="1"/>
        <v>394.48402676684606</v>
      </c>
    </row>
    <row r="100" spans="1:6" x14ac:dyDescent="0.3">
      <c r="A100" s="1" cm="1">
        <f t="array" aca="1" ref="A100" ca="1">IF(ISBLANK(INDIRECT(CONCATENATE("Input!",RSE_Setup!$B$16,ROW()+1))),"",INDIRECT(CONCATENATE("Input!",RSE_Setup!$B$16,ROW()+1)))</f>
        <v>1E-3</v>
      </c>
      <c r="B100" s="1" cm="1">
        <f t="array" aca="1" ref="B100" ca="1">IF(ISBLANK(INDIRECT(CONCATENATE("Input!",RSE_Setup!$B$17,ROW()+1))),"",INDIRECT(CONCATENATE("Input!",RSE_Setup!$B$17,ROW()+1)))</f>
        <v>5.0000000000000001E-3</v>
      </c>
      <c r="C100" s="1" cm="1">
        <f t="array" aca="1" ref="C100" ca="1">IF(ISBLANK(INDIRECT(CONCATENATE("Input!",RSE_Setup!$B$18,ROW()+1))),"",INDIRECT(CONCATENATE("Input!",RSE_Setup!$B$18,ROW()+1)))</f>
        <v>5.5556000000000001E-2</v>
      </c>
      <c r="D100" s="1" cm="1">
        <f t="array" aca="1" ref="D100" ca="1">IF(ISBLANK(INDIRECT(CONCATENATE("Input!",RSE_Setup!$B$19,ROW()+1))),"",INDIRECT(CONCATENATE("Input!",RSE_Setup!$B$19,ROW()+1)))</f>
        <v>6000</v>
      </c>
      <c r="E100" s="1" cm="1">
        <f t="array" aca="1" ref="E100" ca="1">IF(ISBLANK(INDIRECT(CONCATENATE("Input!",RSE_Setup!$B$24,ROW()+1))),"",INDIRECT(CONCATENATE("Input!",RSE_Setup!$B$24,ROW()+1)))</f>
        <v>507.64575300000001</v>
      </c>
      <c r="F100" s="1">
        <f ca="1"/>
        <v>516.42843081048136</v>
      </c>
    </row>
    <row r="101" spans="1:6" x14ac:dyDescent="0.3">
      <c r="A101" s="1" cm="1">
        <f t="array" aca="1" ref="A101" ca="1">IF(ISBLANK(INDIRECT(CONCATENATE("Input!",RSE_Setup!$B$16,ROW()+1))),"",INDIRECT(CONCATENATE("Input!",RSE_Setup!$B$16,ROW()+1)))</f>
        <v>1E-3</v>
      </c>
      <c r="B101" s="1" cm="1">
        <f t="array" aca="1" ref="B101" ca="1">IF(ISBLANK(INDIRECT(CONCATENATE("Input!",RSE_Setup!$B$17,ROW()+1))),"",INDIRECT(CONCATENATE("Input!",RSE_Setup!$B$17,ROW()+1)))</f>
        <v>5.0000000000000001E-3</v>
      </c>
      <c r="C101" s="1" cm="1">
        <f t="array" aca="1" ref="C101" ca="1">IF(ISBLANK(INDIRECT(CONCATENATE("Input!",RSE_Setup!$B$18,ROW()+1))),"",INDIRECT(CONCATENATE("Input!",RSE_Setup!$B$18,ROW()+1)))</f>
        <v>3.2258000000000002E-2</v>
      </c>
      <c r="D101" s="1" cm="1">
        <f t="array" aca="1" ref="D101" ca="1">IF(ISBLANK(INDIRECT(CONCATENATE("Input!",RSE_Setup!$B$19,ROW()+1))),"",INDIRECT(CONCATENATE("Input!",RSE_Setup!$B$19,ROW()+1)))</f>
        <v>6000</v>
      </c>
      <c r="E101" s="1" cm="1">
        <f t="array" aca="1" ref="E101" ca="1">IF(ISBLANK(INDIRECT(CONCATENATE("Input!",RSE_Setup!$B$24,ROW()+1))),"",INDIRECT(CONCATENATE("Input!",RSE_Setup!$B$24,ROW()+1)))</f>
        <v>462.477147</v>
      </c>
      <c r="F101" s="1">
        <f ca="1"/>
        <v>453.13782349408098</v>
      </c>
    </row>
    <row r="102" spans="1:6" x14ac:dyDescent="0.3">
      <c r="A102" s="1" cm="1">
        <f t="array" aca="1" ref="A102" ca="1">IF(ISBLANK(INDIRECT(CONCATENATE("Input!",RSE_Setup!$B$16,ROW()+1))),"",INDIRECT(CONCATENATE("Input!",RSE_Setup!$B$16,ROW()+1)))</f>
        <v>1E-3</v>
      </c>
      <c r="B102" s="1" cm="1">
        <f t="array" aca="1" ref="B102" ca="1">IF(ISBLANK(INDIRECT(CONCATENATE("Input!",RSE_Setup!$B$17,ROW()+1))),"",INDIRECT(CONCATENATE("Input!",RSE_Setup!$B$17,ROW()+1)))</f>
        <v>6.4999999999999997E-3</v>
      </c>
      <c r="C102" s="1" cm="1">
        <f t="array" aca="1" ref="C102" ca="1">IF(ISBLANK(INDIRECT(CONCATENATE("Input!",RSE_Setup!$B$18,ROW()+1))),"",INDIRECT(CONCATENATE("Input!",RSE_Setup!$B$18,ROW()+1)))</f>
        <v>5.5556000000000001E-2</v>
      </c>
      <c r="D102" s="1" cm="1">
        <f t="array" aca="1" ref="D102" ca="1">IF(ISBLANK(INDIRECT(CONCATENATE("Input!",RSE_Setup!$B$19,ROW()+1))),"",INDIRECT(CONCATENATE("Input!",RSE_Setup!$B$19,ROW()+1)))</f>
        <v>3375</v>
      </c>
      <c r="E102" s="1" cm="1">
        <f t="array" aca="1" ref="E102" ca="1">IF(ISBLANK(INDIRECT(CONCATENATE("Input!",RSE_Setup!$B$24,ROW()+1))),"",INDIRECT(CONCATENATE("Input!",RSE_Setup!$B$24,ROW()+1)))</f>
        <v>312.18634400000002</v>
      </c>
      <c r="F102" s="1">
        <f ca="1"/>
        <v>306.07511626736914</v>
      </c>
    </row>
    <row r="103" spans="1:6" x14ac:dyDescent="0.3">
      <c r="A103" s="1" cm="1">
        <f t="array" aca="1" ref="A103" ca="1">IF(ISBLANK(INDIRECT(CONCATENATE("Input!",RSE_Setup!$B$16,ROW()+1))),"",INDIRECT(CONCATENATE("Input!",RSE_Setup!$B$16,ROW()+1)))</f>
        <v>1E-3</v>
      </c>
      <c r="B103" s="1" cm="1">
        <f t="array" aca="1" ref="B103" ca="1">IF(ISBLANK(INDIRECT(CONCATENATE("Input!",RSE_Setup!$B$17,ROW()+1))),"",INDIRECT(CONCATENATE("Input!",RSE_Setup!$B$17,ROW()+1)))</f>
        <v>6.4999999999999997E-3</v>
      </c>
      <c r="C103" s="1" cm="1">
        <f t="array" aca="1" ref="C103" ca="1">IF(ISBLANK(INDIRECT(CONCATENATE("Input!",RSE_Setup!$B$18,ROW()+1))),"",INDIRECT(CONCATENATE("Input!",RSE_Setup!$B$18,ROW()+1)))</f>
        <v>5.5556000000000001E-2</v>
      </c>
      <c r="D103" s="1" cm="1">
        <f t="array" aca="1" ref="D103" ca="1">IF(ISBLANK(INDIRECT(CONCATENATE("Input!",RSE_Setup!$B$19,ROW()+1))),"",INDIRECT(CONCATENATE("Input!",RSE_Setup!$B$19,ROW()+1)))</f>
        <v>4500</v>
      </c>
      <c r="E103" s="1" cm="1">
        <f t="array" aca="1" ref="E103" ca="1">IF(ISBLANK(INDIRECT(CONCATENATE("Input!",RSE_Setup!$B$24,ROW()+1))),"",INDIRECT(CONCATENATE("Input!",RSE_Setup!$B$24,ROW()+1)))</f>
        <v>401.31565399999999</v>
      </c>
      <c r="F103" s="1">
        <f ca="1"/>
        <v>398.41823158391867</v>
      </c>
    </row>
    <row r="104" spans="1:6" x14ac:dyDescent="0.3">
      <c r="A104" s="1" cm="1">
        <f t="array" aca="1" ref="A104" ca="1">IF(ISBLANK(INDIRECT(CONCATENATE("Input!",RSE_Setup!$B$16,ROW()+1))),"",INDIRECT(CONCATENATE("Input!",RSE_Setup!$B$16,ROW()+1)))</f>
        <v>1E-3</v>
      </c>
      <c r="B104" s="1" cm="1">
        <f t="array" aca="1" ref="B104" ca="1">IF(ISBLANK(INDIRECT(CONCATENATE("Input!",RSE_Setup!$B$17,ROW()+1))),"",INDIRECT(CONCATENATE("Input!",RSE_Setup!$B$17,ROW()+1)))</f>
        <v>6.4999999999999997E-3</v>
      </c>
      <c r="C104" s="1" cm="1">
        <f t="array" aca="1" ref="C104" ca="1">IF(ISBLANK(INDIRECT(CONCATENATE("Input!",RSE_Setup!$B$18,ROW()+1))),"",INDIRECT(CONCATENATE("Input!",RSE_Setup!$B$18,ROW()+1)))</f>
        <v>5.5556000000000001E-2</v>
      </c>
      <c r="D104" s="1" cm="1">
        <f t="array" aca="1" ref="D104" ca="1">IF(ISBLANK(INDIRECT(CONCATENATE("Input!",RSE_Setup!$B$19,ROW()+1))),"",INDIRECT(CONCATENATE("Input!",RSE_Setup!$B$19,ROW()+1)))</f>
        <v>6000</v>
      </c>
      <c r="E104" s="1" cm="1">
        <f t="array" aca="1" ref="E104" ca="1">IF(ISBLANK(INDIRECT(CONCATENATE("Input!",RSE_Setup!$B$24,ROW()+1))),"",INDIRECT(CONCATENATE("Input!",RSE_Setup!$B$24,ROW()+1)))</f>
        <v>512.91851099999997</v>
      </c>
      <c r="F104" s="1">
        <f ca="1"/>
        <v>521.43562833608053</v>
      </c>
    </row>
    <row r="105" spans="1:6" x14ac:dyDescent="0.3">
      <c r="A105" s="1" cm="1">
        <f t="array" aca="1" ref="A105" ca="1">IF(ISBLANK(INDIRECT(CONCATENATE("Input!",RSE_Setup!$B$16,ROW()+1))),"",INDIRECT(CONCATENATE("Input!",RSE_Setup!$B$16,ROW()+1)))</f>
        <v>1E-3</v>
      </c>
      <c r="B105" s="1" cm="1">
        <f t="array" aca="1" ref="B105" ca="1">IF(ISBLANK(INDIRECT(CONCATENATE("Input!",RSE_Setup!$B$17,ROW()+1))),"",INDIRECT(CONCATENATE("Input!",RSE_Setup!$B$17,ROW()+1)))</f>
        <v>6.4999999999999997E-3</v>
      </c>
      <c r="C105" s="1" cm="1">
        <f t="array" aca="1" ref="C105" ca="1">IF(ISBLANK(INDIRECT(CONCATENATE("Input!",RSE_Setup!$B$18,ROW()+1))),"",INDIRECT(CONCATENATE("Input!",RSE_Setup!$B$18,ROW()+1)))</f>
        <v>3.2258000000000002E-2</v>
      </c>
      <c r="D105" s="1" cm="1">
        <f t="array" aca="1" ref="D105" ca="1">IF(ISBLANK(INDIRECT(CONCATENATE("Input!",RSE_Setup!$B$19,ROW()+1))),"",INDIRECT(CONCATENATE("Input!",RSE_Setup!$B$19,ROW()+1)))</f>
        <v>6000</v>
      </c>
      <c r="E105" s="1" cm="1">
        <f t="array" aca="1" ref="E105" ca="1">IF(ISBLANK(INDIRECT(CONCATENATE("Input!",RSE_Setup!$B$24,ROW()+1))),"",INDIRECT(CONCATENATE("Input!",RSE_Setup!$B$24,ROW()+1)))</f>
        <v>467.327606</v>
      </c>
      <c r="F105" s="1">
        <f ca="1"/>
        <v>457.80957524065184</v>
      </c>
    </row>
    <row r="106" spans="1:6" x14ac:dyDescent="0.3">
      <c r="A106" s="1" cm="1">
        <f t="array" aca="1" ref="A106" ca="1">IF(ISBLANK(INDIRECT(CONCATENATE("Input!",RSE_Setup!$B$16,ROW()+1))),"",INDIRECT(CONCATENATE("Input!",RSE_Setup!$B$16,ROW()+1)))</f>
        <v>1E-3</v>
      </c>
      <c r="B106" s="1" cm="1">
        <f t="array" aca="1" ref="B106" ca="1">IF(ISBLANK(INDIRECT(CONCATENATE("Input!",RSE_Setup!$B$17,ROW()+1))),"",INDIRECT(CONCATENATE("Input!",RSE_Setup!$B$17,ROW()+1)))</f>
        <v>8.0000000000000002E-3</v>
      </c>
      <c r="C106" s="1" cm="1">
        <f t="array" aca="1" ref="C106" ca="1">IF(ISBLANK(INDIRECT(CONCATENATE("Input!",RSE_Setup!$B$18,ROW()+1))),"",INDIRECT(CONCATENATE("Input!",RSE_Setup!$B$18,ROW()+1)))</f>
        <v>5.5556000000000001E-2</v>
      </c>
      <c r="D106" s="1" cm="1">
        <f t="array" aca="1" ref="D106" ca="1">IF(ISBLANK(INDIRECT(CONCATENATE("Input!",RSE_Setup!$B$19,ROW()+1))),"",INDIRECT(CONCATENATE("Input!",RSE_Setup!$B$19,ROW()+1)))</f>
        <v>4500</v>
      </c>
      <c r="E106" s="1" cm="1">
        <f t="array" aca="1" ref="E106" ca="1">IF(ISBLANK(INDIRECT(CONCATENATE("Input!",RSE_Setup!$B$24,ROW()+1))),"",INDIRECT(CONCATENATE("Input!",RSE_Setup!$B$24,ROW()+1)))</f>
        <v>404.98818799999998</v>
      </c>
      <c r="F106" s="1">
        <f ca="1"/>
        <v>402.58748362511704</v>
      </c>
    </row>
    <row r="107" spans="1:6" x14ac:dyDescent="0.3">
      <c r="A107" s="1" cm="1">
        <f t="array" aca="1" ref="A107" ca="1">IF(ISBLANK(INDIRECT(CONCATENATE("Input!",RSE_Setup!$B$16,ROW()+1))),"",INDIRECT(CONCATENATE("Input!",RSE_Setup!$B$16,ROW()+1)))</f>
        <v>1E-3</v>
      </c>
      <c r="B107" s="1" cm="1">
        <f t="array" aca="1" ref="B107" ca="1">IF(ISBLANK(INDIRECT(CONCATENATE("Input!",RSE_Setup!$B$17,ROW()+1))),"",INDIRECT(CONCATENATE("Input!",RSE_Setup!$B$17,ROW()+1)))</f>
        <v>8.0000000000000002E-3</v>
      </c>
      <c r="C107" s="1" cm="1">
        <f t="array" aca="1" ref="C107" ca="1">IF(ISBLANK(INDIRECT(CONCATENATE("Input!",RSE_Setup!$B$18,ROW()+1))),"",INDIRECT(CONCATENATE("Input!",RSE_Setup!$B$18,ROW()+1)))</f>
        <v>5.5556000000000001E-2</v>
      </c>
      <c r="D107" s="1" cm="1">
        <f t="array" aca="1" ref="D107" ca="1">IF(ISBLANK(INDIRECT(CONCATENATE("Input!",RSE_Setup!$B$19,ROW()+1))),"",INDIRECT(CONCATENATE("Input!",RSE_Setup!$B$19,ROW()+1)))</f>
        <v>6000</v>
      </c>
      <c r="E107" s="1" cm="1">
        <f t="array" aca="1" ref="E107" ca="1">IF(ISBLANK(INDIRECT(CONCATENATE("Input!",RSE_Setup!$B$24,ROW()+1))),"",INDIRECT(CONCATENATE("Input!",RSE_Setup!$B$24,ROW()+1)))</f>
        <v>517.69000600000004</v>
      </c>
      <c r="F107" s="1">
        <f ca="1"/>
        <v>526.67787308580546</v>
      </c>
    </row>
    <row r="108" spans="1:6" x14ac:dyDescent="0.3">
      <c r="A108" s="1" cm="1">
        <f t="array" aca="1" ref="A108" ca="1">IF(ISBLANK(INDIRECT(CONCATENATE("Input!",RSE_Setup!$B$16,ROW()+1))),"",INDIRECT(CONCATENATE("Input!",RSE_Setup!$B$16,ROW()+1)))</f>
        <v>1E-3</v>
      </c>
      <c r="B108" s="1" cm="1">
        <f t="array" aca="1" ref="B108" ca="1">IF(ISBLANK(INDIRECT(CONCATENATE("Input!",RSE_Setup!$B$17,ROW()+1))),"",INDIRECT(CONCATENATE("Input!",RSE_Setup!$B$17,ROW()+1)))</f>
        <v>8.0000000000000002E-3</v>
      </c>
      <c r="C108" s="1" cm="1">
        <f t="array" aca="1" ref="C108" ca="1">IF(ISBLANK(INDIRECT(CONCATENATE("Input!",RSE_Setup!$B$18,ROW()+1))),"",INDIRECT(CONCATENATE("Input!",RSE_Setup!$B$18,ROW()+1)))</f>
        <v>3.2258000000000002E-2</v>
      </c>
      <c r="D108" s="1" cm="1">
        <f t="array" aca="1" ref="D108" ca="1">IF(ISBLANK(INDIRECT(CONCATENATE("Input!",RSE_Setup!$B$19,ROW()+1))),"",INDIRECT(CONCATENATE("Input!",RSE_Setup!$B$19,ROW()+1)))</f>
        <v>6000</v>
      </c>
      <c r="E108" s="1" cm="1">
        <f t="array" aca="1" ref="E108" ca="1">IF(ISBLANK(INDIRECT(CONCATENATE("Input!",RSE_Setup!$B$24,ROW()+1))),"",INDIRECT(CONCATENATE("Input!",RSE_Setup!$B$24,ROW()+1)))</f>
        <v>472.30924399999998</v>
      </c>
      <c r="F108" s="1">
        <f ca="1"/>
        <v>462.71637421134847</v>
      </c>
    </row>
    <row r="109" spans="1:6" x14ac:dyDescent="0.3">
      <c r="A109" s="1" cm="1">
        <f t="array" aca="1" ref="A109" ca="1">IF(ISBLANK(INDIRECT(CONCATENATE("Input!",RSE_Setup!$B$16,ROW()+1))),"",INDIRECT(CONCATENATE("Input!",RSE_Setup!$B$16,ROW()+1)))</f>
        <v>2.9999999999999997E-4</v>
      </c>
      <c r="B109" s="1" cm="1">
        <f t="array" aca="1" ref="B109" ca="1">IF(ISBLANK(INDIRECT(CONCATENATE("Input!",RSE_Setup!$B$17,ROW()+1))),"",INDIRECT(CONCATENATE("Input!",RSE_Setup!$B$17,ROW()+1)))</f>
        <v>2E-3</v>
      </c>
      <c r="C109" s="1" cm="1">
        <f t="array" aca="1" ref="C109" ca="1">IF(ISBLANK(INDIRECT(CONCATENATE("Input!",RSE_Setup!$B$18,ROW()+1))),"",INDIRECT(CONCATENATE("Input!",RSE_Setup!$B$18,ROW()+1)))</f>
        <v>5.5556000000000001E-2</v>
      </c>
      <c r="D109" s="1" cm="1">
        <f t="array" aca="1" ref="D109" ca="1">IF(ISBLANK(INDIRECT(CONCATENATE("Input!",RSE_Setup!$B$19,ROW()+1))),"",INDIRECT(CONCATENATE("Input!",RSE_Setup!$B$19,ROW()+1)))</f>
        <v>5500</v>
      </c>
      <c r="E109" s="1" cm="1">
        <f t="array" aca="1" ref="E109" ca="1">IF(ISBLANK(INDIRECT(CONCATENATE("Input!",RSE_Setup!$B$24,ROW()+1))),"",INDIRECT(CONCATENATE("Input!",RSE_Setup!$B$24,ROW()+1)))</f>
        <v>378.52637900000002</v>
      </c>
      <c r="F109" s="1">
        <f ca="1"/>
        <v>373.96834658551006</v>
      </c>
    </row>
    <row r="110" spans="1:6" x14ac:dyDescent="0.3">
      <c r="A110" s="1" cm="1">
        <f t="array" aca="1" ref="A110" ca="1">IF(ISBLANK(INDIRECT(CONCATENATE("Input!",RSE_Setup!$B$16,ROW()+1))),"",INDIRECT(CONCATENATE("Input!",RSE_Setup!$B$16,ROW()+1)))</f>
        <v>2.9999999999999997E-4</v>
      </c>
      <c r="B110" s="1" cm="1">
        <f t="array" aca="1" ref="B110" ca="1">IF(ISBLANK(INDIRECT(CONCATENATE("Input!",RSE_Setup!$B$17,ROW()+1))),"",INDIRECT(CONCATENATE("Input!",RSE_Setup!$B$17,ROW()+1)))</f>
        <v>2E-3</v>
      </c>
      <c r="C110" s="1" cm="1">
        <f t="array" aca="1" ref="C110" ca="1">IF(ISBLANK(INDIRECT(CONCATENATE("Input!",RSE_Setup!$B$18,ROW()+1))),"",INDIRECT(CONCATENATE("Input!",RSE_Setup!$B$18,ROW()+1)))</f>
        <v>5.5556000000000001E-2</v>
      </c>
      <c r="D110" s="1" cm="1">
        <f t="array" aca="1" ref="D110" ca="1">IF(ISBLANK(INDIRECT(CONCATENATE("Input!",RSE_Setup!$B$19,ROW()+1))),"",INDIRECT(CONCATENATE("Input!",RSE_Setup!$B$19,ROW()+1)))</f>
        <v>7500</v>
      </c>
      <c r="E110" s="1" cm="1">
        <f t="array" aca="1" ref="E110" ca="1">IF(ISBLANK(INDIRECT(CONCATENATE("Input!",RSE_Setup!$B$24,ROW()+1))),"",INDIRECT(CONCATENATE("Input!",RSE_Setup!$B$24,ROW()+1)))</f>
        <v>498.70719400000002</v>
      </c>
      <c r="F110" s="1">
        <f ca="1"/>
        <v>501.16065257895139</v>
      </c>
    </row>
    <row r="111" spans="1:6" x14ac:dyDescent="0.3">
      <c r="A111" s="1" cm="1">
        <f t="array" aca="1" ref="A111" ca="1">IF(ISBLANK(INDIRECT(CONCATENATE("Input!",RSE_Setup!$B$16,ROW()+1))),"",INDIRECT(CONCATENATE("Input!",RSE_Setup!$B$16,ROW()+1)))</f>
        <v>2.9999999999999997E-4</v>
      </c>
      <c r="B111" s="1" cm="1">
        <f t="array" aca="1" ref="B111" ca="1">IF(ISBLANK(INDIRECT(CONCATENATE("Input!",RSE_Setup!$B$17,ROW()+1))),"",INDIRECT(CONCATENATE("Input!",RSE_Setup!$B$17,ROW()+1)))</f>
        <v>2E-3</v>
      </c>
      <c r="C111" s="1" cm="1">
        <f t="array" aca="1" ref="C111" ca="1">IF(ISBLANK(INDIRECT(CONCATENATE("Input!",RSE_Setup!$B$18,ROW()+1))),"",INDIRECT(CONCATENATE("Input!",RSE_Setup!$B$18,ROW()+1)))</f>
        <v>5.5556000000000001E-2</v>
      </c>
      <c r="D111" s="1" cm="1">
        <f t="array" aca="1" ref="D111" ca="1">IF(ISBLANK(INDIRECT(CONCATENATE("Input!",RSE_Setup!$B$19,ROW()+1))),"",INDIRECT(CONCATENATE("Input!",RSE_Setup!$B$19,ROW()+1)))</f>
        <v>9500</v>
      </c>
      <c r="E111" s="1" cm="1">
        <f t="array" aca="1" ref="E111" ca="1">IF(ISBLANK(INDIRECT(CONCATENATE("Input!",RSE_Setup!$B$24,ROW()+1))),"",INDIRECT(CONCATENATE("Input!",RSE_Setup!$B$24,ROW()+1)))</f>
        <v>629.89798199999996</v>
      </c>
      <c r="F111" s="1">
        <f ca="1"/>
        <v>628.13605545470364</v>
      </c>
    </row>
    <row r="112" spans="1:6" x14ac:dyDescent="0.3">
      <c r="A112" s="1" cm="1">
        <f t="array" aca="1" ref="A112" ca="1">IF(ISBLANK(INDIRECT(CONCATENATE("Input!",RSE_Setup!$B$16,ROW()+1))),"",INDIRECT(CONCATENATE("Input!",RSE_Setup!$B$16,ROW()+1)))</f>
        <v>2.9999999999999997E-4</v>
      </c>
      <c r="B112" s="1" cm="1">
        <f t="array" aca="1" ref="B112" ca="1">IF(ISBLANK(INDIRECT(CONCATENATE("Input!",RSE_Setup!$B$17,ROW()+1))),"",INDIRECT(CONCATENATE("Input!",RSE_Setup!$B$17,ROW()+1)))</f>
        <v>2E-3</v>
      </c>
      <c r="C112" s="1" cm="1">
        <f t="array" aca="1" ref="C112" ca="1">IF(ISBLANK(INDIRECT(CONCATENATE("Input!",RSE_Setup!$B$18,ROW()+1))),"",INDIRECT(CONCATENATE("Input!",RSE_Setup!$B$18,ROW()+1)))</f>
        <v>3.2258000000000002E-2</v>
      </c>
      <c r="D112" s="1" cm="1">
        <f t="array" aca="1" ref="D112" ca="1">IF(ISBLANK(INDIRECT(CONCATENATE("Input!",RSE_Setup!$B$19,ROW()+1))),"",INDIRECT(CONCATENATE("Input!",RSE_Setup!$B$19,ROW()+1)))</f>
        <v>9500</v>
      </c>
      <c r="E112" s="1" cm="1">
        <f t="array" aca="1" ref="E112" ca="1">IF(ISBLANK(INDIRECT(CONCATENATE("Input!",RSE_Setup!$B$24,ROW()+1))),"",INDIRECT(CONCATENATE("Input!",RSE_Setup!$B$24,ROW()+1)))</f>
        <v>538.87602600000002</v>
      </c>
      <c r="F112" s="1">
        <f ca="1"/>
        <v>532.50120030016217</v>
      </c>
    </row>
    <row r="113" spans="1:6" x14ac:dyDescent="0.3">
      <c r="A113" s="1" cm="1">
        <f t="array" aca="1" ref="A113" ca="1">IF(ISBLANK(INDIRECT(CONCATENATE("Input!",RSE_Setup!$B$16,ROW()+1))),"",INDIRECT(CONCATENATE("Input!",RSE_Setup!$B$16,ROW()+1)))</f>
        <v>2.9999999999999997E-4</v>
      </c>
      <c r="B113" s="1" cm="1">
        <f t="array" aca="1" ref="B113" ca="1">IF(ISBLANK(INDIRECT(CONCATENATE("Input!",RSE_Setup!$B$17,ROW()+1))),"",INDIRECT(CONCATENATE("Input!",RSE_Setup!$B$17,ROW()+1)))</f>
        <v>3.0000000000000001E-3</v>
      </c>
      <c r="C113" s="1" cm="1">
        <f t="array" aca="1" ref="C113" ca="1">IF(ISBLANK(INDIRECT(CONCATENATE("Input!",RSE_Setup!$B$18,ROW()+1))),"",INDIRECT(CONCATENATE("Input!",RSE_Setup!$B$18,ROW()+1)))</f>
        <v>5.5556000000000001E-2</v>
      </c>
      <c r="D113" s="1" cm="1">
        <f t="array" aca="1" ref="D113" ca="1">IF(ISBLANK(INDIRECT(CONCATENATE("Input!",RSE_Setup!$B$19,ROW()+1))),"",INDIRECT(CONCATENATE("Input!",RSE_Setup!$B$19,ROW()+1)))</f>
        <v>5500</v>
      </c>
      <c r="E113" s="1" cm="1">
        <f t="array" aca="1" ref="E113" ca="1">IF(ISBLANK(INDIRECT(CONCATENATE("Input!",RSE_Setup!$B$24,ROW()+1))),"",INDIRECT(CONCATENATE("Input!",RSE_Setup!$B$24,ROW()+1)))</f>
        <v>381.30021099999999</v>
      </c>
      <c r="F113" s="1">
        <f ca="1"/>
        <v>376.4728054474017</v>
      </c>
    </row>
    <row r="114" spans="1:6" x14ac:dyDescent="0.3">
      <c r="A114" s="1" cm="1">
        <f t="array" aca="1" ref="A114" ca="1">IF(ISBLANK(INDIRECT(CONCATENATE("Input!",RSE_Setup!$B$16,ROW()+1))),"",INDIRECT(CONCATENATE("Input!",RSE_Setup!$B$16,ROW()+1)))</f>
        <v>2.9999999999999997E-4</v>
      </c>
      <c r="B114" s="1" cm="1">
        <f t="array" aca="1" ref="B114" ca="1">IF(ISBLANK(INDIRECT(CONCATENATE("Input!",RSE_Setup!$B$17,ROW()+1))),"",INDIRECT(CONCATENATE("Input!",RSE_Setup!$B$17,ROW()+1)))</f>
        <v>3.0000000000000001E-3</v>
      </c>
      <c r="C114" s="1" cm="1">
        <f t="array" aca="1" ref="C114" ca="1">IF(ISBLANK(INDIRECT(CONCATENATE("Input!",RSE_Setup!$B$18,ROW()+1))),"",INDIRECT(CONCATENATE("Input!",RSE_Setup!$B$18,ROW()+1)))</f>
        <v>5.5556000000000001E-2</v>
      </c>
      <c r="D114" s="1" cm="1">
        <f t="array" aca="1" ref="D114" ca="1">IF(ISBLANK(INDIRECT(CONCATENATE("Input!",RSE_Setup!$B$19,ROW()+1))),"",INDIRECT(CONCATENATE("Input!",RSE_Setup!$B$19,ROW()+1)))</f>
        <v>7500</v>
      </c>
      <c r="E114" s="1" cm="1">
        <f t="array" aca="1" ref="E114" ca="1">IF(ISBLANK(INDIRECT(CONCATENATE("Input!",RSE_Setup!$B$24,ROW()+1))),"",INDIRECT(CONCATENATE("Input!",RSE_Setup!$B$24,ROW()+1)))</f>
        <v>502.380246</v>
      </c>
      <c r="F114" s="1">
        <f ca="1"/>
        <v>504.61888273731091</v>
      </c>
    </row>
    <row r="115" spans="1:6" x14ac:dyDescent="0.3">
      <c r="A115" s="1" cm="1">
        <f t="array" aca="1" ref="A115" ca="1">IF(ISBLANK(INDIRECT(CONCATENATE("Input!",RSE_Setup!$B$16,ROW()+1))),"",INDIRECT(CONCATENATE("Input!",RSE_Setup!$B$16,ROW()+1)))</f>
        <v>2.9999999999999997E-4</v>
      </c>
      <c r="B115" s="1" cm="1">
        <f t="array" aca="1" ref="B115" ca="1">IF(ISBLANK(INDIRECT(CONCATENATE("Input!",RSE_Setup!$B$17,ROW()+1))),"",INDIRECT(CONCATENATE("Input!",RSE_Setup!$B$17,ROW()+1)))</f>
        <v>3.0000000000000001E-3</v>
      </c>
      <c r="C115" s="1" cm="1">
        <f t="array" aca="1" ref="C115" ca="1">IF(ISBLANK(INDIRECT(CONCATENATE("Input!",RSE_Setup!$B$18,ROW()+1))),"",INDIRECT(CONCATENATE("Input!",RSE_Setup!$B$18,ROW()+1)))</f>
        <v>5.5556000000000001E-2</v>
      </c>
      <c r="D115" s="1" cm="1">
        <f t="array" aca="1" ref="D115" ca="1">IF(ISBLANK(INDIRECT(CONCATENATE("Input!",RSE_Setup!$B$19,ROW()+1))),"",INDIRECT(CONCATENATE("Input!",RSE_Setup!$B$19,ROW()+1)))</f>
        <v>9500</v>
      </c>
      <c r="E115" s="1" cm="1">
        <f t="array" aca="1" ref="E115" ca="1">IF(ISBLANK(INDIRECT(CONCATENATE("Input!",RSE_Setup!$B$24,ROW()+1))),"",INDIRECT(CONCATENATE("Input!",RSE_Setup!$B$24,ROW()+1)))</f>
        <v>634.168815</v>
      </c>
      <c r="F115" s="1">
        <f ca="1"/>
        <v>632.54805690953106</v>
      </c>
    </row>
    <row r="116" spans="1:6" x14ac:dyDescent="0.3">
      <c r="A116" s="1" cm="1">
        <f t="array" aca="1" ref="A116" ca="1">IF(ISBLANK(INDIRECT(CONCATENATE("Input!",RSE_Setup!$B$16,ROW()+1))),"",INDIRECT(CONCATENATE("Input!",RSE_Setup!$B$16,ROW()+1)))</f>
        <v>2.9999999999999997E-4</v>
      </c>
      <c r="B116" s="1" cm="1">
        <f t="array" aca="1" ref="B116" ca="1">IF(ISBLANK(INDIRECT(CONCATENATE("Input!",RSE_Setup!$B$17,ROW()+1))),"",INDIRECT(CONCATENATE("Input!",RSE_Setup!$B$17,ROW()+1)))</f>
        <v>3.0000000000000001E-3</v>
      </c>
      <c r="C116" s="1" cm="1">
        <f t="array" aca="1" ref="C116" ca="1">IF(ISBLANK(INDIRECT(CONCATENATE("Input!",RSE_Setup!$B$18,ROW()+1))),"",INDIRECT(CONCATENATE("Input!",RSE_Setup!$B$18,ROW()+1)))</f>
        <v>3.2258000000000002E-2</v>
      </c>
      <c r="D116" s="1" cm="1">
        <f t="array" aca="1" ref="D116" ca="1">IF(ISBLANK(INDIRECT(CONCATENATE("Input!",RSE_Setup!$B$19,ROW()+1))),"",INDIRECT(CONCATENATE("Input!",RSE_Setup!$B$19,ROW()+1)))</f>
        <v>9500</v>
      </c>
      <c r="E116" s="1" cm="1">
        <f t="array" aca="1" ref="E116" ca="1">IF(ISBLANK(INDIRECT(CONCATENATE("Input!",RSE_Setup!$B$24,ROW()+1))),"",INDIRECT(CONCATENATE("Input!",RSE_Setup!$B$24,ROW()+1)))</f>
        <v>543.25832700000001</v>
      </c>
      <c r="F116" s="1">
        <f ca="1"/>
        <v>536.68957123563746</v>
      </c>
    </row>
    <row r="117" spans="1:6" x14ac:dyDescent="0.3">
      <c r="A117" s="1" cm="1">
        <f t="array" aca="1" ref="A117" ca="1">IF(ISBLANK(INDIRECT(CONCATENATE("Input!",RSE_Setup!$B$16,ROW()+1))),"",INDIRECT(CONCATENATE("Input!",RSE_Setup!$B$16,ROW()+1)))</f>
        <v>2.9999999999999997E-4</v>
      </c>
      <c r="B117" s="1" cm="1">
        <f t="array" aca="1" ref="B117" ca="1">IF(ISBLANK(INDIRECT(CONCATENATE("Input!",RSE_Setup!$B$17,ROW()+1))),"",INDIRECT(CONCATENATE("Input!",RSE_Setup!$B$17,ROW()+1)))</f>
        <v>4.0000000000000001E-3</v>
      </c>
      <c r="C117" s="1" cm="1">
        <f t="array" aca="1" ref="C117" ca="1">IF(ISBLANK(INDIRECT(CONCATENATE("Input!",RSE_Setup!$B$18,ROW()+1))),"",INDIRECT(CONCATENATE("Input!",RSE_Setup!$B$18,ROW()+1)))</f>
        <v>5.5556000000000001E-2</v>
      </c>
      <c r="D117" s="1" cm="1">
        <f t="array" aca="1" ref="D117" ca="1">IF(ISBLANK(INDIRECT(CONCATENATE("Input!",RSE_Setup!$B$19,ROW()+1))),"",INDIRECT(CONCATENATE("Input!",RSE_Setup!$B$19,ROW()+1)))</f>
        <v>5500</v>
      </c>
      <c r="E117" s="1" cm="1">
        <f t="array" aca="1" ref="E117" ca="1">IF(ISBLANK(INDIRECT(CONCATENATE("Input!",RSE_Setup!$B$24,ROW()+1))),"",INDIRECT(CONCATENATE("Input!",RSE_Setup!$B$24,ROW()+1)))</f>
        <v>384.09155299999998</v>
      </c>
      <c r="F117" s="1">
        <f ca="1"/>
        <v>379.08172974223811</v>
      </c>
    </row>
    <row r="118" spans="1:6" x14ac:dyDescent="0.3">
      <c r="A118" s="1" cm="1">
        <f t="array" aca="1" ref="A118" ca="1">IF(ISBLANK(INDIRECT(CONCATENATE("Input!",RSE_Setup!$B$16,ROW()+1))),"",INDIRECT(CONCATENATE("Input!",RSE_Setup!$B$16,ROW()+1)))</f>
        <v>2.9999999999999997E-4</v>
      </c>
      <c r="B118" s="1" cm="1">
        <f t="array" aca="1" ref="B118" ca="1">IF(ISBLANK(INDIRECT(CONCATENATE("Input!",RSE_Setup!$B$17,ROW()+1))),"",INDIRECT(CONCATENATE("Input!",RSE_Setup!$B$17,ROW()+1)))</f>
        <v>4.0000000000000001E-3</v>
      </c>
      <c r="C118" s="1" cm="1">
        <f t="array" aca="1" ref="C118" ca="1">IF(ISBLANK(INDIRECT(CONCATENATE("Input!",RSE_Setup!$B$18,ROW()+1))),"",INDIRECT(CONCATENATE("Input!",RSE_Setup!$B$18,ROW()+1)))</f>
        <v>5.5556000000000001E-2</v>
      </c>
      <c r="D118" s="1" cm="1">
        <f t="array" aca="1" ref="D118" ca="1">IF(ISBLANK(INDIRECT(CONCATENATE("Input!",RSE_Setup!$B$19,ROW()+1))),"",INDIRECT(CONCATENATE("Input!",RSE_Setup!$B$19,ROW()+1)))</f>
        <v>7500</v>
      </c>
      <c r="E118" s="1" cm="1">
        <f t="array" aca="1" ref="E118" ca="1">IF(ISBLANK(INDIRECT(CONCATENATE("Input!",RSE_Setup!$B$24,ROW()+1))),"",INDIRECT(CONCATENATE("Input!",RSE_Setup!$B$24,ROW()+1)))</f>
        <v>506.05434600000001</v>
      </c>
      <c r="F118" s="1">
        <f ca="1"/>
        <v>508.18157832861544</v>
      </c>
    </row>
    <row r="119" spans="1:6" x14ac:dyDescent="0.3">
      <c r="A119" s="1" cm="1">
        <f t="array" aca="1" ref="A119" ca="1">IF(ISBLANK(INDIRECT(CONCATENATE("Input!",RSE_Setup!$B$16,ROW()+1))),"",INDIRECT(CONCATENATE("Input!",RSE_Setup!$B$16,ROW()+1)))</f>
        <v>2.9999999999999997E-4</v>
      </c>
      <c r="B119" s="1" cm="1">
        <f t="array" aca="1" ref="B119" ca="1">IF(ISBLANK(INDIRECT(CONCATENATE("Input!",RSE_Setup!$B$17,ROW()+1))),"",INDIRECT(CONCATENATE("Input!",RSE_Setup!$B$17,ROW()+1)))</f>
        <v>4.0000000000000001E-3</v>
      </c>
      <c r="C119" s="1" cm="1">
        <f t="array" aca="1" ref="C119" ca="1">IF(ISBLANK(INDIRECT(CONCATENATE("Input!",RSE_Setup!$B$18,ROW()+1))),"",INDIRECT(CONCATENATE("Input!",RSE_Setup!$B$18,ROW()+1)))</f>
        <v>5.5556000000000001E-2</v>
      </c>
      <c r="D119" s="1" cm="1">
        <f t="array" aca="1" ref="D119" ca="1">IF(ISBLANK(INDIRECT(CONCATENATE("Input!",RSE_Setup!$B$19,ROW()+1))),"",INDIRECT(CONCATENATE("Input!",RSE_Setup!$B$19,ROW()+1)))</f>
        <v>9500</v>
      </c>
      <c r="E119" s="1" cm="1">
        <f t="array" aca="1" ref="E119" ca="1">IF(ISBLANK(INDIRECT(CONCATENATE("Input!",RSE_Setup!$B$24,ROW()+1))),"",INDIRECT(CONCATENATE("Input!",RSE_Setup!$B$24,ROW()+1)))</f>
        <v>638.52131199999997</v>
      </c>
      <c r="F119" s="1">
        <f ca="1"/>
        <v>637.06452379730354</v>
      </c>
    </row>
    <row r="120" spans="1:6" x14ac:dyDescent="0.3">
      <c r="A120" s="1" cm="1">
        <f t="array" aca="1" ref="A120" ca="1">IF(ISBLANK(INDIRECT(CONCATENATE("Input!",RSE_Setup!$B$16,ROW()+1))),"",INDIRECT(CONCATENATE("Input!",RSE_Setup!$B$16,ROW()+1)))</f>
        <v>2.9999999999999997E-4</v>
      </c>
      <c r="B120" s="1" cm="1">
        <f t="array" aca="1" ref="B120" ca="1">IF(ISBLANK(INDIRECT(CONCATENATE("Input!",RSE_Setup!$B$17,ROW()+1))),"",INDIRECT(CONCATENATE("Input!",RSE_Setup!$B$17,ROW()+1)))</f>
        <v>4.0000000000000001E-3</v>
      </c>
      <c r="C120" s="1" cm="1">
        <f t="array" aca="1" ref="C120" ca="1">IF(ISBLANK(INDIRECT(CONCATENATE("Input!",RSE_Setup!$B$18,ROW()+1))),"",INDIRECT(CONCATENATE("Input!",RSE_Setup!$B$18,ROW()+1)))</f>
        <v>3.2258000000000002E-2</v>
      </c>
      <c r="D120" s="1" cm="1">
        <f t="array" aca="1" ref="D120" ca="1">IF(ISBLANK(INDIRECT(CONCATENATE("Input!",RSE_Setup!$B$19,ROW()+1))),"",INDIRECT(CONCATENATE("Input!",RSE_Setup!$B$19,ROW()+1)))</f>
        <v>9500</v>
      </c>
      <c r="E120" s="1" cm="1">
        <f t="array" aca="1" ref="E120" ca="1">IF(ISBLANK(INDIRECT(CONCATENATE("Input!",RSE_Setup!$B$24,ROW()+1))),"",INDIRECT(CONCATENATE("Input!",RSE_Setup!$B$24,ROW()+1)))</f>
        <v>547.69759399999998</v>
      </c>
      <c r="F120" s="1">
        <f ca="1"/>
        <v>540.98240760405781</v>
      </c>
    </row>
    <row r="121" spans="1:6" x14ac:dyDescent="0.3">
      <c r="A121" s="1" cm="1">
        <f t="array" aca="1" ref="A121" ca="1">IF(ISBLANK(INDIRECT(CONCATENATE("Input!",RSE_Setup!$B$16,ROW()+1))),"",INDIRECT(CONCATENATE("Input!",RSE_Setup!$B$16,ROW()+1)))</f>
        <v>5.0000000000000001E-4</v>
      </c>
      <c r="B121" s="1" cm="1">
        <f t="array" aca="1" ref="B121" ca="1">IF(ISBLANK(INDIRECT(CONCATENATE("Input!",RSE_Setup!$B$17,ROW()+1))),"",INDIRECT(CONCATENATE("Input!",RSE_Setup!$B$17,ROW()+1)))</f>
        <v>3.0000000000000001E-3</v>
      </c>
      <c r="C121" s="1" cm="1">
        <f t="array" aca="1" ref="C121" ca="1">IF(ISBLANK(INDIRECT(CONCATENATE("Input!",RSE_Setup!$B$18,ROW()+1))),"",INDIRECT(CONCATENATE("Input!",RSE_Setup!$B$18,ROW()+1)))</f>
        <v>0.13333300000000001</v>
      </c>
      <c r="D121" s="1" cm="1">
        <f t="array" aca="1" ref="D121" ca="1">IF(ISBLANK(INDIRECT(CONCATENATE("Input!",RSE_Setup!$B$19,ROW()+1))),"",INDIRECT(CONCATENATE("Input!",RSE_Setup!$B$19,ROW()+1)))</f>
        <v>4000</v>
      </c>
      <c r="E121" s="1" cm="1">
        <f t="array" aca="1" ref="E121" ca="1">IF(ISBLANK(INDIRECT(CONCATENATE("Input!",RSE_Setup!$B$24,ROW()+1))),"",INDIRECT(CONCATENATE("Input!",RSE_Setup!$B$24,ROW()+1)))</f>
        <v>456.91089199999999</v>
      </c>
      <c r="F121" s="1">
        <f ca="1"/>
        <v>455.94110207840305</v>
      </c>
    </row>
    <row r="122" spans="1:6" x14ac:dyDescent="0.3">
      <c r="A122" s="1" cm="1">
        <f t="array" aca="1" ref="A122" ca="1">IF(ISBLANK(INDIRECT(CONCATENATE("Input!",RSE_Setup!$B$16,ROW()+1))),"",INDIRECT(CONCATENATE("Input!",RSE_Setup!$B$16,ROW()+1)))</f>
        <v>5.0000000000000001E-4</v>
      </c>
      <c r="B122" s="1" cm="1">
        <f t="array" aca="1" ref="B122" ca="1">IF(ISBLANK(INDIRECT(CONCATENATE("Input!",RSE_Setup!$B$17,ROW()+1))),"",INDIRECT(CONCATENATE("Input!",RSE_Setup!$B$17,ROW()+1)))</f>
        <v>3.0000000000000001E-3</v>
      </c>
      <c r="C122" s="1" cm="1">
        <f t="array" aca="1" ref="C122" ca="1">IF(ISBLANK(INDIRECT(CONCATENATE("Input!",RSE_Setup!$B$18,ROW()+1))),"",INDIRECT(CONCATENATE("Input!",RSE_Setup!$B$18,ROW()+1)))</f>
        <v>0.111111</v>
      </c>
      <c r="D122" s="1" cm="1">
        <f t="array" aca="1" ref="D122" ca="1">IF(ISBLANK(INDIRECT(CONCATENATE("Input!",RSE_Setup!$B$19,ROW()+1))),"",INDIRECT(CONCATENATE("Input!",RSE_Setup!$B$19,ROW()+1)))</f>
        <v>3750</v>
      </c>
      <c r="E122" s="1" cm="1">
        <f t="array" aca="1" ref="E122" ca="1">IF(ISBLANK(INDIRECT(CONCATENATE("Input!",RSE_Setup!$B$24,ROW()+1))),"",INDIRECT(CONCATENATE("Input!",RSE_Setup!$B$24,ROW()+1)))</f>
        <v>383.93769400000002</v>
      </c>
      <c r="F122" s="1">
        <f ca="1"/>
        <v>387.03507454866917</v>
      </c>
    </row>
    <row r="123" spans="1:6" x14ac:dyDescent="0.3">
      <c r="A123" s="1" cm="1">
        <f t="array" aca="1" ref="A123" ca="1">IF(ISBLANK(INDIRECT(CONCATENATE("Input!",RSE_Setup!$B$16,ROW()+1))),"",INDIRECT(CONCATENATE("Input!",RSE_Setup!$B$16,ROW()+1)))</f>
        <v>5.0000000000000001E-4</v>
      </c>
      <c r="B123" s="1" cm="1">
        <f t="array" aca="1" ref="B123" ca="1">IF(ISBLANK(INDIRECT(CONCATENATE("Input!",RSE_Setup!$B$17,ROW()+1))),"",INDIRECT(CONCATENATE("Input!",RSE_Setup!$B$17,ROW()+1)))</f>
        <v>3.0000000000000001E-3</v>
      </c>
      <c r="C123" s="1" cm="1">
        <f t="array" aca="1" ref="C123" ca="1">IF(ISBLANK(INDIRECT(CONCATENATE("Input!",RSE_Setup!$B$18,ROW()+1))),"",INDIRECT(CONCATENATE("Input!",RSE_Setup!$B$18,ROW()+1)))</f>
        <v>0.111111</v>
      </c>
      <c r="D123" s="1" cm="1">
        <f t="array" aca="1" ref="D123" ca="1">IF(ISBLANK(INDIRECT(CONCATENATE("Input!",RSE_Setup!$B$19,ROW()+1))),"",INDIRECT(CONCATENATE("Input!",RSE_Setup!$B$19,ROW()+1)))</f>
        <v>4750</v>
      </c>
      <c r="E123" s="1" cm="1">
        <f t="array" aca="1" ref="E123" ca="1">IF(ISBLANK(INDIRECT(CONCATENATE("Input!",RSE_Setup!$B$24,ROW()+1))),"",INDIRECT(CONCATENATE("Input!",RSE_Setup!$B$24,ROW()+1)))</f>
        <v>484.43885499999999</v>
      </c>
      <c r="F123" s="1">
        <f ca="1"/>
        <v>478.24695198363656</v>
      </c>
    </row>
    <row r="124" spans="1:6" x14ac:dyDescent="0.3">
      <c r="A124" s="1" cm="1">
        <f t="array" aca="1" ref="A124" ca="1">IF(ISBLANK(INDIRECT(CONCATENATE("Input!",RSE_Setup!$B$16,ROW()+1))),"",INDIRECT(CONCATENATE("Input!",RSE_Setup!$B$16,ROW()+1)))</f>
        <v>5.0000000000000001E-4</v>
      </c>
      <c r="B124" s="1" cm="1">
        <f t="array" aca="1" ref="B124" ca="1">IF(ISBLANK(INDIRECT(CONCATENATE("Input!",RSE_Setup!$B$17,ROW()+1))),"",INDIRECT(CONCATENATE("Input!",RSE_Setup!$B$17,ROW()+1)))</f>
        <v>3.0000000000000001E-3</v>
      </c>
      <c r="C124" s="1" cm="1">
        <f t="array" aca="1" ref="C124" ca="1">IF(ISBLANK(INDIRECT(CONCATENATE("Input!",RSE_Setup!$B$18,ROW()+1))),"",INDIRECT(CONCATENATE("Input!",RSE_Setup!$B$18,ROW()+1)))</f>
        <v>5.5556000000000001E-2</v>
      </c>
      <c r="D124" s="1" cm="1">
        <f t="array" aca="1" ref="D124" ca="1">IF(ISBLANK(INDIRECT(CONCATENATE("Input!",RSE_Setup!$B$19,ROW()+1))),"",INDIRECT(CONCATENATE("Input!",RSE_Setup!$B$19,ROW()+1)))</f>
        <v>5500</v>
      </c>
      <c r="E124" s="1" cm="1">
        <f t="array" aca="1" ref="E124" ca="1">IF(ISBLANK(INDIRECT(CONCATENATE("Input!",RSE_Setup!$B$24,ROW()+1))),"",INDIRECT(CONCATENATE("Input!",RSE_Setup!$B$24,ROW()+1)))</f>
        <v>407.56641500000001</v>
      </c>
      <c r="F124" s="1">
        <f ca="1"/>
        <v>402.71200750324545</v>
      </c>
    </row>
    <row r="125" spans="1:6" x14ac:dyDescent="0.3">
      <c r="A125" s="1" cm="1">
        <f t="array" aca="1" ref="A125" ca="1">IF(ISBLANK(INDIRECT(CONCATENATE("Input!",RSE_Setup!$B$16,ROW()+1))),"",INDIRECT(CONCATENATE("Input!",RSE_Setup!$B$16,ROW()+1)))</f>
        <v>5.0000000000000001E-4</v>
      </c>
      <c r="B125" s="1" cm="1">
        <f t="array" aca="1" ref="B125" ca="1">IF(ISBLANK(INDIRECT(CONCATENATE("Input!",RSE_Setup!$B$17,ROW()+1))),"",INDIRECT(CONCATENATE("Input!",RSE_Setup!$B$17,ROW()+1)))</f>
        <v>3.0000000000000001E-3</v>
      </c>
      <c r="C125" s="1" cm="1">
        <f t="array" aca="1" ref="C125" ca="1">IF(ISBLANK(INDIRECT(CONCATENATE("Input!",RSE_Setup!$B$18,ROW()+1))),"",INDIRECT(CONCATENATE("Input!",RSE_Setup!$B$18,ROW()+1)))</f>
        <v>5.5556000000000001E-2</v>
      </c>
      <c r="D125" s="1" cm="1">
        <f t="array" aca="1" ref="D125" ca="1">IF(ISBLANK(INDIRECT(CONCATENATE("Input!",RSE_Setup!$B$19,ROW()+1))),"",INDIRECT(CONCATENATE("Input!",RSE_Setup!$B$19,ROW()+1)))</f>
        <v>7500</v>
      </c>
      <c r="E125" s="1" cm="1">
        <f t="array" aca="1" ref="E125" ca="1">IF(ISBLANK(INDIRECT(CONCATENATE("Input!",RSE_Setup!$B$24,ROW()+1))),"",INDIRECT(CONCATENATE("Input!",RSE_Setup!$B$24,ROW()+1)))</f>
        <v>537.584833</v>
      </c>
      <c r="F125" s="1">
        <f ca="1"/>
        <v>540.11618604842499</v>
      </c>
    </row>
    <row r="126" spans="1:6" x14ac:dyDescent="0.3">
      <c r="A126" s="1" cm="1">
        <f t="array" aca="1" ref="A126" ca="1">IF(ISBLANK(INDIRECT(CONCATENATE("Input!",RSE_Setup!$B$16,ROW()+1))),"",INDIRECT(CONCATENATE("Input!",RSE_Setup!$B$16,ROW()+1)))</f>
        <v>5.0000000000000001E-4</v>
      </c>
      <c r="B126" s="1" cm="1">
        <f t="array" aca="1" ref="B126" ca="1">IF(ISBLANK(INDIRECT(CONCATENATE("Input!",RSE_Setup!$B$17,ROW()+1))),"",INDIRECT(CONCATENATE("Input!",RSE_Setup!$B$17,ROW()+1)))</f>
        <v>3.0000000000000001E-3</v>
      </c>
      <c r="C126" s="1" cm="1">
        <f t="array" aca="1" ref="C126" ca="1">IF(ISBLANK(INDIRECT(CONCATENATE("Input!",RSE_Setup!$B$18,ROW()+1))),"",INDIRECT(CONCATENATE("Input!",RSE_Setup!$B$18,ROW()+1)))</f>
        <v>5.5556000000000001E-2</v>
      </c>
      <c r="D126" s="1" cm="1">
        <f t="array" aca="1" ref="D126" ca="1">IF(ISBLANK(INDIRECT(CONCATENATE("Input!",RSE_Setup!$B$19,ROW()+1))),"",INDIRECT(CONCATENATE("Input!",RSE_Setup!$B$19,ROW()+1)))</f>
        <v>9500</v>
      </c>
      <c r="E126" s="1" cm="1">
        <f t="array" aca="1" ref="E126" ca="1">IF(ISBLANK(INDIRECT(CONCATENATE("Input!",RSE_Setup!$B$24,ROW()+1))),"",INDIRECT(CONCATENATE("Input!",RSE_Setup!$B$24,ROW()+1)))</f>
        <v>677.56072700000004</v>
      </c>
      <c r="F126" s="1">
        <f ca="1"/>
        <v>677.30346147591558</v>
      </c>
    </row>
    <row r="127" spans="1:6" x14ac:dyDescent="0.3">
      <c r="A127" s="1" cm="1">
        <f t="array" aca="1" ref="A127" ca="1">IF(ISBLANK(INDIRECT(CONCATENATE("Input!",RSE_Setup!$B$16,ROW()+1))),"",INDIRECT(CONCATENATE("Input!",RSE_Setup!$B$16,ROW()+1)))</f>
        <v>5.0000000000000001E-4</v>
      </c>
      <c r="B127" s="1" cm="1">
        <f t="array" aca="1" ref="B127" ca="1">IF(ISBLANK(INDIRECT(CONCATENATE("Input!",RSE_Setup!$B$17,ROW()+1))),"",INDIRECT(CONCATENATE("Input!",RSE_Setup!$B$17,ROW()+1)))</f>
        <v>3.0000000000000001E-3</v>
      </c>
      <c r="C127" s="1" cm="1">
        <f t="array" aca="1" ref="C127" ca="1">IF(ISBLANK(INDIRECT(CONCATENATE("Input!",RSE_Setup!$B$18,ROW()+1))),"",INDIRECT(CONCATENATE("Input!",RSE_Setup!$B$18,ROW()+1)))</f>
        <v>3.2258000000000002E-2</v>
      </c>
      <c r="D127" s="1" cm="1">
        <f t="array" aca="1" ref="D127" ca="1">IF(ISBLANK(INDIRECT(CONCATENATE("Input!",RSE_Setup!$B$19,ROW()+1))),"",INDIRECT(CONCATENATE("Input!",RSE_Setup!$B$19,ROW()+1)))</f>
        <v>9500</v>
      </c>
      <c r="E127" s="1" cm="1">
        <f t="array" aca="1" ref="E127" ca="1">IF(ISBLANK(INDIRECT(CONCATENATE("Input!",RSE_Setup!$B$24,ROW()+1))),"",INDIRECT(CONCATENATE("Input!",RSE_Setup!$B$24,ROW()+1)))</f>
        <v>588.35555399999998</v>
      </c>
      <c r="F127" s="1">
        <f ca="1"/>
        <v>581.48914984667124</v>
      </c>
    </row>
    <row r="128" spans="1:6" x14ac:dyDescent="0.3">
      <c r="A128" s="1" cm="1">
        <f t="array" aca="1" ref="A128" ca="1">IF(ISBLANK(INDIRECT(CONCATENATE("Input!",RSE_Setup!$B$16,ROW()+1))),"",INDIRECT(CONCATENATE("Input!",RSE_Setup!$B$16,ROW()+1)))</f>
        <v>5.0000000000000001E-4</v>
      </c>
      <c r="B128" s="1" cm="1">
        <f t="array" aca="1" ref="B128" ca="1">IF(ISBLANK(INDIRECT(CONCATENATE("Input!",RSE_Setup!$B$17,ROW()+1))),"",INDIRECT(CONCATENATE("Input!",RSE_Setup!$B$17,ROW()+1)))</f>
        <v>4.7499999999999999E-3</v>
      </c>
      <c r="C128" s="1" cm="1">
        <f t="array" aca="1" ref="C128" ca="1">IF(ISBLANK(INDIRECT(CONCATENATE("Input!",RSE_Setup!$B$18,ROW()+1))),"",INDIRECT(CONCATENATE("Input!",RSE_Setup!$B$18,ROW()+1)))</f>
        <v>0.13333300000000001</v>
      </c>
      <c r="D128" s="1" cm="1">
        <f t="array" aca="1" ref="D128" ca="1">IF(ISBLANK(INDIRECT(CONCATENATE("Input!",RSE_Setup!$B$19,ROW()+1))),"",INDIRECT(CONCATENATE("Input!",RSE_Setup!$B$19,ROW()+1)))</f>
        <v>4000</v>
      </c>
      <c r="E128" s="1" cm="1">
        <f t="array" aca="1" ref="E128" ca="1">IF(ISBLANK(INDIRECT(CONCATENATE("Input!",RSE_Setup!$B$24,ROW()+1))),"",INDIRECT(CONCATENATE("Input!",RSE_Setup!$B$24,ROW()+1)))</f>
        <v>460.64146499999998</v>
      </c>
      <c r="F128" s="1">
        <f ca="1"/>
        <v>460.75778557522136</v>
      </c>
    </row>
    <row r="129" spans="1:6" x14ac:dyDescent="0.3">
      <c r="A129" s="1" cm="1">
        <f t="array" aca="1" ref="A129" ca="1">IF(ISBLANK(INDIRECT(CONCATENATE("Input!",RSE_Setup!$B$16,ROW()+1))),"",INDIRECT(CONCATENATE("Input!",RSE_Setup!$B$16,ROW()+1)))</f>
        <v>5.0000000000000001E-4</v>
      </c>
      <c r="B129" s="1" cm="1">
        <f t="array" aca="1" ref="B129" ca="1">IF(ISBLANK(INDIRECT(CONCATENATE("Input!",RSE_Setup!$B$17,ROW()+1))),"",INDIRECT(CONCATENATE("Input!",RSE_Setup!$B$17,ROW()+1)))</f>
        <v>4.7499999999999999E-3</v>
      </c>
      <c r="C129" s="1" cm="1">
        <f t="array" aca="1" ref="C129" ca="1">IF(ISBLANK(INDIRECT(CONCATENATE("Input!",RSE_Setup!$B$18,ROW()+1))),"",INDIRECT(CONCATENATE("Input!",RSE_Setup!$B$18,ROW()+1)))</f>
        <v>0.111111</v>
      </c>
      <c r="D129" s="1" cm="1">
        <f t="array" aca="1" ref="D129" ca="1">IF(ISBLANK(INDIRECT(CONCATENATE("Input!",RSE_Setup!$B$19,ROW()+1))),"",INDIRECT(CONCATENATE("Input!",RSE_Setup!$B$19,ROW()+1)))</f>
        <v>3750</v>
      </c>
      <c r="E129" s="1" cm="1">
        <f t="array" aca="1" ref="E129" ca="1">IF(ISBLANK(INDIRECT(CONCATENATE("Input!",RSE_Setup!$B$24,ROW()+1))),"",INDIRECT(CONCATENATE("Input!",RSE_Setup!$B$24,ROW()+1)))</f>
        <v>387.52164800000003</v>
      </c>
      <c r="F129" s="1">
        <f ca="1"/>
        <v>391.26984151816453</v>
      </c>
    </row>
    <row r="130" spans="1:6" x14ac:dyDescent="0.3">
      <c r="A130" s="1" cm="1">
        <f t="array" aca="1" ref="A130" ca="1">IF(ISBLANK(INDIRECT(CONCATENATE("Input!",RSE_Setup!$B$16,ROW()+1))),"",INDIRECT(CONCATENATE("Input!",RSE_Setup!$B$16,ROW()+1)))</f>
        <v>5.0000000000000001E-4</v>
      </c>
      <c r="B130" s="1" cm="1">
        <f t="array" aca="1" ref="B130" ca="1">IF(ISBLANK(INDIRECT(CONCATENATE("Input!",RSE_Setup!$B$17,ROW()+1))),"",INDIRECT(CONCATENATE("Input!",RSE_Setup!$B$17,ROW()+1)))</f>
        <v>4.7499999999999999E-3</v>
      </c>
      <c r="C130" s="1" cm="1">
        <f t="array" aca="1" ref="C130" ca="1">IF(ISBLANK(INDIRECT(CONCATENATE("Input!",RSE_Setup!$B$18,ROW()+1))),"",INDIRECT(CONCATENATE("Input!",RSE_Setup!$B$18,ROW()+1)))</f>
        <v>0.111111</v>
      </c>
      <c r="D130" s="1" cm="1">
        <f t="array" aca="1" ref="D130" ca="1">IF(ISBLANK(INDIRECT(CONCATENATE("Input!",RSE_Setup!$B$19,ROW()+1))),"",INDIRECT(CONCATENATE("Input!",RSE_Setup!$B$19,ROW()+1)))</f>
        <v>4750</v>
      </c>
      <c r="E130" s="1" cm="1">
        <f t="array" aca="1" ref="E130" ca="1">IF(ISBLANK(INDIRECT(CONCATENATE("Input!",RSE_Setup!$B$24,ROW()+1))),"",INDIRECT(CONCATENATE("Input!",RSE_Setup!$B$24,ROW()+1)))</f>
        <v>488.78656899999999</v>
      </c>
      <c r="F130" s="1">
        <f ca="1"/>
        <v>483.31626883754143</v>
      </c>
    </row>
    <row r="131" spans="1:6" x14ac:dyDescent="0.3">
      <c r="A131" s="1" cm="1">
        <f t="array" aca="1" ref="A131" ca="1">IF(ISBLANK(INDIRECT(CONCATENATE("Input!",RSE_Setup!$B$16,ROW()+1))),"",INDIRECT(CONCATENATE("Input!",RSE_Setup!$B$16,ROW()+1)))</f>
        <v>5.0000000000000001E-4</v>
      </c>
      <c r="B131" s="1" cm="1">
        <f t="array" aca="1" ref="B131" ca="1">IF(ISBLANK(INDIRECT(CONCATENATE("Input!",RSE_Setup!$B$17,ROW()+1))),"",INDIRECT(CONCATENATE("Input!",RSE_Setup!$B$17,ROW()+1)))</f>
        <v>4.7499999999999999E-3</v>
      </c>
      <c r="C131" s="1" cm="1">
        <f t="array" aca="1" ref="C131" ca="1">IF(ISBLANK(INDIRECT(CONCATENATE("Input!",RSE_Setup!$B$18,ROW()+1))),"",INDIRECT(CONCATENATE("Input!",RSE_Setup!$B$18,ROW()+1)))</f>
        <v>5.5556000000000001E-2</v>
      </c>
      <c r="D131" s="1" cm="1">
        <f t="array" aca="1" ref="D131" ca="1">IF(ISBLANK(INDIRECT(CONCATENATE("Input!",RSE_Setup!$B$19,ROW()+1))),"",INDIRECT(CONCATENATE("Input!",RSE_Setup!$B$19,ROW()+1)))</f>
        <v>5500</v>
      </c>
      <c r="E131" s="1" cm="1">
        <f t="array" aca="1" ref="E131" ca="1">IF(ISBLANK(INDIRECT(CONCATENATE("Input!",RSE_Setup!$B$24,ROW()+1))),"",INDIRECT(CONCATENATE("Input!",RSE_Setup!$B$24,ROW()+1)))</f>
        <v>412.60165899999998</v>
      </c>
      <c r="F131" s="1">
        <f ca="1"/>
        <v>407.47403912990598</v>
      </c>
    </row>
    <row r="132" spans="1:6" x14ac:dyDescent="0.3">
      <c r="A132" s="1" cm="1">
        <f t="array" aca="1" ref="A132" ca="1">IF(ISBLANK(INDIRECT(CONCATENATE("Input!",RSE_Setup!$B$16,ROW()+1))),"",INDIRECT(CONCATENATE("Input!",RSE_Setup!$B$16,ROW()+1)))</f>
        <v>5.0000000000000001E-4</v>
      </c>
      <c r="B132" s="1" cm="1">
        <f t="array" aca="1" ref="B132" ca="1">IF(ISBLANK(INDIRECT(CONCATENATE("Input!",RSE_Setup!$B$17,ROW()+1))),"",INDIRECT(CONCATENATE("Input!",RSE_Setup!$B$17,ROW()+1)))</f>
        <v>4.7499999999999999E-3</v>
      </c>
      <c r="C132" s="1" cm="1">
        <f t="array" aca="1" ref="C132" ca="1">IF(ISBLANK(INDIRECT(CONCATENATE("Input!",RSE_Setup!$B$18,ROW()+1))),"",INDIRECT(CONCATENATE("Input!",RSE_Setup!$B$18,ROW()+1)))</f>
        <v>5.5556000000000001E-2</v>
      </c>
      <c r="D132" s="1" cm="1">
        <f t="array" aca="1" ref="D132" ca="1">IF(ISBLANK(INDIRECT(CONCATENATE("Input!",RSE_Setup!$B$19,ROW()+1))),"",INDIRECT(CONCATENATE("Input!",RSE_Setup!$B$19,ROW()+1)))</f>
        <v>7500</v>
      </c>
      <c r="E132" s="1" cm="1">
        <f t="array" aca="1" ref="E132" ca="1">IF(ISBLANK(INDIRECT(CONCATENATE("Input!",RSE_Setup!$B$24,ROW()+1))),"",INDIRECT(CONCATENATE("Input!",RSE_Setup!$B$24,ROW()+1)))</f>
        <v>544.14764700000001</v>
      </c>
      <c r="F132" s="1">
        <f ca="1"/>
        <v>546.5473174439046</v>
      </c>
    </row>
    <row r="133" spans="1:6" x14ac:dyDescent="0.3">
      <c r="A133" s="1" cm="1">
        <f t="array" aca="1" ref="A133" ca="1">IF(ISBLANK(INDIRECT(CONCATENATE("Input!",RSE_Setup!$B$16,ROW()+1))),"",INDIRECT(CONCATENATE("Input!",RSE_Setup!$B$16,ROW()+1)))</f>
        <v>5.0000000000000001E-4</v>
      </c>
      <c r="B133" s="1" cm="1">
        <f t="array" aca="1" ref="B133" ca="1">IF(ISBLANK(INDIRECT(CONCATENATE("Input!",RSE_Setup!$B$17,ROW()+1))),"",INDIRECT(CONCATENATE("Input!",RSE_Setup!$B$17,ROW()+1)))</f>
        <v>4.7499999999999999E-3</v>
      </c>
      <c r="C133" s="1" cm="1">
        <f t="array" aca="1" ref="C133" ca="1">IF(ISBLANK(INDIRECT(CONCATENATE("Input!",RSE_Setup!$B$18,ROW()+1))),"",INDIRECT(CONCATENATE("Input!",RSE_Setup!$B$18,ROW()+1)))</f>
        <v>5.5556000000000001E-2</v>
      </c>
      <c r="D133" s="1" cm="1">
        <f t="array" aca="1" ref="D133" ca="1">IF(ISBLANK(INDIRECT(CONCATENATE("Input!",RSE_Setup!$B$19,ROW()+1))),"",INDIRECT(CONCATENATE("Input!",RSE_Setup!$B$19,ROW()+1)))</f>
        <v>9500</v>
      </c>
      <c r="E133" s="1" cm="1">
        <f t="array" aca="1" ref="E133" ca="1">IF(ISBLANK(INDIRECT(CONCATENATE("Input!",RSE_Setup!$B$24,ROW()+1))),"",INDIRECT(CONCATENATE("Input!",RSE_Setup!$B$24,ROW()+1)))</f>
        <v>685.60937999999999</v>
      </c>
      <c r="F133" s="1">
        <f ca="1"/>
        <v>685.4036926402141</v>
      </c>
    </row>
    <row r="134" spans="1:6" x14ac:dyDescent="0.3">
      <c r="A134" s="1" cm="1">
        <f t="array" aca="1" ref="A134" ca="1">IF(ISBLANK(INDIRECT(CONCATENATE("Input!",RSE_Setup!$B$16,ROW()+1))),"",INDIRECT(CONCATENATE("Input!",RSE_Setup!$B$16,ROW()+1)))</f>
        <v>5.0000000000000001E-4</v>
      </c>
      <c r="B134" s="1" cm="1">
        <f t="array" aca="1" ref="B134" ca="1">IF(ISBLANK(INDIRECT(CONCATENATE("Input!",RSE_Setup!$B$17,ROW()+1))),"",INDIRECT(CONCATENATE("Input!",RSE_Setup!$B$17,ROW()+1)))</f>
        <v>4.7499999999999999E-3</v>
      </c>
      <c r="C134" s="1" cm="1">
        <f t="array" aca="1" ref="C134" ca="1">IF(ISBLANK(INDIRECT(CONCATENATE("Input!",RSE_Setup!$B$18,ROW()+1))),"",INDIRECT(CONCATENATE("Input!",RSE_Setup!$B$18,ROW()+1)))</f>
        <v>3.2258000000000002E-2</v>
      </c>
      <c r="D134" s="1" cm="1">
        <f t="array" aca="1" ref="D134" ca="1">IF(ISBLANK(INDIRECT(CONCATENATE("Input!",RSE_Setup!$B$19,ROW()+1))),"",INDIRECT(CONCATENATE("Input!",RSE_Setup!$B$19,ROW()+1)))</f>
        <v>9500</v>
      </c>
      <c r="E134" s="1" cm="1">
        <f t="array" aca="1" ref="E134" ca="1">IF(ISBLANK(INDIRECT(CONCATENATE("Input!",RSE_Setup!$B$24,ROW()+1))),"",INDIRECT(CONCATENATE("Input!",RSE_Setup!$B$24,ROW()+1)))</f>
        <v>596.09325799999999</v>
      </c>
      <c r="F134" s="1">
        <f ca="1"/>
        <v>589.19802760210337</v>
      </c>
    </row>
    <row r="135" spans="1:6" x14ac:dyDescent="0.3">
      <c r="A135" s="1" cm="1">
        <f t="array" aca="1" ref="A135" ca="1">IF(ISBLANK(INDIRECT(CONCATENATE("Input!",RSE_Setup!$B$16,ROW()+1))),"",INDIRECT(CONCATENATE("Input!",RSE_Setup!$B$16,ROW()+1)))</f>
        <v>5.0000000000000001E-4</v>
      </c>
      <c r="B135" s="1" cm="1">
        <f t="array" aca="1" ref="B135" ca="1">IF(ISBLANK(INDIRECT(CONCATENATE("Input!",RSE_Setup!$B$17,ROW()+1))),"",INDIRECT(CONCATENATE("Input!",RSE_Setup!$B$17,ROW()+1)))</f>
        <v>6.4999999999999997E-3</v>
      </c>
      <c r="C135" s="1" cm="1">
        <f t="array" aca="1" ref="C135" ca="1">IF(ISBLANK(INDIRECT(CONCATENATE("Input!",RSE_Setup!$B$18,ROW()+1))),"",INDIRECT(CONCATENATE("Input!",RSE_Setup!$B$18,ROW()+1)))</f>
        <v>0.13333300000000001</v>
      </c>
      <c r="D135" s="1" cm="1">
        <f t="array" aca="1" ref="D135" ca="1">IF(ISBLANK(INDIRECT(CONCATENATE("Input!",RSE_Setup!$B$19,ROW()+1))),"",INDIRECT(CONCATENATE("Input!",RSE_Setup!$B$19,ROW()+1)))</f>
        <v>4000</v>
      </c>
      <c r="E135" s="1" cm="1">
        <f t="array" aca="1" ref="E135" ca="1">IF(ISBLANK(INDIRECT(CONCATENATE("Input!",RSE_Setup!$B$24,ROW()+1))),"",INDIRECT(CONCATENATE("Input!",RSE_Setup!$B$24,ROW()+1)))</f>
        <v>464.43966999999998</v>
      </c>
      <c r="F135" s="1">
        <f ca="1"/>
        <v>465.89439446043309</v>
      </c>
    </row>
    <row r="136" spans="1:6" x14ac:dyDescent="0.3">
      <c r="A136" s="1" cm="1">
        <f t="array" aca="1" ref="A136" ca="1">IF(ISBLANK(INDIRECT(CONCATENATE("Input!",RSE_Setup!$B$16,ROW()+1))),"",INDIRECT(CONCATENATE("Input!",RSE_Setup!$B$16,ROW()+1)))</f>
        <v>5.0000000000000001E-4</v>
      </c>
      <c r="B136" s="1" cm="1">
        <f t="array" aca="1" ref="B136" ca="1">IF(ISBLANK(INDIRECT(CONCATENATE("Input!",RSE_Setup!$B$17,ROW()+1))),"",INDIRECT(CONCATENATE("Input!",RSE_Setup!$B$17,ROW()+1)))</f>
        <v>6.4999999999999997E-3</v>
      </c>
      <c r="C136" s="1" cm="1">
        <f t="array" aca="1" ref="C136" ca="1">IF(ISBLANK(INDIRECT(CONCATENATE("Input!",RSE_Setup!$B$18,ROW()+1))),"",INDIRECT(CONCATENATE("Input!",RSE_Setup!$B$18,ROW()+1)))</f>
        <v>0.111111</v>
      </c>
      <c r="D136" s="1" cm="1">
        <f t="array" aca="1" ref="D136" ca="1">IF(ISBLANK(INDIRECT(CONCATENATE("Input!",RSE_Setup!$B$19,ROW()+1))),"",INDIRECT(CONCATENATE("Input!",RSE_Setup!$B$19,ROW()+1)))</f>
        <v>3750</v>
      </c>
      <c r="E136" s="1" cm="1">
        <f t="array" aca="1" ref="E136" ca="1">IF(ISBLANK(INDIRECT(CONCATENATE("Input!",RSE_Setup!$B$24,ROW()+1))),"",INDIRECT(CONCATENATE("Input!",RSE_Setup!$B$24,ROW()+1)))</f>
        <v>391.15605499999998</v>
      </c>
      <c r="F136" s="1">
        <f ca="1"/>
        <v>395.82453387605329</v>
      </c>
    </row>
    <row r="137" spans="1:6" x14ac:dyDescent="0.3">
      <c r="A137" s="1" cm="1">
        <f t="array" aca="1" ref="A137" ca="1">IF(ISBLANK(INDIRECT(CONCATENATE("Input!",RSE_Setup!$B$16,ROW()+1))),"",INDIRECT(CONCATENATE("Input!",RSE_Setup!$B$16,ROW()+1)))</f>
        <v>5.0000000000000001E-4</v>
      </c>
      <c r="B137" s="1" cm="1">
        <f t="array" aca="1" ref="B137" ca="1">IF(ISBLANK(INDIRECT(CONCATENATE("Input!",RSE_Setup!$B$17,ROW()+1))),"",INDIRECT(CONCATENATE("Input!",RSE_Setup!$B$17,ROW()+1)))</f>
        <v>6.4999999999999997E-3</v>
      </c>
      <c r="C137" s="1" cm="1">
        <f t="array" aca="1" ref="C137" ca="1">IF(ISBLANK(INDIRECT(CONCATENATE("Input!",RSE_Setup!$B$18,ROW()+1))),"",INDIRECT(CONCATENATE("Input!",RSE_Setup!$B$18,ROW()+1)))</f>
        <v>0.111111</v>
      </c>
      <c r="D137" s="1" cm="1">
        <f t="array" aca="1" ref="D137" ca="1">IF(ISBLANK(INDIRECT(CONCATENATE("Input!",RSE_Setup!$B$19,ROW()+1))),"",INDIRECT(CONCATENATE("Input!",RSE_Setup!$B$19,ROW()+1)))</f>
        <v>4750</v>
      </c>
      <c r="E137" s="1" cm="1">
        <f t="array" aca="1" ref="E137" ca="1">IF(ISBLANK(INDIRECT(CONCATENATE("Input!",RSE_Setup!$B$24,ROW()+1))),"",INDIRECT(CONCATENATE("Input!",RSE_Setup!$B$24,ROW()+1)))</f>
        <v>493.16058099999998</v>
      </c>
      <c r="F137" s="1">
        <f ca="1"/>
        <v>488.70551107983965</v>
      </c>
    </row>
    <row r="138" spans="1:6" x14ac:dyDescent="0.3">
      <c r="A138" s="1" cm="1">
        <f t="array" aca="1" ref="A138" ca="1">IF(ISBLANK(INDIRECT(CONCATENATE("Input!",RSE_Setup!$B$16,ROW()+1))),"",INDIRECT(CONCATENATE("Input!",RSE_Setup!$B$16,ROW()+1)))</f>
        <v>5.0000000000000001E-4</v>
      </c>
      <c r="B138" s="1" cm="1">
        <f t="array" aca="1" ref="B138" ca="1">IF(ISBLANK(INDIRECT(CONCATENATE("Input!",RSE_Setup!$B$17,ROW()+1))),"",INDIRECT(CONCATENATE("Input!",RSE_Setup!$B$17,ROW()+1)))</f>
        <v>6.4999999999999997E-3</v>
      </c>
      <c r="C138" s="1" cm="1">
        <f t="array" aca="1" ref="C138" ca="1">IF(ISBLANK(INDIRECT(CONCATENATE("Input!",RSE_Setup!$B$18,ROW()+1))),"",INDIRECT(CONCATENATE("Input!",RSE_Setup!$B$18,ROW()+1)))</f>
        <v>5.5556000000000001E-2</v>
      </c>
      <c r="D138" s="1" cm="1">
        <f t="array" aca="1" ref="D138" ca="1">IF(ISBLANK(INDIRECT(CONCATENATE("Input!",RSE_Setup!$B$19,ROW()+1))),"",INDIRECT(CONCATENATE("Input!",RSE_Setup!$B$19,ROW()+1)))</f>
        <v>5500</v>
      </c>
      <c r="E138" s="1" cm="1">
        <f t="array" aca="1" ref="E138" ca="1">IF(ISBLANK(INDIRECT(CONCATENATE("Input!",RSE_Setup!$B$24,ROW()+1))),"",INDIRECT(CONCATENATE("Input!",RSE_Setup!$B$24,ROW()+1)))</f>
        <v>417.72186399999998</v>
      </c>
      <c r="F138" s="1">
        <f ca="1"/>
        <v>412.55599614496003</v>
      </c>
    </row>
    <row r="139" spans="1:6" x14ac:dyDescent="0.3">
      <c r="A139" s="1" cm="1">
        <f t="array" aca="1" ref="A139" ca="1">IF(ISBLANK(INDIRECT(CONCATENATE("Input!",RSE_Setup!$B$16,ROW()+1))),"",INDIRECT(CONCATENATE("Input!",RSE_Setup!$B$16,ROW()+1)))</f>
        <v>7.5000000000000002E-4</v>
      </c>
      <c r="B139" s="1" cm="1">
        <f t="array" aca="1" ref="B139" ca="1">IF(ISBLANK(INDIRECT(CONCATENATE("Input!",RSE_Setup!$B$17,ROW()+1))),"",INDIRECT(CONCATENATE("Input!",RSE_Setup!$B$17,ROW()+1)))</f>
        <v>4.0000000000000001E-3</v>
      </c>
      <c r="C139" s="1" cm="1">
        <f t="array" aca="1" ref="C139" ca="1">IF(ISBLANK(INDIRECT(CONCATENATE("Input!",RSE_Setup!$B$18,ROW()+1))),"",INDIRECT(CONCATENATE("Input!",RSE_Setup!$B$18,ROW()+1)))</f>
        <v>0.13333300000000001</v>
      </c>
      <c r="D139" s="1" cm="1">
        <f t="array" aca="1" ref="D139" ca="1">IF(ISBLANK(INDIRECT(CONCATENATE("Input!",RSE_Setup!$B$19,ROW()+1))),"",INDIRECT(CONCATENATE("Input!",RSE_Setup!$B$19,ROW()+1)))</f>
        <v>4000</v>
      </c>
      <c r="E139" s="1" cm="1">
        <f t="array" aca="1" ref="E139" ca="1">IF(ISBLANK(INDIRECT(CONCATENATE("Input!",RSE_Setup!$B$24,ROW()+1))),"",INDIRECT(CONCATENATE("Input!",RSE_Setup!$B$24,ROW()+1)))</f>
        <v>483.21882399999998</v>
      </c>
      <c r="F139" s="1">
        <f ca="1"/>
        <v>483.2112290253632</v>
      </c>
    </row>
    <row r="140" spans="1:6" x14ac:dyDescent="0.3">
      <c r="A140" s="1" cm="1">
        <f t="array" aca="1" ref="A140" ca="1">IF(ISBLANK(INDIRECT(CONCATENATE("Input!",RSE_Setup!$B$16,ROW()+1))),"",INDIRECT(CONCATENATE("Input!",RSE_Setup!$B$16,ROW()+1)))</f>
        <v>7.5000000000000002E-4</v>
      </c>
      <c r="B140" s="1" cm="1">
        <f t="array" aca="1" ref="B140" ca="1">IF(ISBLANK(INDIRECT(CONCATENATE("Input!",RSE_Setup!$B$17,ROW()+1))),"",INDIRECT(CONCATENATE("Input!",RSE_Setup!$B$17,ROW()+1)))</f>
        <v>4.0000000000000001E-3</v>
      </c>
      <c r="C140" s="1" cm="1">
        <f t="array" aca="1" ref="C140" ca="1">IF(ISBLANK(INDIRECT(CONCATENATE("Input!",RSE_Setup!$B$18,ROW()+1))),"",INDIRECT(CONCATENATE("Input!",RSE_Setup!$B$18,ROW()+1)))</f>
        <v>0.111111</v>
      </c>
      <c r="D140" s="1" cm="1">
        <f t="array" aca="1" ref="D140" ca="1">IF(ISBLANK(INDIRECT(CONCATENATE("Input!",RSE_Setup!$B$19,ROW()+1))),"",INDIRECT(CONCATENATE("Input!",RSE_Setup!$B$19,ROW()+1)))</f>
        <v>3750</v>
      </c>
      <c r="E140" s="1" cm="1">
        <f t="array" aca="1" ref="E140" ca="1">IF(ISBLANK(INDIRECT(CONCATENATE("Input!",RSE_Setup!$B$24,ROW()+1))),"",INDIRECT(CONCATENATE("Input!",RSE_Setup!$B$24,ROW()+1)))</f>
        <v>409.18966499999999</v>
      </c>
      <c r="F140" s="1">
        <f ca="1"/>
        <v>412.57876682055985</v>
      </c>
    </row>
    <row r="141" spans="1:6" x14ac:dyDescent="0.3">
      <c r="A141" s="1" cm="1">
        <f t="array" aca="1" ref="A141" ca="1">IF(ISBLANK(INDIRECT(CONCATENATE("Input!",RSE_Setup!$B$16,ROW()+1))),"",INDIRECT(CONCATENATE("Input!",RSE_Setup!$B$16,ROW()+1)))</f>
        <v>7.5000000000000002E-4</v>
      </c>
      <c r="B141" s="1" cm="1">
        <f t="array" aca="1" ref="B141" ca="1">IF(ISBLANK(INDIRECT(CONCATENATE("Input!",RSE_Setup!$B$17,ROW()+1))),"",INDIRECT(CONCATENATE("Input!",RSE_Setup!$B$17,ROW()+1)))</f>
        <v>4.0000000000000001E-3</v>
      </c>
      <c r="C141" s="1" cm="1">
        <f t="array" aca="1" ref="C141" ca="1">IF(ISBLANK(INDIRECT(CONCATENATE("Input!",RSE_Setup!$B$18,ROW()+1))),"",INDIRECT(CONCATENATE("Input!",RSE_Setup!$B$18,ROW()+1)))</f>
        <v>0.111111</v>
      </c>
      <c r="D141" s="1" cm="1">
        <f t="array" aca="1" ref="D141" ca="1">IF(ISBLANK(INDIRECT(CONCATENATE("Input!",RSE_Setup!$B$19,ROW()+1))),"",INDIRECT(CONCATENATE("Input!",RSE_Setup!$B$19,ROW()+1)))</f>
        <v>4750</v>
      </c>
      <c r="E141" s="1" cm="1">
        <f t="array" aca="1" ref="E141" ca="1">IF(ISBLANK(INDIRECT(CONCATENATE("Input!",RSE_Setup!$B$24,ROW()+1))),"",INDIRECT(CONCATENATE("Input!",RSE_Setup!$B$24,ROW()+1)))</f>
        <v>515.67014600000005</v>
      </c>
      <c r="F141" s="1">
        <f ca="1"/>
        <v>510.05384318830534</v>
      </c>
    </row>
    <row r="142" spans="1:6" x14ac:dyDescent="0.3">
      <c r="A142" s="1" cm="1">
        <f t="array" aca="1" ref="A142" ca="1">IF(ISBLANK(INDIRECT(CONCATENATE("Input!",RSE_Setup!$B$16,ROW()+1))),"",INDIRECT(CONCATENATE("Input!",RSE_Setup!$B$16,ROW()+1)))</f>
        <v>7.5000000000000002E-4</v>
      </c>
      <c r="B142" s="1" cm="1">
        <f t="array" aca="1" ref="B142" ca="1">IF(ISBLANK(INDIRECT(CONCATENATE("Input!",RSE_Setup!$B$17,ROW()+1))),"",INDIRECT(CONCATENATE("Input!",RSE_Setup!$B$17,ROW()+1)))</f>
        <v>4.0000000000000001E-3</v>
      </c>
      <c r="C142" s="1" cm="1">
        <f t="array" aca="1" ref="C142" ca="1">IF(ISBLANK(INDIRECT(CONCATENATE("Input!",RSE_Setup!$B$18,ROW()+1))),"",INDIRECT(CONCATENATE("Input!",RSE_Setup!$B$18,ROW()+1)))</f>
        <v>5.5556000000000001E-2</v>
      </c>
      <c r="D142" s="1" cm="1">
        <f t="array" aca="1" ref="D142" ca="1">IF(ISBLANK(INDIRECT(CONCATENATE("Input!",RSE_Setup!$B$19,ROW()+1))),"",INDIRECT(CONCATENATE("Input!",RSE_Setup!$B$19,ROW()+1)))</f>
        <v>5500</v>
      </c>
      <c r="E142" s="1" cm="1">
        <f t="array" aca="1" ref="E142" ca="1">IF(ISBLANK(INDIRECT(CONCATENATE("Input!",RSE_Setup!$B$24,ROW()+1))),"",INDIRECT(CONCATENATE("Input!",RSE_Setup!$B$24,ROW()+1)))</f>
        <v>444.67058400000002</v>
      </c>
      <c r="F142" s="1">
        <f ca="1"/>
        <v>438.81471055281077</v>
      </c>
    </row>
    <row r="143" spans="1:6" x14ac:dyDescent="0.3">
      <c r="A143" s="1" cm="1">
        <f t="array" aca="1" ref="A143" ca="1">IF(ISBLANK(INDIRECT(CONCATENATE("Input!",RSE_Setup!$B$16,ROW()+1))),"",INDIRECT(CONCATENATE("Input!",RSE_Setup!$B$16,ROW()+1)))</f>
        <v>7.5000000000000002E-4</v>
      </c>
      <c r="B143" s="1" cm="1">
        <f t="array" aca="1" ref="B143" ca="1">IF(ISBLANK(INDIRECT(CONCATENATE("Input!",RSE_Setup!$B$17,ROW()+1))),"",INDIRECT(CONCATENATE("Input!",RSE_Setup!$B$17,ROW()+1)))</f>
        <v>6.0000000000000001E-3</v>
      </c>
      <c r="C143" s="1" cm="1">
        <f t="array" aca="1" ref="C143" ca="1">IF(ISBLANK(INDIRECT(CONCATENATE("Input!",RSE_Setup!$B$18,ROW()+1))),"",INDIRECT(CONCATENATE("Input!",RSE_Setup!$B$18,ROW()+1)))</f>
        <v>0.13333300000000001</v>
      </c>
      <c r="D143" s="1" cm="1">
        <f t="array" aca="1" ref="D143" ca="1">IF(ISBLANK(INDIRECT(CONCATENATE("Input!",RSE_Setup!$B$19,ROW()+1))),"",INDIRECT(CONCATENATE("Input!",RSE_Setup!$B$19,ROW()+1)))</f>
        <v>4000</v>
      </c>
      <c r="E143" s="1" cm="1">
        <f t="array" aca="1" ref="E143" ca="1">IF(ISBLANK(INDIRECT(CONCATENATE("Input!",RSE_Setup!$B$24,ROW()+1))),"",INDIRECT(CONCATENATE("Input!",RSE_Setup!$B$24,ROW()+1)))</f>
        <v>487.59338300000002</v>
      </c>
      <c r="F143" s="1">
        <f ca="1"/>
        <v>489.13371263203373</v>
      </c>
    </row>
    <row r="144" spans="1:6" x14ac:dyDescent="0.3">
      <c r="A144" s="1" cm="1">
        <f t="array" aca="1" ref="A144" ca="1">IF(ISBLANK(INDIRECT(CONCATENATE("Input!",RSE_Setup!$B$16,ROW()+1))),"",INDIRECT(CONCATENATE("Input!",RSE_Setup!$B$16,ROW()+1)))</f>
        <v>7.5000000000000002E-4</v>
      </c>
      <c r="B144" s="1" cm="1">
        <f t="array" aca="1" ref="B144" ca="1">IF(ISBLANK(INDIRECT(CONCATENATE("Input!",RSE_Setup!$B$17,ROW()+1))),"",INDIRECT(CONCATENATE("Input!",RSE_Setup!$B$17,ROW()+1)))</f>
        <v>6.0000000000000001E-3</v>
      </c>
      <c r="C144" s="1" cm="1">
        <f t="array" aca="1" ref="C144" ca="1">IF(ISBLANK(INDIRECT(CONCATENATE("Input!",RSE_Setup!$B$18,ROW()+1))),"",INDIRECT(CONCATENATE("Input!",RSE_Setup!$B$18,ROW()+1)))</f>
        <v>0.111111</v>
      </c>
      <c r="D144" s="1" cm="1">
        <f t="array" aca="1" ref="D144" ca="1">IF(ISBLANK(INDIRECT(CONCATENATE("Input!",RSE_Setup!$B$19,ROW()+1))),"",INDIRECT(CONCATENATE("Input!",RSE_Setup!$B$19,ROW()+1)))</f>
        <v>3750</v>
      </c>
      <c r="E144" s="1" cm="1">
        <f t="array" aca="1" ref="E144" ca="1">IF(ISBLANK(INDIRECT(CONCATENATE("Input!",RSE_Setup!$B$24,ROW()+1))),"",INDIRECT(CONCATENATE("Input!",RSE_Setup!$B$24,ROW()+1)))</f>
        <v>413.35003799999998</v>
      </c>
      <c r="F144" s="1">
        <f ca="1"/>
        <v>417.83620296743288</v>
      </c>
    </row>
    <row r="145" spans="1:6" x14ac:dyDescent="0.3">
      <c r="A145" s="1" cm="1">
        <f t="array" aca="1" ref="A145" ca="1">IF(ISBLANK(INDIRECT(CONCATENATE("Input!",RSE_Setup!$B$16,ROW()+1))),"",INDIRECT(CONCATENATE("Input!",RSE_Setup!$B$16,ROW()+1)))</f>
        <v>7.5000000000000002E-4</v>
      </c>
      <c r="B145" s="1" cm="1">
        <f t="array" aca="1" ref="B145" ca="1">IF(ISBLANK(INDIRECT(CONCATENATE("Input!",RSE_Setup!$B$17,ROW()+1))),"",INDIRECT(CONCATENATE("Input!",RSE_Setup!$B$17,ROW()+1)))</f>
        <v>6.0000000000000001E-3</v>
      </c>
      <c r="C145" s="1" cm="1">
        <f t="array" aca="1" ref="C145" ca="1">IF(ISBLANK(INDIRECT(CONCATENATE("Input!",RSE_Setup!$B$18,ROW()+1))),"",INDIRECT(CONCATENATE("Input!",RSE_Setup!$B$18,ROW()+1)))</f>
        <v>0.111111</v>
      </c>
      <c r="D145" s="1" cm="1">
        <f t="array" aca="1" ref="D145" ca="1">IF(ISBLANK(INDIRECT(CONCATENATE("Input!",RSE_Setup!$B$19,ROW()+1))),"",INDIRECT(CONCATENATE("Input!",RSE_Setup!$B$19,ROW()+1)))</f>
        <v>4750</v>
      </c>
      <c r="E145" s="1" cm="1">
        <f t="array" aca="1" ref="E145" ca="1">IF(ISBLANK(INDIRECT(CONCATENATE("Input!",RSE_Setup!$B$24,ROW()+1))),"",INDIRECT(CONCATENATE("Input!",RSE_Setup!$B$24,ROW()+1)))</f>
        <v>520.82687999999996</v>
      </c>
      <c r="F145" s="1">
        <f ca="1"/>
        <v>516.26505063164632</v>
      </c>
    </row>
    <row r="146" spans="1:6" x14ac:dyDescent="0.3">
      <c r="A146" s="1" cm="1">
        <f t="array" aca="1" ref="A146" ca="1">IF(ISBLANK(INDIRECT(CONCATENATE("Input!",RSE_Setup!$B$16,ROW()+1))),"",INDIRECT(CONCATENATE("Input!",RSE_Setup!$B$16,ROW()+1)))</f>
        <v>7.5000000000000002E-4</v>
      </c>
      <c r="B146" s="1" cm="1">
        <f t="array" aca="1" ref="B146" ca="1">IF(ISBLANK(INDIRECT(CONCATENATE("Input!",RSE_Setup!$B$17,ROW()+1))),"",INDIRECT(CONCATENATE("Input!",RSE_Setup!$B$17,ROW()+1)))</f>
        <v>6.0000000000000001E-3</v>
      </c>
      <c r="C146" s="1" cm="1">
        <f t="array" aca="1" ref="C146" ca="1">IF(ISBLANK(INDIRECT(CONCATENATE("Input!",RSE_Setup!$B$18,ROW()+1))),"",INDIRECT(CONCATENATE("Input!",RSE_Setup!$B$18,ROW()+1)))</f>
        <v>5.5556000000000001E-2</v>
      </c>
      <c r="D146" s="1" cm="1">
        <f t="array" aca="1" ref="D146" ca="1">IF(ISBLANK(INDIRECT(CONCATENATE("Input!",RSE_Setup!$B$19,ROW()+1))),"",INDIRECT(CONCATENATE("Input!",RSE_Setup!$B$19,ROW()+1)))</f>
        <v>5500</v>
      </c>
      <c r="E146" s="1" cm="1">
        <f t="array" aca="1" ref="E146" ca="1">IF(ISBLANK(INDIRECT(CONCATENATE("Input!",RSE_Setup!$B$24,ROW()+1))),"",INDIRECT(CONCATENATE("Input!",RSE_Setup!$B$24,ROW()+1)))</f>
        <v>450.58042399999999</v>
      </c>
      <c r="F146" s="1">
        <f ca="1"/>
        <v>444.67473487930107</v>
      </c>
    </row>
    <row r="147" spans="1:6" x14ac:dyDescent="0.3">
      <c r="A147" s="1" cm="1">
        <f t="array" aca="1" ref="A147" ca="1">IF(ISBLANK(INDIRECT(CONCATENATE("Input!",RSE_Setup!$B$16,ROW()+1))),"",INDIRECT(CONCATENATE("Input!",RSE_Setup!$B$16,ROW()+1)))</f>
        <v>7.5000000000000002E-4</v>
      </c>
      <c r="B147" s="1" cm="1">
        <f t="array" aca="1" ref="B147" ca="1">IF(ISBLANK(INDIRECT(CONCATENATE("Input!",RSE_Setup!$B$17,ROW()+1))),"",INDIRECT(CONCATENATE("Input!",RSE_Setup!$B$17,ROW()+1)))</f>
        <v>8.0000000000000002E-3</v>
      </c>
      <c r="C147" s="1" cm="1">
        <f t="array" aca="1" ref="C147" ca="1">IF(ISBLANK(INDIRECT(CONCATENATE("Input!",RSE_Setup!$B$18,ROW()+1))),"",INDIRECT(CONCATENATE("Input!",RSE_Setup!$B$18,ROW()+1)))</f>
        <v>0.111111</v>
      </c>
      <c r="D147" s="1" cm="1">
        <f t="array" aca="1" ref="D147" ca="1">IF(ISBLANK(INDIRECT(CONCATENATE("Input!",RSE_Setup!$B$19,ROW()+1))),"",INDIRECT(CONCATENATE("Input!",RSE_Setup!$B$19,ROW()+1)))</f>
        <v>4750</v>
      </c>
      <c r="E147" s="1" cm="1">
        <f t="array" aca="1" ref="E147" ca="1">IF(ISBLANK(INDIRECT(CONCATENATE("Input!",RSE_Setup!$B$24,ROW()+1))),"",INDIRECT(CONCATENATE("Input!",RSE_Setup!$B$24,ROW()+1)))</f>
        <v>525.98087799999996</v>
      </c>
      <c r="F147" s="1">
        <f ca="1"/>
        <v>522.89411980676641</v>
      </c>
    </row>
    <row r="148" spans="1:6" x14ac:dyDescent="0.3">
      <c r="A148" s="1" cm="1">
        <f t="array" aca="1" ref="A148" ca="1">IF(ISBLANK(INDIRECT(CONCATENATE("Input!",RSE_Setup!$B$16,ROW()+1))),"",INDIRECT(CONCATENATE("Input!",RSE_Setup!$B$16,ROW()+1)))</f>
        <v>7.5000000000000002E-4</v>
      </c>
      <c r="B148" s="1" cm="1">
        <f t="array" aca="1" ref="B148" ca="1">IF(ISBLANK(INDIRECT(CONCATENATE("Input!",RSE_Setup!$B$17,ROW()+1))),"",INDIRECT(CONCATENATE("Input!",RSE_Setup!$B$17,ROW()+1)))</f>
        <v>8.0000000000000002E-3</v>
      </c>
      <c r="C148" s="1" cm="1">
        <f t="array" aca="1" ref="C148" ca="1">IF(ISBLANK(INDIRECT(CONCATENATE("Input!",RSE_Setup!$B$18,ROW()+1))),"",INDIRECT(CONCATENATE("Input!",RSE_Setup!$B$18,ROW()+1)))</f>
        <v>5.5556000000000001E-2</v>
      </c>
      <c r="D148" s="1" cm="1">
        <f t="array" aca="1" ref="D148" ca="1">IF(ISBLANK(INDIRECT(CONCATENATE("Input!",RSE_Setup!$B$19,ROW()+1))),"",INDIRECT(CONCATENATE("Input!",RSE_Setup!$B$19,ROW()+1)))</f>
        <v>5500</v>
      </c>
      <c r="E148" s="1" cm="1">
        <f t="array" aca="1" ref="E148" ca="1">IF(ISBLANK(INDIRECT(CONCATENATE("Input!",RSE_Setup!$B$24,ROW()+1))),"",INDIRECT(CONCATENATE("Input!",RSE_Setup!$B$24,ROW()+1)))</f>
        <v>456.53631300000001</v>
      </c>
      <c r="F148" s="1">
        <f ca="1"/>
        <v>450.95262093757054</v>
      </c>
    </row>
    <row r="149" spans="1:6" x14ac:dyDescent="0.3">
      <c r="A149" s="1" cm="1">
        <f t="array" aca="1" ref="A149" ca="1">IF(ISBLANK(INDIRECT(CONCATENATE("Input!",RSE_Setup!$B$16,ROW()+1))),"",INDIRECT(CONCATENATE("Input!",RSE_Setup!$B$16,ROW()+1)))</f>
        <v>1E-3</v>
      </c>
      <c r="B149" s="1" cm="1">
        <f t="array" aca="1" ref="B149" ca="1">IF(ISBLANK(INDIRECT(CONCATENATE("Input!",RSE_Setup!$B$17,ROW()+1))),"",INDIRECT(CONCATENATE("Input!",RSE_Setup!$B$17,ROW()+1)))</f>
        <v>5.0000000000000001E-3</v>
      </c>
      <c r="C149" s="1" cm="1">
        <f t="array" aca="1" ref="C149" ca="1">IF(ISBLANK(INDIRECT(CONCATENATE("Input!",RSE_Setup!$B$18,ROW()+1))),"",INDIRECT(CONCATENATE("Input!",RSE_Setup!$B$18,ROW()+1)))</f>
        <v>0.13333300000000001</v>
      </c>
      <c r="D149" s="1" cm="1">
        <f t="array" aca="1" ref="D149" ca="1">IF(ISBLANK(INDIRECT(CONCATENATE("Input!",RSE_Setup!$B$19,ROW()+1))),"",INDIRECT(CONCATENATE("Input!",RSE_Setup!$B$19,ROW()+1)))</f>
        <v>4000</v>
      </c>
      <c r="E149" s="1" cm="1">
        <f t="array" aca="1" ref="E149" ca="1">IF(ISBLANK(INDIRECT(CONCATENATE("Input!",RSE_Setup!$B$24,ROW()+1))),"",INDIRECT(CONCATENATE("Input!",RSE_Setup!$B$24,ROW()+1)))</f>
        <v>510.03079100000002</v>
      </c>
      <c r="F149" s="1">
        <f ca="1"/>
        <v>511.35779494407257</v>
      </c>
    </row>
    <row r="150" spans="1:6" x14ac:dyDescent="0.3">
      <c r="A150" s="1" cm="1">
        <f t="array" aca="1" ref="A150" ca="1">IF(ISBLANK(INDIRECT(CONCATENATE("Input!",RSE_Setup!$B$16,ROW()+1))),"",INDIRECT(CONCATENATE("Input!",RSE_Setup!$B$16,ROW()+1)))</f>
        <v>1E-3</v>
      </c>
      <c r="B150" s="1" cm="1">
        <f t="array" aca="1" ref="B150" ca="1">IF(ISBLANK(INDIRECT(CONCATENATE("Input!",RSE_Setup!$B$17,ROW()+1))),"",INDIRECT(CONCATENATE("Input!",RSE_Setup!$B$17,ROW()+1)))</f>
        <v>5.0000000000000001E-3</v>
      </c>
      <c r="C150" s="1" cm="1">
        <f t="array" aca="1" ref="C150" ca="1">IF(ISBLANK(INDIRECT(CONCATENATE("Input!",RSE_Setup!$B$18,ROW()+1))),"",INDIRECT(CONCATENATE("Input!",RSE_Setup!$B$18,ROW()+1)))</f>
        <v>0.111111</v>
      </c>
      <c r="D150" s="1" cm="1">
        <f t="array" aca="1" ref="D150" ca="1">IF(ISBLANK(INDIRECT(CONCATENATE("Input!",RSE_Setup!$B$19,ROW()+1))),"",INDIRECT(CONCATENATE("Input!",RSE_Setup!$B$19,ROW()+1)))</f>
        <v>3750</v>
      </c>
      <c r="E150" s="1" cm="1">
        <f t="array" aca="1" ref="E150" ca="1">IF(ISBLANK(INDIRECT(CONCATENATE("Input!",RSE_Setup!$B$24,ROW()+1))),"",INDIRECT(CONCATENATE("Input!",RSE_Setup!$B$24,ROW()+1)))</f>
        <v>434.75755800000002</v>
      </c>
      <c r="F150" s="1">
        <f ca="1"/>
        <v>438.99889806420003</v>
      </c>
    </row>
    <row r="151" spans="1:6" x14ac:dyDescent="0.3">
      <c r="A151" s="1" cm="1">
        <f t="array" aca="1" ref="A151" ca="1">IF(ISBLANK(INDIRECT(CONCATENATE("Input!",RSE_Setup!$B$16,ROW()+1))),"",INDIRECT(CONCATENATE("Input!",RSE_Setup!$B$16,ROW()+1)))</f>
        <v>1E-3</v>
      </c>
      <c r="B151" s="1" cm="1">
        <f t="array" aca="1" ref="B151" ca="1">IF(ISBLANK(INDIRECT(CONCATENATE("Input!",RSE_Setup!$B$17,ROW()+1))),"",INDIRECT(CONCATENATE("Input!",RSE_Setup!$B$17,ROW()+1)))</f>
        <v>5.0000000000000001E-3</v>
      </c>
      <c r="C151" s="1" cm="1">
        <f t="array" aca="1" ref="C151" ca="1">IF(ISBLANK(INDIRECT(CONCATENATE("Input!",RSE_Setup!$B$18,ROW()+1))),"",INDIRECT(CONCATENATE("Input!",RSE_Setup!$B$18,ROW()+1)))</f>
        <v>0.111111</v>
      </c>
      <c r="D151" s="1" cm="1">
        <f t="array" aca="1" ref="D151" ca="1">IF(ISBLANK(INDIRECT(CONCATENATE("Input!",RSE_Setup!$B$19,ROW()+1))),"",INDIRECT(CONCATENATE("Input!",RSE_Setup!$B$19,ROW()+1)))</f>
        <v>4750</v>
      </c>
      <c r="E151" s="1" cm="1">
        <f t="array" aca="1" ref="E151" ca="1">IF(ISBLANK(INDIRECT(CONCATENATE("Input!",RSE_Setup!$B$24,ROW()+1))),"",INDIRECT(CONCATENATE("Input!",RSE_Setup!$B$24,ROW()+1)))</f>
        <v>547.26393700000006</v>
      </c>
      <c r="F151" s="1">
        <f ca="1"/>
        <v>542.73717336472339</v>
      </c>
    </row>
    <row r="152" spans="1:6" x14ac:dyDescent="0.3">
      <c r="A152" s="1" cm="1">
        <f t="array" aca="1" ref="A152" ca="1">IF(ISBLANK(INDIRECT(CONCATENATE("Input!",RSE_Setup!$B$16,ROW()+1))),"",INDIRECT(CONCATENATE("Input!",RSE_Setup!$B$16,ROW()+1)))</f>
        <v>1E-3</v>
      </c>
      <c r="B152" s="1" cm="1">
        <f t="array" aca="1" ref="B152" ca="1">IF(ISBLANK(INDIRECT(CONCATENATE("Input!",RSE_Setup!$B$17,ROW()+1))),"",INDIRECT(CONCATENATE("Input!",RSE_Setup!$B$17,ROW()+1)))</f>
        <v>5.0000000000000001E-3</v>
      </c>
      <c r="C152" s="1" cm="1">
        <f t="array" aca="1" ref="C152" ca="1">IF(ISBLANK(INDIRECT(CONCATENATE("Input!",RSE_Setup!$B$18,ROW()+1))),"",INDIRECT(CONCATENATE("Input!",RSE_Setup!$B$18,ROW()+1)))</f>
        <v>5.5556000000000001E-2</v>
      </c>
      <c r="D152" s="1" cm="1">
        <f t="array" aca="1" ref="D152" ca="1">IF(ISBLANK(INDIRECT(CONCATENATE("Input!",RSE_Setup!$B$19,ROW()+1))),"",INDIRECT(CONCATENATE("Input!",RSE_Setup!$B$19,ROW()+1)))</f>
        <v>5500</v>
      </c>
      <c r="E152" s="1" cm="1">
        <f t="array" aca="1" ref="E152" ca="1">IF(ISBLANK(INDIRECT(CONCATENATE("Input!",RSE_Setup!$B$24,ROW()+1))),"",INDIRECT(CONCATENATE("Input!",RSE_Setup!$B$24,ROW()+1)))</f>
        <v>482.54562099999998</v>
      </c>
      <c r="F152" s="1">
        <f ca="1"/>
        <v>475.79385257412525</v>
      </c>
    </row>
    <row r="153" spans="1:6" x14ac:dyDescent="0.3">
      <c r="A153" s="1" cm="1">
        <f t="array" aca="1" ref="A153" ca="1">IF(ISBLANK(INDIRECT(CONCATENATE("Input!",RSE_Setup!$B$16,ROW()+1))),"",INDIRECT(CONCATENATE("Input!",RSE_Setup!$B$16,ROW()+1)))</f>
        <v>1E-3</v>
      </c>
      <c r="B153" s="1" cm="1">
        <f t="array" aca="1" ref="B153" ca="1">IF(ISBLANK(INDIRECT(CONCATENATE("Input!",RSE_Setup!$B$17,ROW()+1))),"",INDIRECT(CONCATENATE("Input!",RSE_Setup!$B$17,ROW()+1)))</f>
        <v>6.4999999999999997E-3</v>
      </c>
      <c r="C153" s="1" cm="1">
        <f t="array" aca="1" ref="C153" ca="1">IF(ISBLANK(INDIRECT(CONCATENATE("Input!",RSE_Setup!$B$18,ROW()+1))),"",INDIRECT(CONCATENATE("Input!",RSE_Setup!$B$18,ROW()+1)))</f>
        <v>0.13333300000000001</v>
      </c>
      <c r="D153" s="1" cm="1">
        <f t="array" aca="1" ref="D153" ca="1">IF(ISBLANK(INDIRECT(CONCATENATE("Input!",RSE_Setup!$B$19,ROW()+1))),"",INDIRECT(CONCATENATE("Input!",RSE_Setup!$B$19,ROW()+1)))</f>
        <v>4000</v>
      </c>
      <c r="E153" s="1" cm="1">
        <f t="array" aca="1" ref="E153" ca="1">IF(ISBLANK(INDIRECT(CONCATENATE("Input!",RSE_Setup!$B$24,ROW()+1))),"",INDIRECT(CONCATENATE("Input!",RSE_Setup!$B$24,ROW()+1)))</f>
        <v>513.38214900000003</v>
      </c>
      <c r="F153" s="1">
        <f ca="1"/>
        <v>516.05417269363136</v>
      </c>
    </row>
    <row r="154" spans="1:6" x14ac:dyDescent="0.3">
      <c r="A154" s="1" cm="1">
        <f t="array" aca="1" ref="A154" ca="1">IF(ISBLANK(INDIRECT(CONCATENATE("Input!",RSE_Setup!$B$16,ROW()+1))),"",INDIRECT(CONCATENATE("Input!",RSE_Setup!$B$16,ROW()+1)))</f>
        <v>1E-3</v>
      </c>
      <c r="B154" s="1" cm="1">
        <f t="array" aca="1" ref="B154" ca="1">IF(ISBLANK(INDIRECT(CONCATENATE("Input!",RSE_Setup!$B$17,ROW()+1))),"",INDIRECT(CONCATENATE("Input!",RSE_Setup!$B$17,ROW()+1)))</f>
        <v>6.4999999999999997E-3</v>
      </c>
      <c r="C154" s="1" cm="1">
        <f t="array" aca="1" ref="C154" ca="1">IF(ISBLANK(INDIRECT(CONCATENATE("Input!",RSE_Setup!$B$18,ROW()+1))),"",INDIRECT(CONCATENATE("Input!",RSE_Setup!$B$18,ROW()+1)))</f>
        <v>0.111111</v>
      </c>
      <c r="D154" s="1" cm="1">
        <f t="array" aca="1" ref="D154" ca="1">IF(ISBLANK(INDIRECT(CONCATENATE("Input!",RSE_Setup!$B$19,ROW()+1))),"",INDIRECT(CONCATENATE("Input!",RSE_Setup!$B$19,ROW()+1)))</f>
        <v>3750</v>
      </c>
      <c r="E154" s="1" cm="1">
        <f t="array" aca="1" ref="E154" ca="1">IF(ISBLANK(INDIRECT(CONCATENATE("Input!",RSE_Setup!$B$24,ROW()+1))),"",INDIRECT(CONCATENATE("Input!",RSE_Setup!$B$24,ROW()+1)))</f>
        <v>437.92311100000001</v>
      </c>
      <c r="F154" s="1">
        <f ca="1"/>
        <v>443.19649021891053</v>
      </c>
    </row>
    <row r="155" spans="1:6" x14ac:dyDescent="0.3">
      <c r="A155" s="1" cm="1">
        <f t="array" aca="1" ref="A155" ca="1">IF(ISBLANK(INDIRECT(CONCATENATE("Input!",RSE_Setup!$B$16,ROW()+1))),"",INDIRECT(CONCATENATE("Input!",RSE_Setup!$B$16,ROW()+1)))</f>
        <v>1E-3</v>
      </c>
      <c r="B155" s="1" cm="1">
        <f t="array" aca="1" ref="B155" ca="1">IF(ISBLANK(INDIRECT(CONCATENATE("Input!",RSE_Setup!$B$17,ROW()+1))),"",INDIRECT(CONCATENATE("Input!",RSE_Setup!$B$17,ROW()+1)))</f>
        <v>6.4999999999999997E-3</v>
      </c>
      <c r="C155" s="1" cm="1">
        <f t="array" aca="1" ref="C155" ca="1">IF(ISBLANK(INDIRECT(CONCATENATE("Input!",RSE_Setup!$B$18,ROW()+1))),"",INDIRECT(CONCATENATE("Input!",RSE_Setup!$B$18,ROW()+1)))</f>
        <v>0.111111</v>
      </c>
      <c r="D155" s="1" cm="1">
        <f t="array" aca="1" ref="D155" ca="1">IF(ISBLANK(INDIRECT(CONCATENATE("Input!",RSE_Setup!$B$19,ROW()+1))),"",INDIRECT(CONCATENATE("Input!",RSE_Setup!$B$19,ROW()+1)))</f>
        <v>4750</v>
      </c>
      <c r="E155" s="1" cm="1">
        <f t="array" aca="1" ref="E155" ca="1">IF(ISBLANK(INDIRECT(CONCATENATE("Input!",RSE_Setup!$B$24,ROW()+1))),"",INDIRECT(CONCATENATE("Input!",RSE_Setup!$B$24,ROW()+1)))</f>
        <v>551.22498800000005</v>
      </c>
      <c r="F155" s="1">
        <f ca="1"/>
        <v>547.65009399178496</v>
      </c>
    </row>
    <row r="156" spans="1:6" x14ac:dyDescent="0.3">
      <c r="A156" s="1" cm="1">
        <f t="array" aca="1" ref="A156" ca="1">IF(ISBLANK(INDIRECT(CONCATENATE("Input!",RSE_Setup!$B$16,ROW()+1))),"",INDIRECT(CONCATENATE("Input!",RSE_Setup!$B$16,ROW()+1)))</f>
        <v>1E-3</v>
      </c>
      <c r="B156" s="1" cm="1">
        <f t="array" aca="1" ref="B156" ca="1">IF(ISBLANK(INDIRECT(CONCATENATE("Input!",RSE_Setup!$B$17,ROW()+1))),"",INDIRECT(CONCATENATE("Input!",RSE_Setup!$B$17,ROW()+1)))</f>
        <v>6.4999999999999997E-3</v>
      </c>
      <c r="C156" s="1" cm="1">
        <f t="array" aca="1" ref="C156" ca="1">IF(ISBLANK(INDIRECT(CONCATENATE("Input!",RSE_Setup!$B$18,ROW()+1))),"",INDIRECT(CONCATENATE("Input!",RSE_Setup!$B$18,ROW()+1)))</f>
        <v>5.5556000000000001E-2</v>
      </c>
      <c r="D156" s="1" cm="1">
        <f t="array" aca="1" ref="D156" ca="1">IF(ISBLANK(INDIRECT(CONCATENATE("Input!",RSE_Setup!$B$19,ROW()+1))),"",INDIRECT(CONCATENATE("Input!",RSE_Setup!$B$19,ROW()+1)))</f>
        <v>5500</v>
      </c>
      <c r="E156" s="1" cm="1">
        <f t="array" aca="1" ref="E156" ca="1">IF(ISBLANK(INDIRECT(CONCATENATE("Input!",RSE_Setup!$B$24,ROW()+1))),"",INDIRECT(CONCATENATE("Input!",RSE_Setup!$B$24,ROW()+1)))</f>
        <v>487.07338199999998</v>
      </c>
      <c r="F156" s="1">
        <f ca="1"/>
        <v>480.44338586354883</v>
      </c>
    </row>
    <row r="157" spans="1:6" x14ac:dyDescent="0.3">
      <c r="A157" s="1" cm="1">
        <f t="array" aca="1" ref="A157" ca="1">IF(ISBLANK(INDIRECT(CONCATENATE("Input!",RSE_Setup!$B$16,ROW()+1))),"",INDIRECT(CONCATENATE("Input!",RSE_Setup!$B$16,ROW()+1)))</f>
        <v>1E-3</v>
      </c>
      <c r="B157" s="1" cm="1">
        <f t="array" aca="1" ref="B157" ca="1">IF(ISBLANK(INDIRECT(CONCATENATE("Input!",RSE_Setup!$B$17,ROW()+1))),"",INDIRECT(CONCATENATE("Input!",RSE_Setup!$B$17,ROW()+1)))</f>
        <v>8.0000000000000002E-3</v>
      </c>
      <c r="C157" s="1" cm="1">
        <f t="array" aca="1" ref="C157" ca="1">IF(ISBLANK(INDIRECT(CONCATENATE("Input!",RSE_Setup!$B$18,ROW()+1))),"",INDIRECT(CONCATENATE("Input!",RSE_Setup!$B$18,ROW()+1)))</f>
        <v>0.111111</v>
      </c>
      <c r="D157" s="1" cm="1">
        <f t="array" aca="1" ref="D157" ca="1">IF(ISBLANK(INDIRECT(CONCATENATE("Input!",RSE_Setup!$B$19,ROW()+1))),"",INDIRECT(CONCATENATE("Input!",RSE_Setup!$B$19,ROW()+1)))</f>
        <v>4750</v>
      </c>
      <c r="E157" s="1" cm="1">
        <f t="array" aca="1" ref="E157" ca="1">IF(ISBLANK(INDIRECT(CONCATENATE("Input!",RSE_Setup!$B$24,ROW()+1))),"",INDIRECT(CONCATENATE("Input!",RSE_Setup!$B$24,ROW()+1)))</f>
        <v>555.22423900000001</v>
      </c>
      <c r="F157" s="1">
        <f ca="1"/>
        <v>552.79806184297229</v>
      </c>
    </row>
    <row r="158" spans="1:6" x14ac:dyDescent="0.3">
      <c r="A158" s="1" cm="1">
        <f t="array" aca="1" ref="A158" ca="1">IF(ISBLANK(INDIRECT(CONCATENATE("Input!",RSE_Setup!$B$16,ROW()+1))),"",INDIRECT(CONCATENATE("Input!",RSE_Setup!$B$16,ROW()+1)))</f>
        <v>1E-3</v>
      </c>
      <c r="B158" s="1" cm="1">
        <f t="array" aca="1" ref="B158" ca="1">IF(ISBLANK(INDIRECT(CONCATENATE("Input!",RSE_Setup!$B$17,ROW()+1))),"",INDIRECT(CONCATENATE("Input!",RSE_Setup!$B$17,ROW()+1)))</f>
        <v>8.0000000000000002E-3</v>
      </c>
      <c r="C158" s="1" cm="1">
        <f t="array" aca="1" ref="C158" ca="1">IF(ISBLANK(INDIRECT(CONCATENATE("Input!",RSE_Setup!$B$18,ROW()+1))),"",INDIRECT(CONCATENATE("Input!",RSE_Setup!$B$18,ROW()+1)))</f>
        <v>5.5556000000000001E-2</v>
      </c>
      <c r="D158" s="1" cm="1">
        <f t="array" aca="1" ref="D158" ca="1">IF(ISBLANK(INDIRECT(CONCATENATE("Input!",RSE_Setup!$B$19,ROW()+1))),"",INDIRECT(CONCATENATE("Input!",RSE_Setup!$B$19,ROW()+1)))</f>
        <v>5500</v>
      </c>
      <c r="E158" s="1" cm="1">
        <f t="array" aca="1" ref="E158" ca="1">IF(ISBLANK(INDIRECT(CONCATENATE("Input!",RSE_Setup!$B$24,ROW()+1))),"",INDIRECT(CONCATENATE("Input!",RSE_Setup!$B$24,ROW()+1)))</f>
        <v>491.63610399999999</v>
      </c>
      <c r="F158" s="1">
        <f ca="1"/>
        <v>485.32796637709822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51AA-C49F-48FA-B596-C5169FC65933}">
  <sheetPr codeName="Sheet5"/>
  <dimension ref="A1:G158"/>
  <sheetViews>
    <sheetView workbookViewId="0"/>
  </sheetViews>
  <sheetFormatPr defaultRowHeight="14.4" x14ac:dyDescent="0.3"/>
  <cols>
    <col min="1" max="2" width="8" style="1" bestFit="1" customWidth="1"/>
    <col min="3" max="3" width="9" style="1" bestFit="1" customWidth="1"/>
    <col min="4" max="4" width="6" style="1" bestFit="1" customWidth="1"/>
    <col min="5" max="5" width="11" style="1" bestFit="1" customWidth="1"/>
    <col min="6" max="6" width="12" style="1" bestFit="1" customWidth="1"/>
  </cols>
  <sheetData>
    <row r="1" spans="1:7" x14ac:dyDescent="0.3">
      <c r="A1" s="1" t="s">
        <v>32</v>
      </c>
      <c r="B1" s="1" t="s">
        <v>33</v>
      </c>
      <c r="C1" s="1" t="s">
        <v>34</v>
      </c>
      <c r="D1" s="1" t="s">
        <v>35</v>
      </c>
      <c r="E1" s="1" t="s">
        <v>36</v>
      </c>
      <c r="F1" s="1" t="s">
        <v>298</v>
      </c>
      <c r="G1" t="s">
        <v>16</v>
      </c>
    </row>
    <row r="2" spans="1:7" x14ac:dyDescent="0.3">
      <c r="A2" s="1" cm="1">
        <f t="array" aca="1" ref="A2" ca="1">IF(ISBLANK(INDIRECT(CONCATENATE("Input!",RSE_Setup!$B$16,ROW()+1))),"",INDIRECT(CONCATENATE("Input!",RSE_Setup!$B$16,ROW()+1)))</f>
        <v>5.0000000000000001E-4</v>
      </c>
      <c r="B2" s="1" cm="1">
        <f t="array" aca="1" ref="B2" ca="1">IF(ISBLANK(INDIRECT(CONCATENATE("Input!",RSE_Setup!$B$17,ROW()+1))),"",INDIRECT(CONCATENATE("Input!",RSE_Setup!$B$17,ROW()+1)))</f>
        <v>3.0000000000000001E-3</v>
      </c>
      <c r="C2" s="1" cm="1">
        <f t="array" aca="1" ref="C2" ca="1">IF(ISBLANK(INDIRECT(CONCATENATE("Input!",RSE_Setup!$B$18,ROW()+1))),"",INDIRECT(CONCATENATE("Input!",RSE_Setup!$B$18,ROW()+1)))</f>
        <v>3.2258000000000002E-2</v>
      </c>
      <c r="D2" s="1" cm="1">
        <f t="array" aca="1" ref="D2" ca="1">IF(ISBLANK(INDIRECT(CONCATENATE("Input!",RSE_Setup!$B$19,ROW()+1))),"",INDIRECT(CONCATENATE("Input!",RSE_Setup!$B$19,ROW()+1)))</f>
        <v>3250</v>
      </c>
      <c r="E2" s="1" cm="1">
        <f t="array" aca="1" ref="E2" ca="1">IF(ISBLANK(INDIRECT(CONCATENATE("Input!",RSE_Setup!$B$25,ROW()+1))),"",INDIRECT(CONCATENATE("Input!",RSE_Setup!$B$25,ROW()+1)))</f>
        <v>184.308471</v>
      </c>
      <c r="F2" s="1" cm="1">
        <f t="array" aca="1" ref="F2:F158" ca="1">(9.00797476636319 + 0 * 1 + -2019.76398586498 * RLHP20 + -2416.70268626943 * RLHP60 + 62.275562896535 * HP_ETW + 0.0308315156760475 * ETW + 2857738.93601827 * RLHP20^2 + 456824.02627695 * RLHP20 * RLHP60 + -25035.1498519332 * RLHP20 * HP_ETW + 14.1908401563173 * RLHP20 * ETW + 414230.462753052 * RLHP60^2 + -21320.2130940235 * RLHP60 * HP_ETW + 3.40528272479353 * RLHP60 * ETW + 1883.86612618884 * HP_ETW^2 + 0.198661778525962 * HP_ETW * ETW + -9.99127678369404E-08 * ETW^2)</f>
        <v>183.61401326079456</v>
      </c>
      <c r="G2" t="s">
        <v>304</v>
      </c>
    </row>
    <row r="3" spans="1:7" x14ac:dyDescent="0.3">
      <c r="A3" s="1" cm="1">
        <f t="array" aca="1" ref="A3" ca="1">IF(ISBLANK(INDIRECT(CONCATENATE("Input!",RSE_Setup!$B$16,ROW()+1))),"",INDIRECT(CONCATENATE("Input!",RSE_Setup!$B$16,ROW()+1)))</f>
        <v>5.0000000000000001E-4</v>
      </c>
      <c r="B3" s="1" cm="1">
        <f t="array" aca="1" ref="B3" ca="1">IF(ISBLANK(INDIRECT(CONCATENATE("Input!",RSE_Setup!$B$17,ROW()+1))),"",INDIRECT(CONCATENATE("Input!",RSE_Setup!$B$17,ROW()+1)))</f>
        <v>3.0000000000000001E-3</v>
      </c>
      <c r="C3" s="1" cm="1">
        <f t="array" aca="1" ref="C3" ca="1">IF(ISBLANK(INDIRECT(CONCATENATE("Input!",RSE_Setup!$B$18,ROW()+1))),"",INDIRECT(CONCATENATE("Input!",RSE_Setup!$B$18,ROW()+1)))</f>
        <v>3.2258000000000002E-2</v>
      </c>
      <c r="D3" s="1" cm="1">
        <f t="array" aca="1" ref="D3" ca="1">IF(ISBLANK(INDIRECT(CONCATENATE("Input!",RSE_Setup!$B$19,ROW()+1))),"",INDIRECT(CONCATENATE("Input!",RSE_Setup!$B$19,ROW()+1)))</f>
        <v>4250</v>
      </c>
      <c r="E3" s="1" cm="1">
        <f t="array" aca="1" ref="E3" ca="1">IF(ISBLANK(INDIRECT(CONCATENATE("Input!",RSE_Setup!$B$25,ROW()+1))),"",INDIRECT(CONCATENATE("Input!",RSE_Setup!$B$25,ROW()+1)))</f>
        <v>234.70326399999999</v>
      </c>
      <c r="F3" s="1">
        <f ca="1"/>
        <v>237.41588308229473</v>
      </c>
    </row>
    <row r="4" spans="1:7" x14ac:dyDescent="0.3">
      <c r="A4" s="1" cm="1">
        <f t="array" aca="1" ref="A4" ca="1">IF(ISBLANK(INDIRECT(CONCATENATE("Input!",RSE_Setup!$B$16,ROW()+1))),"",INDIRECT(CONCATENATE("Input!",RSE_Setup!$B$16,ROW()+1)))</f>
        <v>5.0000000000000001E-4</v>
      </c>
      <c r="B4" s="1" cm="1">
        <f t="array" aca="1" ref="B4" ca="1">IF(ISBLANK(INDIRECT(CONCATENATE("Input!",RSE_Setup!$B$17,ROW()+1))),"",INDIRECT(CONCATENATE("Input!",RSE_Setup!$B$17,ROW()+1)))</f>
        <v>4.7499999999999999E-3</v>
      </c>
      <c r="C4" s="1" cm="1">
        <f t="array" aca="1" ref="C4" ca="1">IF(ISBLANK(INDIRECT(CONCATENATE("Input!",RSE_Setup!$B$18,ROW()+1))),"",INDIRECT(CONCATENATE("Input!",RSE_Setup!$B$18,ROW()+1)))</f>
        <v>3.2258000000000002E-2</v>
      </c>
      <c r="D4" s="1" cm="1">
        <f t="array" aca="1" ref="D4" ca="1">IF(ISBLANK(INDIRECT(CONCATENATE("Input!",RSE_Setup!$B$19,ROW()+1))),"",INDIRECT(CONCATENATE("Input!",RSE_Setup!$B$19,ROW()+1)))</f>
        <v>3250</v>
      </c>
      <c r="E4" s="1" cm="1">
        <f t="array" aca="1" ref="E4" ca="1">IF(ISBLANK(INDIRECT(CONCATENATE("Input!",RSE_Setup!$B$25,ROW()+1))),"",INDIRECT(CONCATENATE("Input!",RSE_Setup!$B$25,ROW()+1)))</f>
        <v>203.81251900000001</v>
      </c>
      <c r="F4" s="1">
        <f ca="1"/>
        <v>203.5664927216896</v>
      </c>
    </row>
    <row r="5" spans="1:7" x14ac:dyDescent="0.3">
      <c r="A5" s="1" cm="1">
        <f t="array" aca="1" ref="A5" ca="1">IF(ISBLANK(INDIRECT(CONCATENATE("Input!",RSE_Setup!$B$16,ROW()+1))),"",INDIRECT(CONCATENATE("Input!",RSE_Setup!$B$16,ROW()+1)))</f>
        <v>5.0000000000000001E-4</v>
      </c>
      <c r="B5" s="1" cm="1">
        <f t="array" aca="1" ref="B5" ca="1">IF(ISBLANK(INDIRECT(CONCATENATE("Input!",RSE_Setup!$B$17,ROW()+1))),"",INDIRECT(CONCATENATE("Input!",RSE_Setup!$B$17,ROW()+1)))</f>
        <v>4.7499999999999999E-3</v>
      </c>
      <c r="C5" s="1" cm="1">
        <f t="array" aca="1" ref="C5" ca="1">IF(ISBLANK(INDIRECT(CONCATENATE("Input!",RSE_Setup!$B$18,ROW()+1))),"",INDIRECT(CONCATENATE("Input!",RSE_Setup!$B$18,ROW()+1)))</f>
        <v>3.2258000000000002E-2</v>
      </c>
      <c r="D5" s="1" cm="1">
        <f t="array" aca="1" ref="D5" ca="1">IF(ISBLANK(INDIRECT(CONCATENATE("Input!",RSE_Setup!$B$19,ROW()+1))),"",INDIRECT(CONCATENATE("Input!",RSE_Setup!$B$19,ROW()+1)))</f>
        <v>4250</v>
      </c>
      <c r="E5" s="1" cm="1">
        <f t="array" aca="1" ref="E5" ca="1">IF(ISBLANK(INDIRECT(CONCATENATE("Input!",RSE_Setup!$B$25,ROW()+1))),"",INDIRECT(CONCATENATE("Input!",RSE_Setup!$B$25,ROW()+1)))</f>
        <v>260.27217999999999</v>
      </c>
      <c r="F5" s="1">
        <f ca="1"/>
        <v>263.32760731157845</v>
      </c>
    </row>
    <row r="6" spans="1:7" x14ac:dyDescent="0.3">
      <c r="A6" s="1" cm="1">
        <f t="array" aca="1" ref="A6" ca="1">IF(ISBLANK(INDIRECT(CONCATENATE("Input!",RSE_Setup!$B$16,ROW()+1))),"",INDIRECT(CONCATENATE("Input!",RSE_Setup!$B$16,ROW()+1)))</f>
        <v>5.0000000000000001E-4</v>
      </c>
      <c r="B6" s="1" cm="1">
        <f t="array" aca="1" ref="B6" ca="1">IF(ISBLANK(INDIRECT(CONCATENATE("Input!",RSE_Setup!$B$17,ROW()+1))),"",INDIRECT(CONCATENATE("Input!",RSE_Setup!$B$17,ROW()+1)))</f>
        <v>6.4999999999999997E-3</v>
      </c>
      <c r="C6" s="1" cm="1">
        <f t="array" aca="1" ref="C6" ca="1">IF(ISBLANK(INDIRECT(CONCATENATE("Input!",RSE_Setup!$B$18,ROW()+1))),"",INDIRECT(CONCATENATE("Input!",RSE_Setup!$B$18,ROW()+1)))</f>
        <v>3.2258000000000002E-2</v>
      </c>
      <c r="D6" s="1" cm="1">
        <f t="array" aca="1" ref="D6" ca="1">IF(ISBLANK(INDIRECT(CONCATENATE("Input!",RSE_Setup!$B$19,ROW()+1))),"",INDIRECT(CONCATENATE("Input!",RSE_Setup!$B$19,ROW()+1)))</f>
        <v>3250</v>
      </c>
      <c r="E6" s="1" cm="1">
        <f t="array" aca="1" ref="E6" ca="1">IF(ISBLANK(INDIRECT(CONCATENATE("Input!",RSE_Setup!$B$25,ROW()+1))),"",INDIRECT(CONCATENATE("Input!",RSE_Setup!$B$25,ROW()+1)))</f>
        <v>224.11834300000001</v>
      </c>
      <c r="F6" s="1">
        <f ca="1"/>
        <v>226.05613376694706</v>
      </c>
    </row>
    <row r="7" spans="1:7" x14ac:dyDescent="0.3">
      <c r="A7" s="1" cm="1">
        <f t="array" aca="1" ref="A7" ca="1">IF(ISBLANK(INDIRECT(CONCATENATE("Input!",RSE_Setup!$B$16,ROW()+1))),"",INDIRECT(CONCATENATE("Input!",RSE_Setup!$B$16,ROW()+1)))</f>
        <v>5.0000000000000001E-4</v>
      </c>
      <c r="B7" s="1" cm="1">
        <f t="array" aca="1" ref="B7" ca="1">IF(ISBLANK(INDIRECT(CONCATENATE("Input!",RSE_Setup!$B$17,ROW()+1))),"",INDIRECT(CONCATENATE("Input!",RSE_Setup!$B$17,ROW()+1)))</f>
        <v>6.4999999999999997E-3</v>
      </c>
      <c r="C7" s="1" cm="1">
        <f t="array" aca="1" ref="C7" ca="1">IF(ISBLANK(INDIRECT(CONCATENATE("Input!",RSE_Setup!$B$18,ROW()+1))),"",INDIRECT(CONCATENATE("Input!",RSE_Setup!$B$18,ROW()+1)))</f>
        <v>3.2258000000000002E-2</v>
      </c>
      <c r="D7" s="1" cm="1">
        <f t="array" aca="1" ref="D7" ca="1">IF(ISBLANK(INDIRECT(CONCATENATE("Input!",RSE_Setup!$B$19,ROW()+1))),"",INDIRECT(CONCATENATE("Input!",RSE_Setup!$B$19,ROW()+1)))</f>
        <v>4250</v>
      </c>
      <c r="E7" s="1" cm="1">
        <f t="array" aca="1" ref="E7" ca="1">IF(ISBLANK(INDIRECT(CONCATENATE("Input!",RSE_Setup!$B$25,ROW()+1))),"",INDIRECT(CONCATENATE("Input!",RSE_Setup!$B$25,ROW()+1)))</f>
        <v>288.26369899999997</v>
      </c>
      <c r="F7" s="1">
        <f ca="1"/>
        <v>291.77649312522459</v>
      </c>
    </row>
    <row r="8" spans="1:7" x14ac:dyDescent="0.3">
      <c r="A8" s="1" cm="1">
        <f t="array" aca="1" ref="A8" ca="1">IF(ISBLANK(INDIRECT(CONCATENATE("Input!",RSE_Setup!$B$16,ROW()+1))),"",INDIRECT(CONCATENATE("Input!",RSE_Setup!$B$16,ROW()+1)))</f>
        <v>7.5000000000000002E-4</v>
      </c>
      <c r="B8" s="1" cm="1">
        <f t="array" aca="1" ref="B8" ca="1">IF(ISBLANK(INDIRECT(CONCATENATE("Input!",RSE_Setup!$B$17,ROW()+1))),"",INDIRECT(CONCATENATE("Input!",RSE_Setup!$B$17,ROW()+1)))</f>
        <v>4.0000000000000001E-3</v>
      </c>
      <c r="C8" s="1" cm="1">
        <f t="array" aca="1" ref="C8" ca="1">IF(ISBLANK(INDIRECT(CONCATENATE("Input!",RSE_Setup!$B$18,ROW()+1))),"",INDIRECT(CONCATENATE("Input!",RSE_Setup!$B$18,ROW()+1)))</f>
        <v>3.2258000000000002E-2</v>
      </c>
      <c r="D8" s="1" cm="1">
        <f t="array" aca="1" ref="D8" ca="1">IF(ISBLANK(INDIRECT(CONCATENATE("Input!",RSE_Setup!$B$19,ROW()+1))),"",INDIRECT(CONCATENATE("Input!",RSE_Setup!$B$19,ROW()+1)))</f>
        <v>3250</v>
      </c>
      <c r="E8" s="1" cm="1">
        <f t="array" aca="1" ref="E8" ca="1">IF(ISBLANK(INDIRECT(CONCATENATE("Input!",RSE_Setup!$B$25,ROW()+1))),"",INDIRECT(CONCATENATE("Input!",RSE_Setup!$B$25,ROW()+1)))</f>
        <v>206.94424799999999</v>
      </c>
      <c r="F8" s="1">
        <f ca="1"/>
        <v>206.87784535687021</v>
      </c>
    </row>
    <row r="9" spans="1:7" x14ac:dyDescent="0.3">
      <c r="A9" s="1" cm="1">
        <f t="array" aca="1" ref="A9" ca="1">IF(ISBLANK(INDIRECT(CONCATENATE("Input!",RSE_Setup!$B$16,ROW()+1))),"",INDIRECT(CONCATENATE("Input!",RSE_Setup!$B$16,ROW()+1)))</f>
        <v>7.5000000000000002E-4</v>
      </c>
      <c r="B9" s="1" cm="1">
        <f t="array" aca="1" ref="B9" ca="1">IF(ISBLANK(INDIRECT(CONCATENATE("Input!",RSE_Setup!$B$17,ROW()+1))),"",INDIRECT(CONCATENATE("Input!",RSE_Setup!$B$17,ROW()+1)))</f>
        <v>4.0000000000000001E-3</v>
      </c>
      <c r="C9" s="1" cm="1">
        <f t="array" aca="1" ref="C9" ca="1">IF(ISBLANK(INDIRECT(CONCATENATE("Input!",RSE_Setup!$B$18,ROW()+1))),"",INDIRECT(CONCATENATE("Input!",RSE_Setup!$B$18,ROW()+1)))</f>
        <v>3.2258000000000002E-2</v>
      </c>
      <c r="D9" s="1" cm="1">
        <f t="array" aca="1" ref="D9" ca="1">IF(ISBLANK(INDIRECT(CONCATENATE("Input!",RSE_Setup!$B$19,ROW()+1))),"",INDIRECT(CONCATENATE("Input!",RSE_Setup!$B$19,ROW()+1)))</f>
        <v>4250</v>
      </c>
      <c r="E9" s="1" cm="1">
        <f t="array" aca="1" ref="E9" ca="1">IF(ISBLANK(INDIRECT(CONCATENATE("Input!",RSE_Setup!$B$25,ROW()+1))),"",INDIRECT(CONCATENATE("Input!",RSE_Setup!$B$25,ROW()+1)))</f>
        <v>263.68446999999998</v>
      </c>
      <c r="F9" s="1">
        <f ca="1"/>
        <v>267.63270794224326</v>
      </c>
    </row>
    <row r="10" spans="1:7" x14ac:dyDescent="0.3">
      <c r="A10" s="1" cm="1">
        <f t="array" aca="1" ref="A10" ca="1">IF(ISBLANK(INDIRECT(CONCATENATE("Input!",RSE_Setup!$B$16,ROW()+1))),"",INDIRECT(CONCATENATE("Input!",RSE_Setup!$B$16,ROW()+1)))</f>
        <v>7.5000000000000002E-4</v>
      </c>
      <c r="B10" s="1" cm="1">
        <f t="array" aca="1" ref="B10" ca="1">IF(ISBLANK(INDIRECT(CONCATENATE("Input!",RSE_Setup!$B$17,ROW()+1))),"",INDIRECT(CONCATENATE("Input!",RSE_Setup!$B$17,ROW()+1)))</f>
        <v>6.0000000000000001E-3</v>
      </c>
      <c r="C10" s="1" cm="1">
        <f t="array" aca="1" ref="C10" ca="1">IF(ISBLANK(INDIRECT(CONCATENATE("Input!",RSE_Setup!$B$18,ROW()+1))),"",INDIRECT(CONCATENATE("Input!",RSE_Setup!$B$18,ROW()+1)))</f>
        <v>3.2258000000000002E-2</v>
      </c>
      <c r="D10" s="1" cm="1">
        <f t="array" aca="1" ref="D10" ca="1">IF(ISBLANK(INDIRECT(CONCATENATE("Input!",RSE_Setup!$B$19,ROW()+1))),"",INDIRECT(CONCATENATE("Input!",RSE_Setup!$B$19,ROW()+1)))</f>
        <v>3250</v>
      </c>
      <c r="E10" s="1" cm="1">
        <f t="array" aca="1" ref="E10" ca="1">IF(ISBLANK(INDIRECT(CONCATENATE("Input!",RSE_Setup!$B$25,ROW()+1))),"",INDIRECT(CONCATENATE("Input!",RSE_Setup!$B$25,ROW()+1)))</f>
        <v>229.89937800000001</v>
      </c>
      <c r="F10" s="1">
        <f ca="1"/>
        <v>231.77312812199176</v>
      </c>
    </row>
    <row r="11" spans="1:7" x14ac:dyDescent="0.3">
      <c r="A11" s="1" cm="1">
        <f t="array" aca="1" ref="A11" ca="1">IF(ISBLANK(INDIRECT(CONCATENATE("Input!",RSE_Setup!$B$16,ROW()+1))),"",INDIRECT(CONCATENATE("Input!",RSE_Setup!$B$16,ROW()+1)))</f>
        <v>7.5000000000000002E-4</v>
      </c>
      <c r="B11" s="1" cm="1">
        <f t="array" aca="1" ref="B11" ca="1">IF(ISBLANK(INDIRECT(CONCATENATE("Input!",RSE_Setup!$B$17,ROW()+1))),"",INDIRECT(CONCATENATE("Input!",RSE_Setup!$B$17,ROW()+1)))</f>
        <v>6.0000000000000001E-3</v>
      </c>
      <c r="C11" s="1" cm="1">
        <f t="array" aca="1" ref="C11" ca="1">IF(ISBLANK(INDIRECT(CONCATENATE("Input!",RSE_Setup!$B$18,ROW()+1))),"",INDIRECT(CONCATENATE("Input!",RSE_Setup!$B$18,ROW()+1)))</f>
        <v>3.2258000000000002E-2</v>
      </c>
      <c r="D11" s="1" cm="1">
        <f t="array" aca="1" ref="D11" ca="1">IF(ISBLANK(INDIRECT(CONCATENATE("Input!",RSE_Setup!$B$19,ROW()+1))),"",INDIRECT(CONCATENATE("Input!",RSE_Setup!$B$19,ROW()+1)))</f>
        <v>4250</v>
      </c>
      <c r="E11" s="1" cm="1">
        <f t="array" aca="1" ref="E11" ca="1">IF(ISBLANK(INDIRECT(CONCATENATE("Input!",RSE_Setup!$B$25,ROW()+1))),"",INDIRECT(CONCATENATE("Input!",RSE_Setup!$B$25,ROW()+1)))</f>
        <v>295.51166799999999</v>
      </c>
      <c r="F11" s="1">
        <f ca="1"/>
        <v>299.33855615695188</v>
      </c>
    </row>
    <row r="12" spans="1:7" x14ac:dyDescent="0.3">
      <c r="A12" s="1" cm="1">
        <f t="array" aca="1" ref="A12" ca="1">IF(ISBLANK(INDIRECT(CONCATENATE("Input!",RSE_Setup!$B$16,ROW()+1))),"",INDIRECT(CONCATENATE("Input!",RSE_Setup!$B$16,ROW()+1)))</f>
        <v>7.5000000000000002E-4</v>
      </c>
      <c r="B12" s="1" cm="1">
        <f t="array" aca="1" ref="B12" ca="1">IF(ISBLANK(INDIRECT(CONCATENATE("Input!",RSE_Setup!$B$17,ROW()+1))),"",INDIRECT(CONCATENATE("Input!",RSE_Setup!$B$17,ROW()+1)))</f>
        <v>8.0000000000000002E-3</v>
      </c>
      <c r="C12" s="1" cm="1">
        <f t="array" aca="1" ref="C12" ca="1">IF(ISBLANK(INDIRECT(CONCATENATE("Input!",RSE_Setup!$B$18,ROW()+1))),"",INDIRECT(CONCATENATE("Input!",RSE_Setup!$B$18,ROW()+1)))</f>
        <v>3.2258000000000002E-2</v>
      </c>
      <c r="D12" s="1" cm="1">
        <f t="array" aca="1" ref="D12" ca="1">IF(ISBLANK(INDIRECT(CONCATENATE("Input!",RSE_Setup!$B$19,ROW()+1))),"",INDIRECT(CONCATENATE("Input!",RSE_Setup!$B$19,ROW()+1)))</f>
        <v>4250</v>
      </c>
      <c r="E12" s="1" cm="1">
        <f t="array" aca="1" ref="E12" ca="1">IF(ISBLANK(INDIRECT(CONCATENATE("Input!",RSE_Setup!$B$25,ROW()+1))),"",INDIRECT(CONCATENATE("Input!",RSE_Setup!$B$25,ROW()+1)))</f>
        <v>330.223007</v>
      </c>
      <c r="F12" s="1">
        <f ca="1"/>
        <v>334.35824807368488</v>
      </c>
    </row>
    <row r="13" spans="1:7" x14ac:dyDescent="0.3">
      <c r="A13" s="1" cm="1">
        <f t="array" aca="1" ref="A13" ca="1">IF(ISBLANK(INDIRECT(CONCATENATE("Input!",RSE_Setup!$B$16,ROW()+1))),"",INDIRECT(CONCATENATE("Input!",RSE_Setup!$B$16,ROW()+1)))</f>
        <v>1E-3</v>
      </c>
      <c r="B13" s="1" cm="1">
        <f t="array" aca="1" ref="B13" ca="1">IF(ISBLANK(INDIRECT(CONCATENATE("Input!",RSE_Setup!$B$17,ROW()+1))),"",INDIRECT(CONCATENATE("Input!",RSE_Setup!$B$17,ROW()+1)))</f>
        <v>5.0000000000000001E-3</v>
      </c>
      <c r="C13" s="1" cm="1">
        <f t="array" aca="1" ref="C13" ca="1">IF(ISBLANK(INDIRECT(CONCATENATE("Input!",RSE_Setup!$B$18,ROW()+1))),"",INDIRECT(CONCATENATE("Input!",RSE_Setup!$B$18,ROW()+1)))</f>
        <v>3.2258000000000002E-2</v>
      </c>
      <c r="D13" s="1" cm="1">
        <f t="array" aca="1" ref="D13" ca="1">IF(ISBLANK(INDIRECT(CONCATENATE("Input!",RSE_Setup!$B$19,ROW()+1))),"",INDIRECT(CONCATENATE("Input!",RSE_Setup!$B$19,ROW()+1)))</f>
        <v>3250</v>
      </c>
      <c r="E13" s="1" cm="1">
        <f t="array" aca="1" ref="E13" ca="1">IF(ISBLANK(INDIRECT(CONCATENATE("Input!",RSE_Setup!$B$25,ROW()+1))),"",INDIRECT(CONCATENATE("Input!",RSE_Setup!$B$25,ROW()+1)))</f>
        <v>230.464652</v>
      </c>
      <c r="F13" s="1">
        <f ca="1"/>
        <v>231.55576775859276</v>
      </c>
    </row>
    <row r="14" spans="1:7" x14ac:dyDescent="0.3">
      <c r="A14" s="1" cm="1">
        <f t="array" aca="1" ref="A14" ca="1">IF(ISBLANK(INDIRECT(CONCATENATE("Input!",RSE_Setup!$B$16,ROW()+1))),"",INDIRECT(CONCATENATE("Input!",RSE_Setup!$B$16,ROW()+1)))</f>
        <v>1E-3</v>
      </c>
      <c r="B14" s="1" cm="1">
        <f t="array" aca="1" ref="B14" ca="1">IF(ISBLANK(INDIRECT(CONCATENATE("Input!",RSE_Setup!$B$17,ROW()+1))),"",INDIRECT(CONCATENATE("Input!",RSE_Setup!$B$17,ROW()+1)))</f>
        <v>5.0000000000000001E-3</v>
      </c>
      <c r="C14" s="1" cm="1">
        <f t="array" aca="1" ref="C14" ca="1">IF(ISBLANK(INDIRECT(CONCATENATE("Input!",RSE_Setup!$B$18,ROW()+1))),"",INDIRECT(CONCATENATE("Input!",RSE_Setup!$B$18,ROW()+1)))</f>
        <v>3.2258000000000002E-2</v>
      </c>
      <c r="D14" s="1" cm="1">
        <f t="array" aca="1" ref="D14" ca="1">IF(ISBLANK(INDIRECT(CONCATENATE("Input!",RSE_Setup!$B$19,ROW()+1))),"",INDIRECT(CONCATENATE("Input!",RSE_Setup!$B$19,ROW()+1)))</f>
        <v>4250</v>
      </c>
      <c r="E14" s="1" cm="1">
        <f t="array" aca="1" ref="E14" ca="1">IF(ISBLANK(INDIRECT(CONCATENATE("Input!",RSE_Setup!$B$25,ROW()+1))),"",INDIRECT(CONCATENATE("Input!",RSE_Setup!$B$25,ROW()+1)))</f>
        <v>295.56814400000002</v>
      </c>
      <c r="F14" s="1">
        <f ca="1"/>
        <v>299.26362310783867</v>
      </c>
    </row>
    <row r="15" spans="1:7" x14ac:dyDescent="0.3">
      <c r="A15" s="1" cm="1">
        <f t="array" aca="1" ref="A15" ca="1">IF(ISBLANK(INDIRECT(CONCATENATE("Input!",RSE_Setup!$B$16,ROW()+1))),"",INDIRECT(CONCATENATE("Input!",RSE_Setup!$B$16,ROW()+1)))</f>
        <v>1E-3</v>
      </c>
      <c r="B15" s="1" cm="1">
        <f t="array" aca="1" ref="B15" ca="1">IF(ISBLANK(INDIRECT(CONCATENATE("Input!",RSE_Setup!$B$17,ROW()+1))),"",INDIRECT(CONCATENATE("Input!",RSE_Setup!$B$17,ROW()+1)))</f>
        <v>6.4999999999999997E-3</v>
      </c>
      <c r="C15" s="1" cm="1">
        <f t="array" aca="1" ref="C15" ca="1">IF(ISBLANK(INDIRECT(CONCATENATE("Input!",RSE_Setup!$B$18,ROW()+1))),"",INDIRECT(CONCATENATE("Input!",RSE_Setup!$B$18,ROW()+1)))</f>
        <v>3.2258000000000002E-2</v>
      </c>
      <c r="D15" s="1" cm="1">
        <f t="array" aca="1" ref="D15" ca="1">IF(ISBLANK(INDIRECT(CONCATENATE("Input!",RSE_Setup!$B$19,ROW()+1))),"",INDIRECT(CONCATENATE("Input!",RSE_Setup!$B$19,ROW()+1)))</f>
        <v>3250</v>
      </c>
      <c r="E15" s="1" cm="1">
        <f t="array" aca="1" ref="E15" ca="1">IF(ISBLANK(INDIRECT(CONCATENATE("Input!",RSE_Setup!$B$25,ROW()+1))),"",INDIRECT(CONCATENATE("Input!",RSE_Setup!$B$25,ROW()+1)))</f>
        <v>248.66253699999999</v>
      </c>
      <c r="F15" s="1">
        <f ca="1"/>
        <v>251.3305573834821</v>
      </c>
    </row>
    <row r="16" spans="1:7" x14ac:dyDescent="0.3">
      <c r="A16" s="1" cm="1">
        <f t="array" aca="1" ref="A16" ca="1">IF(ISBLANK(INDIRECT(CONCATENATE("Input!",RSE_Setup!$B$16,ROW()+1))),"",INDIRECT(CONCATENATE("Input!",RSE_Setup!$B$16,ROW()+1)))</f>
        <v>1E-3</v>
      </c>
      <c r="B16" s="1" cm="1">
        <f t="array" aca="1" ref="B16" ca="1">IF(ISBLANK(INDIRECT(CONCATENATE("Input!",RSE_Setup!$B$17,ROW()+1))),"",INDIRECT(CONCATENATE("Input!",RSE_Setup!$B$17,ROW()+1)))</f>
        <v>6.4999999999999997E-3</v>
      </c>
      <c r="C16" s="1" cm="1">
        <f t="array" aca="1" ref="C16" ca="1">IF(ISBLANK(INDIRECT(CONCATENATE("Input!",RSE_Setup!$B$18,ROW()+1))),"",INDIRECT(CONCATENATE("Input!",RSE_Setup!$B$18,ROW()+1)))</f>
        <v>3.2258000000000002E-2</v>
      </c>
      <c r="D16" s="1" cm="1">
        <f t="array" aca="1" ref="D16" ca="1">IF(ISBLANK(INDIRECT(CONCATENATE("Input!",RSE_Setup!$B$19,ROW()+1))),"",INDIRECT(CONCATENATE("Input!",RSE_Setup!$B$19,ROW()+1)))</f>
        <v>4250</v>
      </c>
      <c r="E16" s="1" cm="1">
        <f t="array" aca="1" ref="E16" ca="1">IF(ISBLANK(INDIRECT(CONCATENATE("Input!",RSE_Setup!$B$25,ROW()+1))),"",INDIRECT(CONCATENATE("Input!",RSE_Setup!$B$25,ROW()+1)))</f>
        <v>319.74232599999999</v>
      </c>
      <c r="F16" s="1">
        <f ca="1"/>
        <v>324.1463368199183</v>
      </c>
    </row>
    <row r="17" spans="1:6" x14ac:dyDescent="0.3">
      <c r="A17" s="1" cm="1">
        <f t="array" aca="1" ref="A17" ca="1">IF(ISBLANK(INDIRECT(CONCATENATE("Input!",RSE_Setup!$B$16,ROW()+1))),"",INDIRECT(CONCATENATE("Input!",RSE_Setup!$B$16,ROW()+1)))</f>
        <v>1E-3</v>
      </c>
      <c r="B17" s="1" cm="1">
        <f t="array" aca="1" ref="B17" ca="1">IF(ISBLANK(INDIRECT(CONCATENATE("Input!",RSE_Setup!$B$17,ROW()+1))),"",INDIRECT(CONCATENATE("Input!",RSE_Setup!$B$17,ROW()+1)))</f>
        <v>8.0000000000000002E-3</v>
      </c>
      <c r="C17" s="1" cm="1">
        <f t="array" aca="1" ref="C17" ca="1">IF(ISBLANK(INDIRECT(CONCATENATE("Input!",RSE_Setup!$B$18,ROW()+1))),"",INDIRECT(CONCATENATE("Input!",RSE_Setup!$B$18,ROW()+1)))</f>
        <v>3.2258000000000002E-2</v>
      </c>
      <c r="D17" s="1" cm="1">
        <f t="array" aca="1" ref="D17" ca="1">IF(ISBLANK(INDIRECT(CONCATENATE("Input!",RSE_Setup!$B$19,ROW()+1))),"",INDIRECT(CONCATENATE("Input!",RSE_Setup!$B$19,ROW()+1)))</f>
        <v>4250</v>
      </c>
      <c r="E17" s="1" cm="1">
        <f t="array" aca="1" ref="E17" ca="1">IF(ISBLANK(INDIRECT(CONCATENATE("Input!",RSE_Setup!$B$25,ROW()+1))),"",INDIRECT(CONCATENATE("Input!",RSE_Setup!$B$25,ROW()+1)))</f>
        <v>346.35650600000002</v>
      </c>
      <c r="F17" s="1">
        <f ca="1"/>
        <v>350.89308761438673</v>
      </c>
    </row>
    <row r="18" spans="1:6" x14ac:dyDescent="0.3">
      <c r="A18" s="1" cm="1">
        <f t="array" aca="1" ref="A18" ca="1">IF(ISBLANK(INDIRECT(CONCATENATE("Input!",RSE_Setup!$B$16,ROW()+1))),"",INDIRECT(CONCATENATE("Input!",RSE_Setup!$B$16,ROW()+1)))</f>
        <v>2.9999999999999997E-4</v>
      </c>
      <c r="B18" s="1" cm="1">
        <f t="array" aca="1" ref="B18" ca="1">IF(ISBLANK(INDIRECT(CONCATENATE("Input!",RSE_Setup!$B$17,ROW()+1))),"",INDIRECT(CONCATENATE("Input!",RSE_Setup!$B$17,ROW()+1)))</f>
        <v>2E-3</v>
      </c>
      <c r="C18" s="1" cm="1">
        <f t="array" aca="1" ref="C18" ca="1">IF(ISBLANK(INDIRECT(CONCATENATE("Input!",RSE_Setup!$B$18,ROW()+1))),"",INDIRECT(CONCATENATE("Input!",RSE_Setup!$B$18,ROW()+1)))</f>
        <v>3.2258000000000002E-2</v>
      </c>
      <c r="D18" s="1" cm="1">
        <f t="array" aca="1" ref="D18" ca="1">IF(ISBLANK(INDIRECT(CONCATENATE("Input!",RSE_Setup!$B$19,ROW()+1))),"",INDIRECT(CONCATENATE("Input!",RSE_Setup!$B$19,ROW()+1)))</f>
        <v>5250</v>
      </c>
      <c r="E18" s="1" cm="1">
        <f t="array" aca="1" ref="E18" ca="1">IF(ISBLANK(INDIRECT(CONCATENATE("Input!",RSE_Setup!$B$25,ROW()+1))),"",INDIRECT(CONCATENATE("Input!",RSE_Setup!$B$25,ROW()+1)))</f>
        <v>258.80839900000001</v>
      </c>
      <c r="F18" s="1">
        <f ca="1"/>
        <v>258.97019842185858</v>
      </c>
    </row>
    <row r="19" spans="1:6" x14ac:dyDescent="0.3">
      <c r="A19" s="1" cm="1">
        <f t="array" aca="1" ref="A19" ca="1">IF(ISBLANK(INDIRECT(CONCATENATE("Input!",RSE_Setup!$B$16,ROW()+1))),"",INDIRECT(CONCATENATE("Input!",RSE_Setup!$B$16,ROW()+1)))</f>
        <v>2.9999999999999997E-4</v>
      </c>
      <c r="B19" s="1" cm="1">
        <f t="array" aca="1" ref="B19" ca="1">IF(ISBLANK(INDIRECT(CONCATENATE("Input!",RSE_Setup!$B$17,ROW()+1))),"",INDIRECT(CONCATENATE("Input!",RSE_Setup!$B$17,ROW()+1)))</f>
        <v>2E-3</v>
      </c>
      <c r="C19" s="1" cm="1">
        <f t="array" aca="1" ref="C19" ca="1">IF(ISBLANK(INDIRECT(CONCATENATE("Input!",RSE_Setup!$B$18,ROW()+1))),"",INDIRECT(CONCATENATE("Input!",RSE_Setup!$B$18,ROW()+1)))</f>
        <v>3.2258000000000002E-2</v>
      </c>
      <c r="D19" s="1" cm="1">
        <f t="array" aca="1" ref="D19" ca="1">IF(ISBLANK(INDIRECT(CONCATENATE("Input!",RSE_Setup!$B$19,ROW()+1))),"",INDIRECT(CONCATENATE("Input!",RSE_Setup!$B$19,ROW()+1)))</f>
        <v>6500</v>
      </c>
      <c r="E19" s="1" cm="1">
        <f t="array" aca="1" ref="E19" ca="1">IF(ISBLANK(INDIRECT(CONCATENATE("Input!",RSE_Setup!$B$25,ROW()+1))),"",INDIRECT(CONCATENATE("Input!",RSE_Setup!$B$25,ROW()+1)))</f>
        <v>314.17019099999999</v>
      </c>
      <c r="F19" s="1">
        <f ca="1"/>
        <v>317.88743567452877</v>
      </c>
    </row>
    <row r="20" spans="1:6" x14ac:dyDescent="0.3">
      <c r="A20" s="1" cm="1">
        <f t="array" aca="1" ref="A20" ca="1">IF(ISBLANK(INDIRECT(CONCATENATE("Input!",RSE_Setup!$B$16,ROW()+1))),"",INDIRECT(CONCATENATE("Input!",RSE_Setup!$B$16,ROW()+1)))</f>
        <v>2.9999999999999997E-4</v>
      </c>
      <c r="B20" s="1" cm="1">
        <f t="array" aca="1" ref="B20" ca="1">IF(ISBLANK(INDIRECT(CONCATENATE("Input!",RSE_Setup!$B$17,ROW()+1))),"",INDIRECT(CONCATENATE("Input!",RSE_Setup!$B$17,ROW()+1)))</f>
        <v>3.0000000000000001E-3</v>
      </c>
      <c r="C20" s="1" cm="1">
        <f t="array" aca="1" ref="C20" ca="1">IF(ISBLANK(INDIRECT(CONCATENATE("Input!",RSE_Setup!$B$18,ROW()+1))),"",INDIRECT(CONCATENATE("Input!",RSE_Setup!$B$18,ROW()+1)))</f>
        <v>3.2258000000000002E-2</v>
      </c>
      <c r="D20" s="1" cm="1">
        <f t="array" aca="1" ref="D20" ca="1">IF(ISBLANK(INDIRECT(CONCATENATE("Input!",RSE_Setup!$B$19,ROW()+1))),"",INDIRECT(CONCATENATE("Input!",RSE_Setup!$B$19,ROW()+1)))</f>
        <v>5250</v>
      </c>
      <c r="E20" s="1" cm="1">
        <f t="array" aca="1" ref="E20" ca="1">IF(ISBLANK(INDIRECT(CONCATENATE("Input!",RSE_Setup!$B$25,ROW()+1))),"",INDIRECT(CONCATENATE("Input!",RSE_Setup!$B$25,ROW()+1)))</f>
        <v>275.37372699999997</v>
      </c>
      <c r="F20" s="1">
        <f ca="1"/>
        <v>275.95168212841651</v>
      </c>
    </row>
    <row r="21" spans="1:6" x14ac:dyDescent="0.3">
      <c r="A21" s="1" cm="1">
        <f t="array" aca="1" ref="A21" ca="1">IF(ISBLANK(INDIRECT(CONCATENATE("Input!",RSE_Setup!$B$16,ROW()+1))),"",INDIRECT(CONCATENATE("Input!",RSE_Setup!$B$16,ROW()+1)))</f>
        <v>2.9999999999999997E-4</v>
      </c>
      <c r="B21" s="1" cm="1">
        <f t="array" aca="1" ref="B21" ca="1">IF(ISBLANK(INDIRECT(CONCATENATE("Input!",RSE_Setup!$B$17,ROW()+1))),"",INDIRECT(CONCATENATE("Input!",RSE_Setup!$B$17,ROW()+1)))</f>
        <v>3.0000000000000001E-3</v>
      </c>
      <c r="C21" s="1" cm="1">
        <f t="array" aca="1" ref="C21" ca="1">IF(ISBLANK(INDIRECT(CONCATENATE("Input!",RSE_Setup!$B$18,ROW()+1))),"",INDIRECT(CONCATENATE("Input!",RSE_Setup!$B$18,ROW()+1)))</f>
        <v>3.2258000000000002E-2</v>
      </c>
      <c r="D21" s="1" cm="1">
        <f t="array" aca="1" ref="D21" ca="1">IF(ISBLANK(INDIRECT(CONCATENATE("Input!",RSE_Setup!$B$19,ROW()+1))),"",INDIRECT(CONCATENATE("Input!",RSE_Setup!$B$19,ROW()+1)))</f>
        <v>6500</v>
      </c>
      <c r="E21" s="1" cm="1">
        <f t="array" aca="1" ref="E21" ca="1">IF(ISBLANK(INDIRECT(CONCATENATE("Input!",RSE_Setup!$B$25,ROW()+1))),"",INDIRECT(CONCATENATE("Input!",RSE_Setup!$B$25,ROW()+1)))</f>
        <v>333.81296200000003</v>
      </c>
      <c r="F21" s="1">
        <f ca="1"/>
        <v>339.12552278707864</v>
      </c>
    </row>
    <row r="22" spans="1:6" x14ac:dyDescent="0.3">
      <c r="A22" s="1" cm="1">
        <f t="array" aca="1" ref="A22" ca="1">IF(ISBLANK(INDIRECT(CONCATENATE("Input!",RSE_Setup!$B$16,ROW()+1))),"",INDIRECT(CONCATENATE("Input!",RSE_Setup!$B$16,ROW()+1)))</f>
        <v>2.9999999999999997E-4</v>
      </c>
      <c r="B22" s="1" cm="1">
        <f t="array" aca="1" ref="B22" ca="1">IF(ISBLANK(INDIRECT(CONCATENATE("Input!",RSE_Setup!$B$17,ROW()+1))),"",INDIRECT(CONCATENATE("Input!",RSE_Setup!$B$17,ROW()+1)))</f>
        <v>4.0000000000000001E-3</v>
      </c>
      <c r="C22" s="1" cm="1">
        <f t="array" aca="1" ref="C22" ca="1">IF(ISBLANK(INDIRECT(CONCATENATE("Input!",RSE_Setup!$B$18,ROW()+1))),"",INDIRECT(CONCATENATE("Input!",RSE_Setup!$B$18,ROW()+1)))</f>
        <v>3.2258000000000002E-2</v>
      </c>
      <c r="D22" s="1" cm="1">
        <f t="array" aca="1" ref="D22" ca="1">IF(ISBLANK(INDIRECT(CONCATENATE("Input!",RSE_Setup!$B$19,ROW()+1))),"",INDIRECT(CONCATENATE("Input!",RSE_Setup!$B$19,ROW()+1)))</f>
        <v>5250</v>
      </c>
      <c r="E22" s="1" cm="1">
        <f t="array" aca="1" ref="E22" ca="1">IF(ISBLANK(INDIRECT(CONCATENATE("Input!",RSE_Setup!$B$25,ROW()+1))),"",INDIRECT(CONCATENATE("Input!",RSE_Setup!$B$25,ROW()+1)))</f>
        <v>291.82120099999997</v>
      </c>
      <c r="F22" s="1">
        <f ca="1"/>
        <v>293.76162676048051</v>
      </c>
    </row>
    <row r="23" spans="1:6" x14ac:dyDescent="0.3">
      <c r="A23" s="1" cm="1">
        <f t="array" aca="1" ref="A23" ca="1">IF(ISBLANK(INDIRECT(CONCATENATE("Input!",RSE_Setup!$B$16,ROW()+1))),"",INDIRECT(CONCATENATE("Input!",RSE_Setup!$B$16,ROW()+1)))</f>
        <v>2.9999999999999997E-4</v>
      </c>
      <c r="B23" s="1" cm="1">
        <f t="array" aca="1" ref="B23" ca="1">IF(ISBLANK(INDIRECT(CONCATENATE("Input!",RSE_Setup!$B$17,ROW()+1))),"",INDIRECT(CONCATENATE("Input!",RSE_Setup!$B$17,ROW()+1)))</f>
        <v>4.0000000000000001E-3</v>
      </c>
      <c r="C23" s="1" cm="1">
        <f t="array" aca="1" ref="C23" ca="1">IF(ISBLANK(INDIRECT(CONCATENATE("Input!",RSE_Setup!$B$18,ROW()+1))),"",INDIRECT(CONCATENATE("Input!",RSE_Setup!$B$18,ROW()+1)))</f>
        <v>3.2258000000000002E-2</v>
      </c>
      <c r="D23" s="1" cm="1">
        <f t="array" aca="1" ref="D23" ca="1">IF(ISBLANK(INDIRECT(CONCATENATE("Input!",RSE_Setup!$B$19,ROW()+1))),"",INDIRECT(CONCATENATE("Input!",RSE_Setup!$B$19,ROW()+1)))</f>
        <v>6500</v>
      </c>
      <c r="E23" s="1" cm="1">
        <f t="array" aca="1" ref="E23" ca="1">IF(ISBLANK(INDIRECT(CONCATENATE("Input!",RSE_Setup!$B$25,ROW()+1))),"",INDIRECT(CONCATENATE("Input!",RSE_Setup!$B$25,ROW()+1)))</f>
        <v>355.21818100000002</v>
      </c>
      <c r="F23" s="1">
        <f ca="1"/>
        <v>361.19207082513452</v>
      </c>
    </row>
    <row r="24" spans="1:6" x14ac:dyDescent="0.3">
      <c r="A24" s="1" cm="1">
        <f t="array" aca="1" ref="A24" ca="1">IF(ISBLANK(INDIRECT(CONCATENATE("Input!",RSE_Setup!$B$16,ROW()+1))),"",INDIRECT(CONCATENATE("Input!",RSE_Setup!$B$16,ROW()+1)))</f>
        <v>5.0000000000000001E-4</v>
      </c>
      <c r="B24" s="1" cm="1">
        <f t="array" aca="1" ref="B24" ca="1">IF(ISBLANK(INDIRECT(CONCATENATE("Input!",RSE_Setup!$B$17,ROW()+1))),"",INDIRECT(CONCATENATE("Input!",RSE_Setup!$B$17,ROW()+1)))</f>
        <v>3.0000000000000001E-3</v>
      </c>
      <c r="C24" s="1" cm="1">
        <f t="array" aca="1" ref="C24" ca="1">IF(ISBLANK(INDIRECT(CONCATENATE("Input!",RSE_Setup!$B$18,ROW()+1))),"",INDIRECT(CONCATENATE("Input!",RSE_Setup!$B$18,ROW()+1)))</f>
        <v>5.5556000000000001E-2</v>
      </c>
      <c r="D24" s="1" cm="1">
        <f t="array" aca="1" ref="D24" ca="1">IF(ISBLANK(INDIRECT(CONCATENATE("Input!",RSE_Setup!$B$19,ROW()+1))),"",INDIRECT(CONCATENATE("Input!",RSE_Setup!$B$19,ROW()+1)))</f>
        <v>3750</v>
      </c>
      <c r="E24" s="1" cm="1">
        <f t="array" aca="1" ref="E24" ca="1">IF(ISBLANK(INDIRECT(CONCATENATE("Input!",RSE_Setup!$B$25,ROW()+1))),"",INDIRECT(CONCATENATE("Input!",RSE_Setup!$B$25,ROW()+1)))</f>
        <v>227.506327</v>
      </c>
      <c r="F24" s="1">
        <f ca="1"/>
        <v>231.41979987509538</v>
      </c>
    </row>
    <row r="25" spans="1:6" x14ac:dyDescent="0.3">
      <c r="A25" s="1" cm="1">
        <f t="array" aca="1" ref="A25" ca="1">IF(ISBLANK(INDIRECT(CONCATENATE("Input!",RSE_Setup!$B$16,ROW()+1))),"",INDIRECT(CONCATENATE("Input!",RSE_Setup!$B$16,ROW()+1)))</f>
        <v>5.0000000000000001E-4</v>
      </c>
      <c r="B25" s="1" cm="1">
        <f t="array" aca="1" ref="B25" ca="1">IF(ISBLANK(INDIRECT(CONCATENATE("Input!",RSE_Setup!$B$17,ROW()+1))),"",INDIRECT(CONCATENATE("Input!",RSE_Setup!$B$17,ROW()+1)))</f>
        <v>3.0000000000000001E-3</v>
      </c>
      <c r="C25" s="1" cm="1">
        <f t="array" aca="1" ref="C25" ca="1">IF(ISBLANK(INDIRECT(CONCATENATE("Input!",RSE_Setup!$B$18,ROW()+1))),"",INDIRECT(CONCATENATE("Input!",RSE_Setup!$B$18,ROW()+1)))</f>
        <v>3.2258000000000002E-2</v>
      </c>
      <c r="D25" s="1" cm="1">
        <f t="array" aca="1" ref="D25" ca="1">IF(ISBLANK(INDIRECT(CONCATENATE("Input!",RSE_Setup!$B$19,ROW()+1))),"",INDIRECT(CONCATENATE("Input!",RSE_Setup!$B$19,ROW()+1)))</f>
        <v>3750</v>
      </c>
      <c r="E25" s="1" cm="1">
        <f t="array" aca="1" ref="E25" ca="1">IF(ISBLANK(INDIRECT(CONCATENATE("Input!",RSE_Setup!$B$25,ROW()+1))),"",INDIRECT(CONCATENATE("Input!",RSE_Setup!$B$25,ROW()+1)))</f>
        <v>213.986546</v>
      </c>
      <c r="F25" s="1">
        <f ca="1"/>
        <v>210.53992636350389</v>
      </c>
    </row>
    <row r="26" spans="1:6" x14ac:dyDescent="0.3">
      <c r="A26" s="1" cm="1">
        <f t="array" aca="1" ref="A26" ca="1">IF(ISBLANK(INDIRECT(CONCATENATE("Input!",RSE_Setup!$B$16,ROW()+1))),"",INDIRECT(CONCATENATE("Input!",RSE_Setup!$B$16,ROW()+1)))</f>
        <v>5.0000000000000001E-4</v>
      </c>
      <c r="B26" s="1" cm="1">
        <f t="array" aca="1" ref="B26" ca="1">IF(ISBLANK(INDIRECT(CONCATENATE("Input!",RSE_Setup!$B$17,ROW()+1))),"",INDIRECT(CONCATENATE("Input!",RSE_Setup!$B$17,ROW()+1)))</f>
        <v>3.0000000000000001E-3</v>
      </c>
      <c r="C26" s="1" cm="1">
        <f t="array" aca="1" ref="C26" ca="1">IF(ISBLANK(INDIRECT(CONCATENATE("Input!",RSE_Setup!$B$18,ROW()+1))),"",INDIRECT(CONCATENATE("Input!",RSE_Setup!$B$18,ROW()+1)))</f>
        <v>3.2258000000000002E-2</v>
      </c>
      <c r="D26" s="1" cm="1">
        <f t="array" aca="1" ref="D26" ca="1">IF(ISBLANK(INDIRECT(CONCATENATE("Input!",RSE_Setup!$B$19,ROW()+1))),"",INDIRECT(CONCATENATE("Input!",RSE_Setup!$B$19,ROW()+1)))</f>
        <v>5250</v>
      </c>
      <c r="E26" s="1" cm="1">
        <f t="array" aca="1" ref="E26" ca="1">IF(ISBLANK(INDIRECT(CONCATENATE("Input!",RSE_Setup!$B$25,ROW()+1))),"",INDIRECT(CONCATENATE("Input!",RSE_Setup!$B$25,ROW()+1)))</f>
        <v>289.04737299999999</v>
      </c>
      <c r="F26" s="1">
        <f ca="1"/>
        <v>291.01792736812104</v>
      </c>
    </row>
    <row r="27" spans="1:6" x14ac:dyDescent="0.3">
      <c r="A27" s="1" cm="1">
        <f t="array" aca="1" ref="A27" ca="1">IF(ISBLANK(INDIRECT(CONCATENATE("Input!",RSE_Setup!$B$16,ROW()+1))),"",INDIRECT(CONCATENATE("Input!",RSE_Setup!$B$16,ROW()+1)))</f>
        <v>5.0000000000000001E-4</v>
      </c>
      <c r="B27" s="1" cm="1">
        <f t="array" aca="1" ref="B27" ca="1">IF(ISBLANK(INDIRECT(CONCATENATE("Input!",RSE_Setup!$B$17,ROW()+1))),"",INDIRECT(CONCATENATE("Input!",RSE_Setup!$B$17,ROW()+1)))</f>
        <v>3.0000000000000001E-3</v>
      </c>
      <c r="C27" s="1" cm="1">
        <f t="array" aca="1" ref="C27" ca="1">IF(ISBLANK(INDIRECT(CONCATENATE("Input!",RSE_Setup!$B$18,ROW()+1))),"",INDIRECT(CONCATENATE("Input!",RSE_Setup!$B$18,ROW()+1)))</f>
        <v>3.2258000000000002E-2</v>
      </c>
      <c r="D27" s="1" cm="1">
        <f t="array" aca="1" ref="D27" ca="1">IF(ISBLANK(INDIRECT(CONCATENATE("Input!",RSE_Setup!$B$19,ROW()+1))),"",INDIRECT(CONCATENATE("Input!",RSE_Setup!$B$19,ROW()+1)))</f>
        <v>6500</v>
      </c>
      <c r="E27" s="1" cm="1">
        <f t="array" aca="1" ref="E27" ca="1">IF(ISBLANK(INDIRECT(CONCATENATE("Input!",RSE_Setup!$B$25,ROW()+1))),"",INDIRECT(CONCATENATE("Input!",RSE_Setup!$B$25,ROW()+1)))</f>
        <v>351.33673599999997</v>
      </c>
      <c r="F27" s="1">
        <f ca="1"/>
        <v>357.7394780658625</v>
      </c>
    </row>
    <row r="28" spans="1:6" x14ac:dyDescent="0.3">
      <c r="A28" s="1" cm="1">
        <f t="array" aca="1" ref="A28" ca="1">IF(ISBLANK(INDIRECT(CONCATENATE("Input!",RSE_Setup!$B$16,ROW()+1))),"",INDIRECT(CONCATENATE("Input!",RSE_Setup!$B$16,ROW()+1)))</f>
        <v>5.0000000000000001E-4</v>
      </c>
      <c r="B28" s="1" cm="1">
        <f t="array" aca="1" ref="B28" ca="1">IF(ISBLANK(INDIRECT(CONCATENATE("Input!",RSE_Setup!$B$17,ROW()+1))),"",INDIRECT(CONCATENATE("Input!",RSE_Setup!$B$17,ROW()+1)))</f>
        <v>4.7499999999999999E-3</v>
      </c>
      <c r="C28" s="1" cm="1">
        <f t="array" aca="1" ref="C28" ca="1">IF(ISBLANK(INDIRECT(CONCATENATE("Input!",RSE_Setup!$B$18,ROW()+1))),"",INDIRECT(CONCATENATE("Input!",RSE_Setup!$B$18,ROW()+1)))</f>
        <v>5.5556000000000001E-2</v>
      </c>
      <c r="D28" s="1" cm="1">
        <f t="array" aca="1" ref="D28" ca="1">IF(ISBLANK(INDIRECT(CONCATENATE("Input!",RSE_Setup!$B$19,ROW()+1))),"",INDIRECT(CONCATENATE("Input!",RSE_Setup!$B$19,ROW()+1)))</f>
        <v>3000</v>
      </c>
      <c r="E28" s="1" cm="1">
        <f t="array" aca="1" ref="E28" ca="1">IF(ISBLANK(INDIRECT(CONCATENATE("Input!",RSE_Setup!$B$25,ROW()+1))),"",INDIRECT(CONCATENATE("Input!",RSE_Setup!$B$25,ROW()+1)))</f>
        <v>204.53858399999999</v>
      </c>
      <c r="F28" s="1">
        <f ca="1"/>
        <v>205.13429119062349</v>
      </c>
    </row>
    <row r="29" spans="1:6" x14ac:dyDescent="0.3">
      <c r="A29" s="1" cm="1">
        <f t="array" aca="1" ref="A29" ca="1">IF(ISBLANK(INDIRECT(CONCATENATE("Input!",RSE_Setup!$B$16,ROW()+1))),"",INDIRECT(CONCATENATE("Input!",RSE_Setup!$B$16,ROW()+1)))</f>
        <v>5.0000000000000001E-4</v>
      </c>
      <c r="B29" s="1" cm="1">
        <f t="array" aca="1" ref="B29" ca="1">IF(ISBLANK(INDIRECT(CONCATENATE("Input!",RSE_Setup!$B$17,ROW()+1))),"",INDIRECT(CONCATENATE("Input!",RSE_Setup!$B$17,ROW()+1)))</f>
        <v>4.7499999999999999E-3</v>
      </c>
      <c r="C29" s="1" cm="1">
        <f t="array" aca="1" ref="C29" ca="1">IF(ISBLANK(INDIRECT(CONCATENATE("Input!",RSE_Setup!$B$18,ROW()+1))),"",INDIRECT(CONCATENATE("Input!",RSE_Setup!$B$18,ROW()+1)))</f>
        <v>5.5556000000000001E-2</v>
      </c>
      <c r="D29" s="1" cm="1">
        <f t="array" aca="1" ref="D29" ca="1">IF(ISBLANK(INDIRECT(CONCATENATE("Input!",RSE_Setup!$B$19,ROW()+1))),"",INDIRECT(CONCATENATE("Input!",RSE_Setup!$B$19,ROW()+1)))</f>
        <v>3750</v>
      </c>
      <c r="E29" s="1" cm="1">
        <f t="array" aca="1" ref="E29" ca="1">IF(ISBLANK(INDIRECT(CONCATENATE("Input!",RSE_Setup!$B$25,ROW()+1))),"",INDIRECT(CONCATENATE("Input!",RSE_Setup!$B$25,ROW()+1)))</f>
        <v>249.84020899999999</v>
      </c>
      <c r="F29" s="1">
        <f ca="1"/>
        <v>253.48264465202178</v>
      </c>
    </row>
    <row r="30" spans="1:6" x14ac:dyDescent="0.3">
      <c r="A30" s="1" cm="1">
        <f t="array" aca="1" ref="A30" ca="1">IF(ISBLANK(INDIRECT(CONCATENATE("Input!",RSE_Setup!$B$16,ROW()+1))),"",INDIRECT(CONCATENATE("Input!",RSE_Setup!$B$16,ROW()+1)))</f>
        <v>5.0000000000000001E-4</v>
      </c>
      <c r="B30" s="1" cm="1">
        <f t="array" aca="1" ref="B30" ca="1">IF(ISBLANK(INDIRECT(CONCATENATE("Input!",RSE_Setup!$B$17,ROW()+1))),"",INDIRECT(CONCATENATE("Input!",RSE_Setup!$B$17,ROW()+1)))</f>
        <v>4.7499999999999999E-3</v>
      </c>
      <c r="C30" s="1" cm="1">
        <f t="array" aca="1" ref="C30" ca="1">IF(ISBLANK(INDIRECT(CONCATENATE("Input!",RSE_Setup!$B$18,ROW()+1))),"",INDIRECT(CONCATENATE("Input!",RSE_Setup!$B$18,ROW()+1)))</f>
        <v>3.2258000000000002E-2</v>
      </c>
      <c r="D30" s="1" cm="1">
        <f t="array" aca="1" ref="D30" ca="1">IF(ISBLANK(INDIRECT(CONCATENATE("Input!",RSE_Setup!$B$19,ROW()+1))),"",INDIRECT(CONCATENATE("Input!",RSE_Setup!$B$19,ROW()+1)))</f>
        <v>3750</v>
      </c>
      <c r="E30" s="1" cm="1">
        <f t="array" aca="1" ref="E30" ca="1">IF(ISBLANK(INDIRECT(CONCATENATE("Input!",RSE_Setup!$B$25,ROW()+1))),"",INDIRECT(CONCATENATE("Input!",RSE_Setup!$B$25,ROW()+1)))</f>
        <v>236.46918099999999</v>
      </c>
      <c r="F30" s="1">
        <f ca="1"/>
        <v>233.47202820859323</v>
      </c>
    </row>
    <row r="31" spans="1:6" x14ac:dyDescent="0.3">
      <c r="A31" s="1" cm="1">
        <f t="array" aca="1" ref="A31" ca="1">IF(ISBLANK(INDIRECT(CONCATENATE("Input!",RSE_Setup!$B$16,ROW()+1))),"",INDIRECT(CONCATENATE("Input!",RSE_Setup!$B$16,ROW()+1)))</f>
        <v>5.0000000000000001E-4</v>
      </c>
      <c r="B31" s="1" cm="1">
        <f t="array" aca="1" ref="B31" ca="1">IF(ISBLANK(INDIRECT(CONCATENATE("Input!",RSE_Setup!$B$17,ROW()+1))),"",INDIRECT(CONCATENATE("Input!",RSE_Setup!$B$17,ROW()+1)))</f>
        <v>4.7499999999999999E-3</v>
      </c>
      <c r="C31" s="1" cm="1">
        <f t="array" aca="1" ref="C31" ca="1">IF(ISBLANK(INDIRECT(CONCATENATE("Input!",RSE_Setup!$B$18,ROW()+1))),"",INDIRECT(CONCATENATE("Input!",RSE_Setup!$B$18,ROW()+1)))</f>
        <v>3.2258000000000002E-2</v>
      </c>
      <c r="D31" s="1" cm="1">
        <f t="array" aca="1" ref="D31" ca="1">IF(ISBLANK(INDIRECT(CONCATENATE("Input!",RSE_Setup!$B$19,ROW()+1))),"",INDIRECT(CONCATENATE("Input!",RSE_Setup!$B$19,ROW()+1)))</f>
        <v>5250</v>
      </c>
      <c r="E31" s="1" cm="1">
        <f t="array" aca="1" ref="E31" ca="1">IF(ISBLANK(INDIRECT(CONCATENATE("Input!",RSE_Setup!$B$25,ROW()+1))),"",INDIRECT(CONCATENATE("Input!",RSE_Setup!$B$25,ROW()+1)))</f>
        <v>320.71207099999998</v>
      </c>
      <c r="F31" s="1">
        <f ca="1"/>
        <v>322.88889636579341</v>
      </c>
    </row>
    <row r="32" spans="1:6" x14ac:dyDescent="0.3">
      <c r="A32" s="1" cm="1">
        <f t="array" aca="1" ref="A32" ca="1">IF(ISBLANK(INDIRECT(CONCATENATE("Input!",RSE_Setup!$B$16,ROW()+1))),"",INDIRECT(CONCATENATE("Input!",RSE_Setup!$B$16,ROW()+1)))</f>
        <v>5.0000000000000001E-4</v>
      </c>
      <c r="B32" s="1" cm="1">
        <f t="array" aca="1" ref="B32" ca="1">IF(ISBLANK(INDIRECT(CONCATENATE("Input!",RSE_Setup!$B$17,ROW()+1))),"",INDIRECT(CONCATENATE("Input!",RSE_Setup!$B$17,ROW()+1)))</f>
        <v>4.7499999999999999E-3</v>
      </c>
      <c r="C32" s="1" cm="1">
        <f t="array" aca="1" ref="C32" ca="1">IF(ISBLANK(INDIRECT(CONCATENATE("Input!",RSE_Setup!$B$18,ROW()+1))),"",INDIRECT(CONCATENATE("Input!",RSE_Setup!$B$18,ROW()+1)))</f>
        <v>3.2258000000000002E-2</v>
      </c>
      <c r="D32" s="1" cm="1">
        <f t="array" aca="1" ref="D32" ca="1">IF(ISBLANK(INDIRECT(CONCATENATE("Input!",RSE_Setup!$B$19,ROW()+1))),"",INDIRECT(CONCATENATE("Input!",RSE_Setup!$B$19,ROW()+1)))</f>
        <v>6500</v>
      </c>
      <c r="E32" s="1" cm="1">
        <f t="array" aca="1" ref="E32" ca="1">IF(ISBLANK(INDIRECT(CONCATENATE("Input!",RSE_Setup!$B$25,ROW()+1))),"",INDIRECT(CONCATENATE("Input!",RSE_Setup!$B$25,ROW()+1)))</f>
        <v>390.771863</v>
      </c>
      <c r="F32" s="1">
        <f ca="1"/>
        <v>397.05950302402073</v>
      </c>
    </row>
    <row r="33" spans="1:6" x14ac:dyDescent="0.3">
      <c r="A33" s="1" cm="1">
        <f t="array" aca="1" ref="A33" ca="1">IF(ISBLANK(INDIRECT(CONCATENATE("Input!",RSE_Setup!$B$16,ROW()+1))),"",INDIRECT(CONCATENATE("Input!",RSE_Setup!$B$16,ROW()+1)))</f>
        <v>5.0000000000000001E-4</v>
      </c>
      <c r="B33" s="1" cm="1">
        <f t="array" aca="1" ref="B33" ca="1">IF(ISBLANK(INDIRECT(CONCATENATE("Input!",RSE_Setup!$B$17,ROW()+1))),"",INDIRECT(CONCATENATE("Input!",RSE_Setup!$B$17,ROW()+1)))</f>
        <v>6.4999999999999997E-3</v>
      </c>
      <c r="C33" s="1" cm="1">
        <f t="array" aca="1" ref="C33" ca="1">IF(ISBLANK(INDIRECT(CONCATENATE("Input!",RSE_Setup!$B$18,ROW()+1))),"",INDIRECT(CONCATENATE("Input!",RSE_Setup!$B$18,ROW()+1)))</f>
        <v>5.5556000000000001E-2</v>
      </c>
      <c r="D33" s="1" cm="1">
        <f t="array" aca="1" ref="D33" ca="1">IF(ISBLANK(INDIRECT(CONCATENATE("Input!",RSE_Setup!$B$19,ROW()+1))),"",INDIRECT(CONCATENATE("Input!",RSE_Setup!$B$19,ROW()+1)))</f>
        <v>3000</v>
      </c>
      <c r="E33" s="1" cm="1">
        <f t="array" aca="1" ref="E33" ca="1">IF(ISBLANK(INDIRECT(CONCATENATE("Input!",RSE_Setup!$B$25,ROW()+1))),"",INDIRECT(CONCATENATE("Input!",RSE_Setup!$B$25,ROW()+1)))</f>
        <v>223.96966800000001</v>
      </c>
      <c r="F33" s="1">
        <f ca="1"/>
        <v>225.26486397562078</v>
      </c>
    </row>
    <row r="34" spans="1:6" x14ac:dyDescent="0.3">
      <c r="A34" s="1" cm="1">
        <f t="array" aca="1" ref="A34" ca="1">IF(ISBLANK(INDIRECT(CONCATENATE("Input!",RSE_Setup!$B$16,ROW()+1))),"",INDIRECT(CONCATENATE("Input!",RSE_Setup!$B$16,ROW()+1)))</f>
        <v>5.0000000000000001E-4</v>
      </c>
      <c r="B34" s="1" cm="1">
        <f t="array" aca="1" ref="B34" ca="1">IF(ISBLANK(INDIRECT(CONCATENATE("Input!",RSE_Setup!$B$17,ROW()+1))),"",INDIRECT(CONCATENATE("Input!",RSE_Setup!$B$17,ROW()+1)))</f>
        <v>6.4999999999999997E-3</v>
      </c>
      <c r="C34" s="1" cm="1">
        <f t="array" aca="1" ref="C34" ca="1">IF(ISBLANK(INDIRECT(CONCATENATE("Input!",RSE_Setup!$B$18,ROW()+1))),"",INDIRECT(CONCATENATE("Input!",RSE_Setup!$B$18,ROW()+1)))</f>
        <v>5.5556000000000001E-2</v>
      </c>
      <c r="D34" s="1" cm="1">
        <f t="array" aca="1" ref="D34" ca="1">IF(ISBLANK(INDIRECT(CONCATENATE("Input!",RSE_Setup!$B$19,ROW()+1))),"",INDIRECT(CONCATENATE("Input!",RSE_Setup!$B$19,ROW()+1)))</f>
        <v>3750</v>
      </c>
      <c r="E34" s="1" cm="1">
        <f t="array" aca="1" ref="E34" ca="1">IF(ISBLANK(INDIRECT(CONCATENATE("Input!",RSE_Setup!$B$25,ROW()+1))),"",INDIRECT(CONCATENATE("Input!",RSE_Setup!$B$25,ROW()+1)))</f>
        <v>274.25801799999999</v>
      </c>
      <c r="F34" s="1">
        <f ca="1"/>
        <v>278.08265101331062</v>
      </c>
    </row>
    <row r="35" spans="1:6" x14ac:dyDescent="0.3">
      <c r="A35" s="1" cm="1">
        <f t="array" aca="1" ref="A35" ca="1">IF(ISBLANK(INDIRECT(CONCATENATE("Input!",RSE_Setup!$B$16,ROW()+1))),"",INDIRECT(CONCATENATE("Input!",RSE_Setup!$B$16,ROW()+1)))</f>
        <v>5.0000000000000001E-4</v>
      </c>
      <c r="B35" s="1" cm="1">
        <f t="array" aca="1" ref="B35" ca="1">IF(ISBLANK(INDIRECT(CONCATENATE("Input!",RSE_Setup!$B$17,ROW()+1))),"",INDIRECT(CONCATENATE("Input!",RSE_Setup!$B$17,ROW()+1)))</f>
        <v>6.4999999999999997E-3</v>
      </c>
      <c r="C35" s="1" cm="1">
        <f t="array" aca="1" ref="C35" ca="1">IF(ISBLANK(INDIRECT(CONCATENATE("Input!",RSE_Setup!$B$18,ROW()+1))),"",INDIRECT(CONCATENATE("Input!",RSE_Setup!$B$18,ROW()+1)))</f>
        <v>3.2258000000000002E-2</v>
      </c>
      <c r="D35" s="1" cm="1">
        <f t="array" aca="1" ref="D35" ca="1">IF(ISBLANK(INDIRECT(CONCATENATE("Input!",RSE_Setup!$B$19,ROW()+1))),"",INDIRECT(CONCATENATE("Input!",RSE_Setup!$B$19,ROW()+1)))</f>
        <v>3750</v>
      </c>
      <c r="E35" s="1" cm="1">
        <f t="array" aca="1" ref="E35" ca="1">IF(ISBLANK(INDIRECT(CONCATENATE("Input!",RSE_Setup!$B$25,ROW()+1))),"",INDIRECT(CONCATENATE("Input!",RSE_Setup!$B$25,ROW()+1)))</f>
        <v>260.74353200000002</v>
      </c>
      <c r="F35" s="1">
        <f ca="1"/>
        <v>258.94129163804507</v>
      </c>
    </row>
    <row r="36" spans="1:6" x14ac:dyDescent="0.3">
      <c r="A36" s="1" cm="1">
        <f t="array" aca="1" ref="A36" ca="1">IF(ISBLANK(INDIRECT(CONCATENATE("Input!",RSE_Setup!$B$16,ROW()+1))),"",INDIRECT(CONCATENATE("Input!",RSE_Setup!$B$16,ROW()+1)))</f>
        <v>5.0000000000000001E-4</v>
      </c>
      <c r="B36" s="1" cm="1">
        <f t="array" aca="1" ref="B36" ca="1">IF(ISBLANK(INDIRECT(CONCATENATE("Input!",RSE_Setup!$B$17,ROW()+1))),"",INDIRECT(CONCATENATE("Input!",RSE_Setup!$B$17,ROW()+1)))</f>
        <v>6.4999999999999997E-3</v>
      </c>
      <c r="C36" s="1" cm="1">
        <f t="array" aca="1" ref="C36" ca="1">IF(ISBLANK(INDIRECT(CONCATENATE("Input!",RSE_Setup!$B$18,ROW()+1))),"",INDIRECT(CONCATENATE("Input!",RSE_Setup!$B$18,ROW()+1)))</f>
        <v>3.2258000000000002E-2</v>
      </c>
      <c r="D36" s="1" cm="1">
        <f t="array" aca="1" ref="D36" ca="1">IF(ISBLANK(INDIRECT(CONCATENATE("Input!",RSE_Setup!$B$19,ROW()+1))),"",INDIRECT(CONCATENATE("Input!",RSE_Setup!$B$19,ROW()+1)))</f>
        <v>5250</v>
      </c>
      <c r="E36" s="1" cm="1">
        <f t="array" aca="1" ref="E36" ca="1">IF(ISBLANK(INDIRECT(CONCATENATE("Input!",RSE_Setup!$B$25,ROW()+1))),"",INDIRECT(CONCATENATE("Input!",RSE_Setup!$B$25,ROW()+1)))</f>
        <v>356.93543799999998</v>
      </c>
      <c r="F36" s="1">
        <f ca="1"/>
        <v>357.29702694782821</v>
      </c>
    </row>
    <row r="37" spans="1:6" x14ac:dyDescent="0.3">
      <c r="A37" s="1" cm="1">
        <f t="array" aca="1" ref="A37" ca="1">IF(ISBLANK(INDIRECT(CONCATENATE("Input!",RSE_Setup!$B$16,ROW()+1))),"",INDIRECT(CONCATENATE("Input!",RSE_Setup!$B$16,ROW()+1)))</f>
        <v>5.0000000000000001E-4</v>
      </c>
      <c r="B37" s="1" cm="1">
        <f t="array" aca="1" ref="B37" ca="1">IF(ISBLANK(INDIRECT(CONCATENATE("Input!",RSE_Setup!$B$17,ROW()+1))),"",INDIRECT(CONCATENATE("Input!",RSE_Setup!$B$17,ROW()+1)))</f>
        <v>6.4999999999999997E-3</v>
      </c>
      <c r="C37" s="1" cm="1">
        <f t="array" aca="1" ref="C37" ca="1">IF(ISBLANK(INDIRECT(CONCATENATE("Input!",RSE_Setup!$B$18,ROW()+1))),"",INDIRECT(CONCATENATE("Input!",RSE_Setup!$B$18,ROW()+1)))</f>
        <v>3.2258000000000002E-2</v>
      </c>
      <c r="D37" s="1" cm="1">
        <f t="array" aca="1" ref="D37" ca="1">IF(ISBLANK(INDIRECT(CONCATENATE("Input!",RSE_Setup!$B$19,ROW()+1))),"",INDIRECT(CONCATENATE("Input!",RSE_Setup!$B$19,ROW()+1)))</f>
        <v>6500</v>
      </c>
      <c r="E37" s="1" cm="1">
        <f t="array" aca="1" ref="E37" ca="1">IF(ISBLANK(INDIRECT(CONCATENATE("Input!",RSE_Setup!$B$25,ROW()+1))),"",INDIRECT(CONCATENATE("Input!",RSE_Setup!$B$25,ROW()+1)))</f>
        <v>434.70418100000001</v>
      </c>
      <c r="F37" s="1">
        <f ca="1"/>
        <v>438.91668956654132</v>
      </c>
    </row>
    <row r="38" spans="1:6" x14ac:dyDescent="0.3">
      <c r="A38" s="1" cm="1">
        <f t="array" aca="1" ref="A38" ca="1">IF(ISBLANK(INDIRECT(CONCATENATE("Input!",RSE_Setup!$B$16,ROW()+1))),"",INDIRECT(CONCATENATE("Input!",RSE_Setup!$B$16,ROW()+1)))</f>
        <v>7.5000000000000002E-4</v>
      </c>
      <c r="B38" s="1" cm="1">
        <f t="array" aca="1" ref="B38" ca="1">IF(ISBLANK(INDIRECT(CONCATENATE("Input!",RSE_Setup!$B$17,ROW()+1))),"",INDIRECT(CONCATENATE("Input!",RSE_Setup!$B$17,ROW()+1)))</f>
        <v>4.0000000000000001E-3</v>
      </c>
      <c r="C38" s="1" cm="1">
        <f t="array" aca="1" ref="C38" ca="1">IF(ISBLANK(INDIRECT(CONCATENATE("Input!",RSE_Setup!$B$18,ROW()+1))),"",INDIRECT(CONCATENATE("Input!",RSE_Setup!$B$18,ROW()+1)))</f>
        <v>5.5556000000000001E-2</v>
      </c>
      <c r="D38" s="1" cm="1">
        <f t="array" aca="1" ref="D38" ca="1">IF(ISBLANK(INDIRECT(CONCATENATE("Input!",RSE_Setup!$B$19,ROW()+1))),"",INDIRECT(CONCATENATE("Input!",RSE_Setup!$B$19,ROW()+1)))</f>
        <v>3750</v>
      </c>
      <c r="E38" s="1" cm="1">
        <f t="array" aca="1" ref="E38" ca="1">IF(ISBLANK(INDIRECT(CONCATENATE("Input!",RSE_Setup!$B$25,ROW()+1))),"",INDIRECT(CONCATENATE("Input!",RSE_Setup!$B$25,ROW()+1)))</f>
        <v>253.169826</v>
      </c>
      <c r="F38" s="1">
        <f ca="1"/>
        <v>257.51759279813035</v>
      </c>
    </row>
    <row r="39" spans="1:6" x14ac:dyDescent="0.3">
      <c r="A39" s="1" cm="1">
        <f t="array" aca="1" ref="A39" ca="1">IF(ISBLANK(INDIRECT(CONCATENATE("Input!",RSE_Setup!$B$16,ROW()+1))),"",INDIRECT(CONCATENATE("Input!",RSE_Setup!$B$16,ROW()+1)))</f>
        <v>7.5000000000000002E-4</v>
      </c>
      <c r="B39" s="1" cm="1">
        <f t="array" aca="1" ref="B39" ca="1">IF(ISBLANK(INDIRECT(CONCATENATE("Input!",RSE_Setup!$B$17,ROW()+1))),"",INDIRECT(CONCATENATE("Input!",RSE_Setup!$B$17,ROW()+1)))</f>
        <v>4.0000000000000001E-3</v>
      </c>
      <c r="C39" s="1" cm="1">
        <f t="array" aca="1" ref="C39" ca="1">IF(ISBLANK(INDIRECT(CONCATENATE("Input!",RSE_Setup!$B$18,ROW()+1))),"",INDIRECT(CONCATENATE("Input!",RSE_Setup!$B$18,ROW()+1)))</f>
        <v>3.2258000000000002E-2</v>
      </c>
      <c r="D39" s="1" cm="1">
        <f t="array" aca="1" ref="D39" ca="1">IF(ISBLANK(INDIRECT(CONCATENATE("Input!",RSE_Setup!$B$19,ROW()+1))),"",INDIRECT(CONCATENATE("Input!",RSE_Setup!$B$19,ROW()+1)))</f>
        <v>3750</v>
      </c>
      <c r="E39" s="1" cm="1">
        <f t="array" aca="1" ref="E39" ca="1">IF(ISBLANK(INDIRECT(CONCATENATE("Input!",RSE_Setup!$B$25,ROW()+1))),"",INDIRECT(CONCATENATE("Input!",RSE_Setup!$B$25,ROW()+1)))</f>
        <v>239.63905199999999</v>
      </c>
      <c r="F39" s="1">
        <f ca="1"/>
        <v>237.28025484151598</v>
      </c>
    </row>
    <row r="40" spans="1:6" x14ac:dyDescent="0.3">
      <c r="A40" s="1" cm="1">
        <f t="array" aca="1" ref="A40" ca="1">IF(ISBLANK(INDIRECT(CONCATENATE("Input!",RSE_Setup!$B$16,ROW()+1))),"",INDIRECT(CONCATENATE("Input!",RSE_Setup!$B$16,ROW()+1)))</f>
        <v>7.5000000000000002E-4</v>
      </c>
      <c r="B40" s="1" cm="1">
        <f t="array" aca="1" ref="B40" ca="1">IF(ISBLANK(INDIRECT(CONCATENATE("Input!",RSE_Setup!$B$17,ROW()+1))),"",INDIRECT(CONCATENATE("Input!",RSE_Setup!$B$17,ROW()+1)))</f>
        <v>4.0000000000000001E-3</v>
      </c>
      <c r="C40" s="1" cm="1">
        <f t="array" aca="1" ref="C40" ca="1">IF(ISBLANK(INDIRECT(CONCATENATE("Input!",RSE_Setup!$B$18,ROW()+1))),"",INDIRECT(CONCATENATE("Input!",RSE_Setup!$B$18,ROW()+1)))</f>
        <v>3.2258000000000002E-2</v>
      </c>
      <c r="D40" s="1" cm="1">
        <f t="array" aca="1" ref="D40" ca="1">IF(ISBLANK(INDIRECT(CONCATENATE("Input!",RSE_Setup!$B$19,ROW()+1))),"",INDIRECT(CONCATENATE("Input!",RSE_Setup!$B$19,ROW()+1)))</f>
        <v>5250</v>
      </c>
      <c r="E40" s="1" cm="1">
        <f t="array" aca="1" ref="E40" ca="1">IF(ISBLANK(INDIRECT(CONCATENATE("Input!",RSE_Setup!$B$25,ROW()+1))),"",INDIRECT(CONCATENATE("Input!",RSE_Setup!$B$25,ROW()+1)))</f>
        <v>326.11449699999997</v>
      </c>
      <c r="F40" s="1">
        <f ca="1"/>
        <v>328.1877449919424</v>
      </c>
    </row>
    <row r="41" spans="1:6" x14ac:dyDescent="0.3">
      <c r="A41" s="1" cm="1">
        <f t="array" aca="1" ref="A41" ca="1">IF(ISBLANK(INDIRECT(CONCATENATE("Input!",RSE_Setup!$B$16,ROW()+1))),"",INDIRECT(CONCATENATE("Input!",RSE_Setup!$B$16,ROW()+1)))</f>
        <v>7.5000000000000002E-4</v>
      </c>
      <c r="B41" s="1" cm="1">
        <f t="array" aca="1" ref="B41" ca="1">IF(ISBLANK(INDIRECT(CONCATENATE("Input!",RSE_Setup!$B$17,ROW()+1))),"",INDIRECT(CONCATENATE("Input!",RSE_Setup!$B$17,ROW()+1)))</f>
        <v>4.0000000000000001E-3</v>
      </c>
      <c r="C41" s="1" cm="1">
        <f t="array" aca="1" ref="C41" ca="1">IF(ISBLANK(INDIRECT(CONCATENATE("Input!",RSE_Setup!$B$18,ROW()+1))),"",INDIRECT(CONCATENATE("Input!",RSE_Setup!$B$18,ROW()+1)))</f>
        <v>3.2258000000000002E-2</v>
      </c>
      <c r="D41" s="1" cm="1">
        <f t="array" aca="1" ref="D41" ca="1">IF(ISBLANK(INDIRECT(CONCATENATE("Input!",RSE_Setup!$B$19,ROW()+1))),"",INDIRECT(CONCATENATE("Input!",RSE_Setup!$B$19,ROW()+1)))</f>
        <v>6500</v>
      </c>
      <c r="E41" s="1" cm="1">
        <f t="array" aca="1" ref="E41" ca="1">IF(ISBLANK(INDIRECT(CONCATENATE("Input!",RSE_Setup!$B$25,ROW()+1))),"",INDIRECT(CONCATENATE("Input!",RSE_Setup!$B$25,ROW()+1)))</f>
        <v>397.48624799999999</v>
      </c>
      <c r="F41" s="1">
        <f ca="1"/>
        <v>403.60053664452488</v>
      </c>
    </row>
    <row r="42" spans="1:6" x14ac:dyDescent="0.3">
      <c r="A42" s="1" cm="1">
        <f t="array" aca="1" ref="A42" ca="1">IF(ISBLANK(INDIRECT(CONCATENATE("Input!",RSE_Setup!$B$16,ROW()+1))),"",INDIRECT(CONCATENATE("Input!",RSE_Setup!$B$16,ROW()+1)))</f>
        <v>7.5000000000000002E-4</v>
      </c>
      <c r="B42" s="1" cm="1">
        <f t="array" aca="1" ref="B42" ca="1">IF(ISBLANK(INDIRECT(CONCATENATE("Input!",RSE_Setup!$B$17,ROW()+1))),"",INDIRECT(CONCATENATE("Input!",RSE_Setup!$B$17,ROW()+1)))</f>
        <v>6.0000000000000001E-3</v>
      </c>
      <c r="C42" s="1" cm="1">
        <f t="array" aca="1" ref="C42" ca="1">IF(ISBLANK(INDIRECT(CONCATENATE("Input!",RSE_Setup!$B$18,ROW()+1))),"",INDIRECT(CONCATENATE("Input!",RSE_Setup!$B$18,ROW()+1)))</f>
        <v>5.5556000000000001E-2</v>
      </c>
      <c r="D42" s="1" cm="1">
        <f t="array" aca="1" ref="D42" ca="1">IF(ISBLANK(INDIRECT(CONCATENATE("Input!",RSE_Setup!$B$19,ROW()+1))),"",INDIRECT(CONCATENATE("Input!",RSE_Setup!$B$19,ROW()+1)))</f>
        <v>3000</v>
      </c>
      <c r="E42" s="1" cm="1">
        <f t="array" aca="1" ref="E42" ca="1">IF(ISBLANK(INDIRECT(CONCATENATE("Input!",RSE_Setup!$B$25,ROW()+1))),"",INDIRECT(CONCATENATE("Input!",RSE_Setup!$B$25,ROW()+1)))</f>
        <v>229.45623499999999</v>
      </c>
      <c r="F42" s="1">
        <f ca="1"/>
        <v>230.62313309351453</v>
      </c>
    </row>
    <row r="43" spans="1:6" x14ac:dyDescent="0.3">
      <c r="A43" s="1" cm="1">
        <f t="array" aca="1" ref="A43" ca="1">IF(ISBLANK(INDIRECT(CONCATENATE("Input!",RSE_Setup!$B$16,ROW()+1))),"",INDIRECT(CONCATENATE("Input!",RSE_Setup!$B$16,ROW()+1)))</f>
        <v>7.5000000000000002E-4</v>
      </c>
      <c r="B43" s="1" cm="1">
        <f t="array" aca="1" ref="B43" ca="1">IF(ISBLANK(INDIRECT(CONCATENATE("Input!",RSE_Setup!$B$17,ROW()+1))),"",INDIRECT(CONCATENATE("Input!",RSE_Setup!$B$17,ROW()+1)))</f>
        <v>6.0000000000000001E-3</v>
      </c>
      <c r="C43" s="1" cm="1">
        <f t="array" aca="1" ref="C43" ca="1">IF(ISBLANK(INDIRECT(CONCATENATE("Input!",RSE_Setup!$B$18,ROW()+1))),"",INDIRECT(CONCATENATE("Input!",RSE_Setup!$B$18,ROW()+1)))</f>
        <v>5.5556000000000001E-2</v>
      </c>
      <c r="D43" s="1" cm="1">
        <f t="array" aca="1" ref="D43" ca="1">IF(ISBLANK(INDIRECT(CONCATENATE("Input!",RSE_Setup!$B$19,ROW()+1))),"",INDIRECT(CONCATENATE("Input!",RSE_Setup!$B$19,ROW()+1)))</f>
        <v>3750</v>
      </c>
      <c r="E43" s="1" cm="1">
        <f t="array" aca="1" ref="E43" ca="1">IF(ISBLANK(INDIRECT(CONCATENATE("Input!",RSE_Setup!$B$25,ROW()+1))),"",INDIRECT(CONCATENATE("Input!",RSE_Setup!$B$25,ROW()+1)))</f>
        <v>280.33085299999999</v>
      </c>
      <c r="F43" s="1">
        <f ca="1"/>
        <v>284.82472163871631</v>
      </c>
    </row>
    <row r="44" spans="1:6" x14ac:dyDescent="0.3">
      <c r="A44" s="1" cm="1">
        <f t="array" aca="1" ref="A44" ca="1">IF(ISBLANK(INDIRECT(CONCATENATE("Input!",RSE_Setup!$B$16,ROW()+1))),"",INDIRECT(CONCATENATE("Input!",RSE_Setup!$B$16,ROW()+1)))</f>
        <v>7.5000000000000002E-4</v>
      </c>
      <c r="B44" s="1" cm="1">
        <f t="array" aca="1" ref="B44" ca="1">IF(ISBLANK(INDIRECT(CONCATENATE("Input!",RSE_Setup!$B$17,ROW()+1))),"",INDIRECT(CONCATENATE("Input!",RSE_Setup!$B$17,ROW()+1)))</f>
        <v>6.0000000000000001E-3</v>
      </c>
      <c r="C44" s="1" cm="1">
        <f t="array" aca="1" ref="C44" ca="1">IF(ISBLANK(INDIRECT(CONCATENATE("Input!",RSE_Setup!$B$18,ROW()+1))),"",INDIRECT(CONCATENATE("Input!",RSE_Setup!$B$18,ROW()+1)))</f>
        <v>3.2258000000000002E-2</v>
      </c>
      <c r="D44" s="1" cm="1">
        <f t="array" aca="1" ref="D44" ca="1">IF(ISBLANK(INDIRECT(CONCATENATE("Input!",RSE_Setup!$B$19,ROW()+1))),"",INDIRECT(CONCATENATE("Input!",RSE_Setup!$B$19,ROW()+1)))</f>
        <v>3750</v>
      </c>
      <c r="E44" s="1" cm="1">
        <f t="array" aca="1" ref="E44" ca="1">IF(ISBLANK(INDIRECT(CONCATENATE("Input!",RSE_Setup!$B$25,ROW()+1))),"",INDIRECT(CONCATENATE("Input!",RSE_Setup!$B$25,ROW()+1)))</f>
        <v>267.79895399999998</v>
      </c>
      <c r="F44" s="1">
        <f ca="1"/>
        <v>265.58082033143103</v>
      </c>
    </row>
    <row r="45" spans="1:6" x14ac:dyDescent="0.3">
      <c r="A45" s="1" cm="1">
        <f t="array" aca="1" ref="A45" ca="1">IF(ISBLANK(INDIRECT(CONCATENATE("Input!",RSE_Setup!$B$16,ROW()+1))),"",INDIRECT(CONCATENATE("Input!",RSE_Setup!$B$16,ROW()+1)))</f>
        <v>7.5000000000000002E-4</v>
      </c>
      <c r="B45" s="1" cm="1">
        <f t="array" aca="1" ref="B45" ca="1">IF(ISBLANK(INDIRECT(CONCATENATE("Input!",RSE_Setup!$B$17,ROW()+1))),"",INDIRECT(CONCATENATE("Input!",RSE_Setup!$B$17,ROW()+1)))</f>
        <v>6.0000000000000001E-3</v>
      </c>
      <c r="C45" s="1" cm="1">
        <f t="array" aca="1" ref="C45" ca="1">IF(ISBLANK(INDIRECT(CONCATENATE("Input!",RSE_Setup!$B$18,ROW()+1))),"",INDIRECT(CONCATENATE("Input!",RSE_Setup!$B$18,ROW()+1)))</f>
        <v>3.2258000000000002E-2</v>
      </c>
      <c r="D45" s="1" cm="1">
        <f t="array" aca="1" ref="D45" ca="1">IF(ISBLANK(INDIRECT(CONCATENATE("Input!",RSE_Setup!$B$19,ROW()+1))),"",INDIRECT(CONCATENATE("Input!",RSE_Setup!$B$19,ROW()+1)))</f>
        <v>5250</v>
      </c>
      <c r="E45" s="1" cm="1">
        <f t="array" aca="1" ref="E45" ca="1">IF(ISBLANK(INDIRECT(CONCATENATE("Input!",RSE_Setup!$B$25,ROW()+1))),"",INDIRECT(CONCATENATE("Input!",RSE_Setup!$B$25,ROW()+1)))</f>
        <v>366.18531100000001</v>
      </c>
      <c r="F45" s="1">
        <f ca="1"/>
        <v>366.70415865623806</v>
      </c>
    </row>
    <row r="46" spans="1:6" x14ac:dyDescent="0.3">
      <c r="A46" s="1" cm="1">
        <f t="array" aca="1" ref="A46" ca="1">IF(ISBLANK(INDIRECT(CONCATENATE("Input!",RSE_Setup!$B$16,ROW()+1))),"",INDIRECT(CONCATENATE("Input!",RSE_Setup!$B$16,ROW()+1)))</f>
        <v>7.5000000000000002E-4</v>
      </c>
      <c r="B46" s="1" cm="1">
        <f t="array" aca="1" ref="B46" ca="1">IF(ISBLANK(INDIRECT(CONCATENATE("Input!",RSE_Setup!$B$17,ROW()+1))),"",INDIRECT(CONCATENATE("Input!",RSE_Setup!$B$17,ROW()+1)))</f>
        <v>6.0000000000000001E-3</v>
      </c>
      <c r="C46" s="1" cm="1">
        <f t="array" aca="1" ref="C46" ca="1">IF(ISBLANK(INDIRECT(CONCATENATE("Input!",RSE_Setup!$B$18,ROW()+1))),"",INDIRECT(CONCATENATE("Input!",RSE_Setup!$B$18,ROW()+1)))</f>
        <v>3.2258000000000002E-2</v>
      </c>
      <c r="D46" s="1" cm="1">
        <f t="array" aca="1" ref="D46" ca="1">IF(ISBLANK(INDIRECT(CONCATENATE("Input!",RSE_Setup!$B$19,ROW()+1))),"",INDIRECT(CONCATENATE("Input!",RSE_Setup!$B$19,ROW()+1)))</f>
        <v>6500</v>
      </c>
      <c r="E46" s="1" cm="1">
        <f t="array" aca="1" ref="E46" ca="1">IF(ISBLANK(INDIRECT(CONCATENATE("Input!",RSE_Setup!$B$25,ROW()+1))),"",INDIRECT(CONCATENATE("Input!",RSE_Setup!$B$25,ROW()+1)))</f>
        <v>447.09058900000002</v>
      </c>
      <c r="F46" s="1">
        <f ca="1"/>
        <v>450.63015712080437</v>
      </c>
    </row>
    <row r="47" spans="1:6" x14ac:dyDescent="0.3">
      <c r="A47" s="1" cm="1">
        <f t="array" aca="1" ref="A47" ca="1">IF(ISBLANK(INDIRECT(CONCATENATE("Input!",RSE_Setup!$B$16,ROW()+1))),"",INDIRECT(CONCATENATE("Input!",RSE_Setup!$B$16,ROW()+1)))</f>
        <v>7.5000000000000002E-4</v>
      </c>
      <c r="B47" s="1" cm="1">
        <f t="array" aca="1" ref="B47" ca="1">IF(ISBLANK(INDIRECT(CONCATENATE("Input!",RSE_Setup!$B$17,ROW()+1))),"",INDIRECT(CONCATENATE("Input!",RSE_Setup!$B$17,ROW()+1)))</f>
        <v>8.0000000000000002E-3</v>
      </c>
      <c r="C47" s="1" cm="1">
        <f t="array" aca="1" ref="C47" ca="1">IF(ISBLANK(INDIRECT(CONCATENATE("Input!",RSE_Setup!$B$18,ROW()+1))),"",INDIRECT(CONCATENATE("Input!",RSE_Setup!$B$18,ROW()+1)))</f>
        <v>3.2258000000000002E-2</v>
      </c>
      <c r="D47" s="1" cm="1">
        <f t="array" aca="1" ref="D47" ca="1">IF(ISBLANK(INDIRECT(CONCATENATE("Input!",RSE_Setup!$B$19,ROW()+1))),"",INDIRECT(CONCATENATE("Input!",RSE_Setup!$B$19,ROW()+1)))</f>
        <v>5250</v>
      </c>
      <c r="E47" s="1" cm="1">
        <f t="array" aca="1" ref="E47" ca="1">IF(ISBLANK(INDIRECT(CONCATENATE("Input!",RSE_Setup!$B$25,ROW()+1))),"",INDIRECT(CONCATENATE("Input!",RSE_Setup!$B$25,ROW()+1)))</f>
        <v>409.23869000000002</v>
      </c>
      <c r="F47" s="1">
        <f ca="1"/>
        <v>408.5344160225581</v>
      </c>
    </row>
    <row r="48" spans="1:6" x14ac:dyDescent="0.3">
      <c r="A48" s="1" cm="1">
        <f t="array" aca="1" ref="A48" ca="1">IF(ISBLANK(INDIRECT(CONCATENATE("Input!",RSE_Setup!$B$16,ROW()+1))),"",INDIRECT(CONCATENATE("Input!",RSE_Setup!$B$16,ROW()+1)))</f>
        <v>7.5000000000000002E-4</v>
      </c>
      <c r="B48" s="1" cm="1">
        <f t="array" aca="1" ref="B48" ca="1">IF(ISBLANK(INDIRECT(CONCATENATE("Input!",RSE_Setup!$B$17,ROW()+1))),"",INDIRECT(CONCATENATE("Input!",RSE_Setup!$B$17,ROW()+1)))</f>
        <v>8.0000000000000002E-3</v>
      </c>
      <c r="C48" s="1" cm="1">
        <f t="array" aca="1" ref="C48" ca="1">IF(ISBLANK(INDIRECT(CONCATENATE("Input!",RSE_Setup!$B$18,ROW()+1))),"",INDIRECT(CONCATENATE("Input!",RSE_Setup!$B$18,ROW()+1)))</f>
        <v>3.2258000000000002E-2</v>
      </c>
      <c r="D48" s="1" cm="1">
        <f t="array" aca="1" ref="D48" ca="1">IF(ISBLANK(INDIRECT(CONCATENATE("Input!",RSE_Setup!$B$19,ROW()+1))),"",INDIRECT(CONCATENATE("Input!",RSE_Setup!$B$19,ROW()+1)))</f>
        <v>6500</v>
      </c>
      <c r="E48" s="1" cm="1">
        <f t="array" aca="1" ref="E48" ca="1">IF(ISBLANK(INDIRECT(CONCATENATE("Input!",RSE_Setup!$B$25,ROW()+1))),"",INDIRECT(CONCATENATE("Input!",RSE_Setup!$B$25,ROW()+1)))</f>
        <v>497.76824499999998</v>
      </c>
      <c r="F48" s="1">
        <f ca="1"/>
        <v>500.97362129910823</v>
      </c>
    </row>
    <row r="49" spans="1:6" x14ac:dyDescent="0.3">
      <c r="A49" s="1" cm="1">
        <f t="array" aca="1" ref="A49" ca="1">IF(ISBLANK(INDIRECT(CONCATENATE("Input!",RSE_Setup!$B$16,ROW()+1))),"",INDIRECT(CONCATENATE("Input!",RSE_Setup!$B$16,ROW()+1)))</f>
        <v>1E-3</v>
      </c>
      <c r="B49" s="1" cm="1">
        <f t="array" aca="1" ref="B49" ca="1">IF(ISBLANK(INDIRECT(CONCATENATE("Input!",RSE_Setup!$B$17,ROW()+1))),"",INDIRECT(CONCATENATE("Input!",RSE_Setup!$B$17,ROW()+1)))</f>
        <v>5.0000000000000001E-3</v>
      </c>
      <c r="C49" s="1" cm="1">
        <f t="array" aca="1" ref="C49" ca="1">IF(ISBLANK(INDIRECT(CONCATENATE("Input!",RSE_Setup!$B$18,ROW()+1))),"",INDIRECT(CONCATENATE("Input!",RSE_Setup!$B$18,ROW()+1)))</f>
        <v>5.5556000000000001E-2</v>
      </c>
      <c r="D49" s="1" cm="1">
        <f t="array" aca="1" ref="D49" ca="1">IF(ISBLANK(INDIRECT(CONCATENATE("Input!",RSE_Setup!$B$19,ROW()+1))),"",INDIRECT(CONCATENATE("Input!",RSE_Setup!$B$19,ROW()+1)))</f>
        <v>3750</v>
      </c>
      <c r="E49" s="1" cm="1">
        <f t="array" aca="1" ref="E49" ca="1">IF(ISBLANK(INDIRECT(CONCATENATE("Input!",RSE_Setup!$B$25,ROW()+1))),"",INDIRECT(CONCATENATE("Input!",RSE_Setup!$B$25,ROW()+1)))</f>
        <v>280.39252299999998</v>
      </c>
      <c r="F49" s="1">
        <f ca="1"/>
        <v>285.02947602681218</v>
      </c>
    </row>
    <row r="50" spans="1:6" x14ac:dyDescent="0.3">
      <c r="A50" s="1" cm="1">
        <f t="array" aca="1" ref="A50" ca="1">IF(ISBLANK(INDIRECT(CONCATENATE("Input!",RSE_Setup!$B$16,ROW()+1))),"",INDIRECT(CONCATENATE("Input!",RSE_Setup!$B$16,ROW()+1)))</f>
        <v>1E-3</v>
      </c>
      <c r="B50" s="1" cm="1">
        <f t="array" aca="1" ref="B50" ca="1">IF(ISBLANK(INDIRECT(CONCATENATE("Input!",RSE_Setup!$B$17,ROW()+1))),"",INDIRECT(CONCATENATE("Input!",RSE_Setup!$B$17,ROW()+1)))</f>
        <v>5.0000000000000001E-3</v>
      </c>
      <c r="C50" s="1" cm="1">
        <f t="array" aca="1" ref="C50" ca="1">IF(ISBLANK(INDIRECT(CONCATENATE("Input!",RSE_Setup!$B$18,ROW()+1))),"",INDIRECT(CONCATENATE("Input!",RSE_Setup!$B$18,ROW()+1)))</f>
        <v>3.2258000000000002E-2</v>
      </c>
      <c r="D50" s="1" cm="1">
        <f t="array" aca="1" ref="D50" ca="1">IF(ISBLANK(INDIRECT(CONCATENATE("Input!",RSE_Setup!$B$19,ROW()+1))),"",INDIRECT(CONCATENATE("Input!",RSE_Setup!$B$19,ROW()+1)))</f>
        <v>3750</v>
      </c>
      <c r="E50" s="1" cm="1">
        <f t="array" aca="1" ref="E50" ca="1">IF(ISBLANK(INDIRECT(CONCATENATE("Input!",RSE_Setup!$B$25,ROW()+1))),"",INDIRECT(CONCATENATE("Input!",RSE_Setup!$B$25,ROW()+1)))</f>
        <v>267.64426900000001</v>
      </c>
      <c r="F50" s="1">
        <f ca="1"/>
        <v>265.43467362517492</v>
      </c>
    </row>
    <row r="51" spans="1:6" x14ac:dyDescent="0.3">
      <c r="A51" s="1" cm="1">
        <f t="array" aca="1" ref="A51" ca="1">IF(ISBLANK(INDIRECT(CONCATENATE("Input!",RSE_Setup!$B$16,ROW()+1))),"",INDIRECT(CONCATENATE("Input!",RSE_Setup!$B$16,ROW()+1)))</f>
        <v>1E-3</v>
      </c>
      <c r="B51" s="1" cm="1">
        <f t="array" aca="1" ref="B51" ca="1">IF(ISBLANK(INDIRECT(CONCATENATE("Input!",RSE_Setup!$B$17,ROW()+1))),"",INDIRECT(CONCATENATE("Input!",RSE_Setup!$B$17,ROW()+1)))</f>
        <v>5.0000000000000001E-3</v>
      </c>
      <c r="C51" s="1" cm="1">
        <f t="array" aca="1" ref="C51" ca="1">IF(ISBLANK(INDIRECT(CONCATENATE("Input!",RSE_Setup!$B$18,ROW()+1))),"",INDIRECT(CONCATENATE("Input!",RSE_Setup!$B$18,ROW()+1)))</f>
        <v>3.2258000000000002E-2</v>
      </c>
      <c r="D51" s="1" cm="1">
        <f t="array" aca="1" ref="D51" ca="1">IF(ISBLANK(INDIRECT(CONCATENATE("Input!",RSE_Setup!$B$19,ROW()+1))),"",INDIRECT(CONCATENATE("Input!",RSE_Setup!$B$19,ROW()+1)))</f>
        <v>5250</v>
      </c>
      <c r="E51" s="1" cm="1">
        <f t="array" aca="1" ref="E51" ca="1">IF(ISBLANK(INDIRECT(CONCATENATE("Input!",RSE_Setup!$B$25,ROW()+1))),"",INDIRECT(CONCATENATE("Input!",RSE_Setup!$B$25,ROW()+1)))</f>
        <v>366.95459499999998</v>
      </c>
      <c r="F51" s="1">
        <f ca="1"/>
        <v>366.77165292141069</v>
      </c>
    </row>
    <row r="52" spans="1:6" x14ac:dyDescent="0.3">
      <c r="A52" s="1" cm="1">
        <f t="array" aca="1" ref="A52" ca="1">IF(ISBLANK(INDIRECT(CONCATENATE("Input!",RSE_Setup!$B$16,ROW()+1))),"",INDIRECT(CONCATENATE("Input!",RSE_Setup!$B$16,ROW()+1)))</f>
        <v>1E-3</v>
      </c>
      <c r="B52" s="1" cm="1">
        <f t="array" aca="1" ref="B52" ca="1">IF(ISBLANK(INDIRECT(CONCATENATE("Input!",RSE_Setup!$B$17,ROW()+1))),"",INDIRECT(CONCATENATE("Input!",RSE_Setup!$B$17,ROW()+1)))</f>
        <v>5.0000000000000001E-3</v>
      </c>
      <c r="C52" s="1" cm="1">
        <f t="array" aca="1" ref="C52" ca="1">IF(ISBLANK(INDIRECT(CONCATENATE("Input!",RSE_Setup!$B$18,ROW()+1))),"",INDIRECT(CONCATENATE("Input!",RSE_Setup!$B$18,ROW()+1)))</f>
        <v>3.2258000000000002E-2</v>
      </c>
      <c r="D52" s="1" cm="1">
        <f t="array" aca="1" ref="D52" ca="1">IF(ISBLANK(INDIRECT(CONCATENATE("Input!",RSE_Setup!$B$19,ROW()+1))),"",INDIRECT(CONCATENATE("Input!",RSE_Setup!$B$19,ROW()+1)))</f>
        <v>6500</v>
      </c>
      <c r="E52" s="1" cm="1">
        <f t="array" aca="1" ref="E52" ca="1">IF(ISBLANK(INDIRECT(CONCATENATE("Input!",RSE_Setup!$B$25,ROW()+1))),"",INDIRECT(CONCATENATE("Input!",RSE_Setup!$B$25,ROW()+1)))</f>
        <v>445.17819300000002</v>
      </c>
      <c r="F52" s="1">
        <f ca="1"/>
        <v>450.87568552883431</v>
      </c>
    </row>
    <row r="53" spans="1:6" x14ac:dyDescent="0.3">
      <c r="A53" s="1" cm="1">
        <f t="array" aca="1" ref="A53" ca="1">IF(ISBLANK(INDIRECT(CONCATENATE("Input!",RSE_Setup!$B$16,ROW()+1))),"",INDIRECT(CONCATENATE("Input!",RSE_Setup!$B$16,ROW()+1)))</f>
        <v>1E-3</v>
      </c>
      <c r="B53" s="1" cm="1">
        <f t="array" aca="1" ref="B53" ca="1">IF(ISBLANK(INDIRECT(CONCATENATE("Input!",RSE_Setup!$B$17,ROW()+1))),"",INDIRECT(CONCATENATE("Input!",RSE_Setup!$B$17,ROW()+1)))</f>
        <v>6.4999999999999997E-3</v>
      </c>
      <c r="C53" s="1" cm="1">
        <f t="array" aca="1" ref="C53" ca="1">IF(ISBLANK(INDIRECT(CONCATENATE("Input!",RSE_Setup!$B$18,ROW()+1))),"",INDIRECT(CONCATENATE("Input!",RSE_Setup!$B$18,ROW()+1)))</f>
        <v>5.5556000000000001E-2</v>
      </c>
      <c r="D53" s="1" cm="1">
        <f t="array" aca="1" ref="D53" ca="1">IF(ISBLANK(INDIRECT(CONCATENATE("Input!",RSE_Setup!$B$19,ROW()+1))),"",INDIRECT(CONCATENATE("Input!",RSE_Setup!$B$19,ROW()+1)))</f>
        <v>3750</v>
      </c>
      <c r="E53" s="1" cm="1">
        <f t="array" aca="1" ref="E53" ca="1">IF(ISBLANK(INDIRECT(CONCATENATE("Input!",RSE_Setup!$B$25,ROW()+1))),"",INDIRECT(CONCATENATE("Input!",RSE_Setup!$B$25,ROW()+1)))</f>
        <v>299.43648300000001</v>
      </c>
      <c r="F53" s="1">
        <f ca="1"/>
        <v>306.61315020829988</v>
      </c>
    </row>
    <row r="54" spans="1:6" x14ac:dyDescent="0.3">
      <c r="A54" s="1" cm="1">
        <f t="array" aca="1" ref="A54" ca="1">IF(ISBLANK(INDIRECT(CONCATENATE("Input!",RSE_Setup!$B$16,ROW()+1))),"",INDIRECT(CONCATENATE("Input!",RSE_Setup!$B$16,ROW()+1)))</f>
        <v>1E-3</v>
      </c>
      <c r="B54" s="1" cm="1">
        <f t="array" aca="1" ref="B54" ca="1">IF(ISBLANK(INDIRECT(CONCATENATE("Input!",RSE_Setup!$B$17,ROW()+1))),"",INDIRECT(CONCATENATE("Input!",RSE_Setup!$B$17,ROW()+1)))</f>
        <v>6.4999999999999997E-3</v>
      </c>
      <c r="C54" s="1" cm="1">
        <f t="array" aca="1" ref="C54" ca="1">IF(ISBLANK(INDIRECT(CONCATENATE("Input!",RSE_Setup!$B$18,ROW()+1))),"",INDIRECT(CONCATENATE("Input!",RSE_Setup!$B$18,ROW()+1)))</f>
        <v>3.2258000000000002E-2</v>
      </c>
      <c r="D54" s="1" cm="1">
        <f t="array" aca="1" ref="D54" ca="1">IF(ISBLANK(INDIRECT(CONCATENATE("Input!",RSE_Setup!$B$19,ROW()+1))),"",INDIRECT(CONCATENATE("Input!",RSE_Setup!$B$19,ROW()+1)))</f>
        <v>3750</v>
      </c>
      <c r="E54" s="1" cm="1">
        <f t="array" aca="1" ref="E54" ca="1">IF(ISBLANK(INDIRECT(CONCATENATE("Input!",RSE_Setup!$B$25,ROW()+1))),"",INDIRECT(CONCATENATE("Input!",RSE_Setup!$B$25,ROW()+1)))</f>
        <v>290.35941300000002</v>
      </c>
      <c r="F54" s="1">
        <f ca="1"/>
        <v>287.76342529365945</v>
      </c>
    </row>
    <row r="55" spans="1:6" x14ac:dyDescent="0.3">
      <c r="A55" s="1" cm="1">
        <f t="array" aca="1" ref="A55" ca="1">IF(ISBLANK(INDIRECT(CONCATENATE("Input!",RSE_Setup!$B$16,ROW()+1))),"",INDIRECT(CONCATENATE("Input!",RSE_Setup!$B$16,ROW()+1)))</f>
        <v>1E-3</v>
      </c>
      <c r="B55" s="1" cm="1">
        <f t="array" aca="1" ref="B55" ca="1">IF(ISBLANK(INDIRECT(CONCATENATE("Input!",RSE_Setup!$B$17,ROW()+1))),"",INDIRECT(CONCATENATE("Input!",RSE_Setup!$B$17,ROW()+1)))</f>
        <v>6.4999999999999997E-3</v>
      </c>
      <c r="C55" s="1" cm="1">
        <f t="array" aca="1" ref="C55" ca="1">IF(ISBLANK(INDIRECT(CONCATENATE("Input!",RSE_Setup!$B$18,ROW()+1))),"",INDIRECT(CONCATENATE("Input!",RSE_Setup!$B$18,ROW()+1)))</f>
        <v>3.2258000000000002E-2</v>
      </c>
      <c r="D55" s="1" cm="1">
        <f t="array" aca="1" ref="D55" ca="1">IF(ISBLANK(INDIRECT(CONCATENATE("Input!",RSE_Setup!$B$19,ROW()+1))),"",INDIRECT(CONCATENATE("Input!",RSE_Setup!$B$19,ROW()+1)))</f>
        <v>5250</v>
      </c>
      <c r="E55" s="1" cm="1">
        <f t="array" aca="1" ref="E55" ca="1">IF(ISBLANK(INDIRECT(CONCATENATE("Input!",RSE_Setup!$B$25,ROW()+1))),"",INDIRECT(CONCATENATE("Input!",RSE_Setup!$B$25,ROW()+1)))</f>
        <v>398.175725</v>
      </c>
      <c r="F55" s="1">
        <f ca="1"/>
        <v>396.7622907206806</v>
      </c>
    </row>
    <row r="56" spans="1:6" x14ac:dyDescent="0.3">
      <c r="A56" s="1" cm="1">
        <f t="array" aca="1" ref="A56" ca="1">IF(ISBLANK(INDIRECT(CONCATENATE("Input!",RSE_Setup!$B$16,ROW()+1))),"",INDIRECT(CONCATENATE("Input!",RSE_Setup!$B$16,ROW()+1)))</f>
        <v>1E-3</v>
      </c>
      <c r="B56" s="1" cm="1">
        <f t="array" aca="1" ref="B56" ca="1">IF(ISBLANK(INDIRECT(CONCATENATE("Input!",RSE_Setup!$B$17,ROW()+1))),"",INDIRECT(CONCATENATE("Input!",RSE_Setup!$B$17,ROW()+1)))</f>
        <v>6.4999999999999997E-3</v>
      </c>
      <c r="C56" s="1" cm="1">
        <f t="array" aca="1" ref="C56" ca="1">IF(ISBLANK(INDIRECT(CONCATENATE("Input!",RSE_Setup!$B$18,ROW()+1))),"",INDIRECT(CONCATENATE("Input!",RSE_Setup!$B$18,ROW()+1)))</f>
        <v>3.2258000000000002E-2</v>
      </c>
      <c r="D56" s="1" cm="1">
        <f t="array" aca="1" ref="D56" ca="1">IF(ISBLANK(INDIRECT(CONCATENATE("Input!",RSE_Setup!$B$19,ROW()+1))),"",INDIRECT(CONCATENATE("Input!",RSE_Setup!$B$19,ROW()+1)))</f>
        <v>6500</v>
      </c>
      <c r="E56" s="1" cm="1">
        <f t="array" aca="1" ref="E56" ca="1">IF(ISBLANK(INDIRECT(CONCATENATE("Input!",RSE_Setup!$B$25,ROW()+1))),"",INDIRECT(CONCATENATE("Input!",RSE_Setup!$B$25,ROW()+1)))</f>
        <v>485.99391100000003</v>
      </c>
      <c r="F56" s="1">
        <f ca="1"/>
        <v>487.25122843709204</v>
      </c>
    </row>
    <row r="57" spans="1:6" x14ac:dyDescent="0.3">
      <c r="A57" s="1" cm="1">
        <f t="array" aca="1" ref="A57" ca="1">IF(ISBLANK(INDIRECT(CONCATENATE("Input!",RSE_Setup!$B$16,ROW()+1))),"",INDIRECT(CONCATENATE("Input!",RSE_Setup!$B$16,ROW()+1)))</f>
        <v>1E-3</v>
      </c>
      <c r="B57" s="1" cm="1">
        <f t="array" aca="1" ref="B57" ca="1">IF(ISBLANK(INDIRECT(CONCATENATE("Input!",RSE_Setup!$B$17,ROW()+1))),"",INDIRECT(CONCATENATE("Input!",RSE_Setup!$B$17,ROW()+1)))</f>
        <v>8.0000000000000002E-3</v>
      </c>
      <c r="C57" s="1" cm="1">
        <f t="array" aca="1" ref="C57" ca="1">IF(ISBLANK(INDIRECT(CONCATENATE("Input!",RSE_Setup!$B$18,ROW()+1))),"",INDIRECT(CONCATENATE("Input!",RSE_Setup!$B$18,ROW()+1)))</f>
        <v>3.2258000000000002E-2</v>
      </c>
      <c r="D57" s="1" cm="1">
        <f t="array" aca="1" ref="D57" ca="1">IF(ISBLANK(INDIRECT(CONCATENATE("Input!",RSE_Setup!$B$19,ROW()+1))),"",INDIRECT(CONCATENATE("Input!",RSE_Setup!$B$19,ROW()+1)))</f>
        <v>5250</v>
      </c>
      <c r="E57" s="1" cm="1">
        <f t="array" aca="1" ref="E57" ca="1">IF(ISBLANK(INDIRECT(CONCATENATE("Input!",RSE_Setup!$B$25,ROW()+1))),"",INDIRECT(CONCATENATE("Input!",RSE_Setup!$B$25,ROW()+1)))</f>
        <v>428.74710099999999</v>
      </c>
      <c r="F57" s="1">
        <f ca="1"/>
        <v>428.61696560233935</v>
      </c>
    </row>
    <row r="58" spans="1:6" x14ac:dyDescent="0.3">
      <c r="A58" s="1" cm="1">
        <f t="array" aca="1" ref="A58" ca="1">IF(ISBLANK(INDIRECT(CONCATENATE("Input!",RSE_Setup!$B$16,ROW()+1))),"",INDIRECT(CONCATENATE("Input!",RSE_Setup!$B$16,ROW()+1)))</f>
        <v>1E-3</v>
      </c>
      <c r="B58" s="1" cm="1">
        <f t="array" aca="1" ref="B58" ca="1">IF(ISBLANK(INDIRECT(CONCATENATE("Input!",RSE_Setup!$B$17,ROW()+1))),"",INDIRECT(CONCATENATE("Input!",RSE_Setup!$B$17,ROW()+1)))</f>
        <v>8.0000000000000002E-3</v>
      </c>
      <c r="C58" s="1" cm="1">
        <f t="array" aca="1" ref="C58" ca="1">IF(ISBLANK(INDIRECT(CONCATENATE("Input!",RSE_Setup!$B$18,ROW()+1))),"",INDIRECT(CONCATENATE("Input!",RSE_Setup!$B$18,ROW()+1)))</f>
        <v>3.2258000000000002E-2</v>
      </c>
      <c r="D58" s="1" cm="1">
        <f t="array" aca="1" ref="D58" ca="1">IF(ISBLANK(INDIRECT(CONCATENATE("Input!",RSE_Setup!$B$19,ROW()+1))),"",INDIRECT(CONCATENATE("Input!",RSE_Setup!$B$19,ROW()+1)))</f>
        <v>6500</v>
      </c>
      <c r="E58" s="1" cm="1">
        <f t="array" aca="1" ref="E58" ca="1">IF(ISBLANK(INDIRECT(CONCATENATE("Input!",RSE_Setup!$B$25,ROW()+1))),"",INDIRECT(CONCATENATE("Input!",RSE_Setup!$B$25,ROW()+1)))</f>
        <v>522.097217</v>
      </c>
      <c r="F58" s="1">
        <f ca="1"/>
        <v>525.49080842773856</v>
      </c>
    </row>
    <row r="59" spans="1:6" x14ac:dyDescent="0.3">
      <c r="A59" s="1" cm="1">
        <f t="array" aca="1" ref="A59" ca="1">IF(ISBLANK(INDIRECT(CONCATENATE("Input!",RSE_Setup!$B$16,ROW()+1))),"",INDIRECT(CONCATENATE("Input!",RSE_Setup!$B$16,ROW()+1)))</f>
        <v>2.9999999999999997E-4</v>
      </c>
      <c r="B59" s="1" cm="1">
        <f t="array" aca="1" ref="B59" ca="1">IF(ISBLANK(INDIRECT(CONCATENATE("Input!",RSE_Setup!$B$17,ROW()+1))),"",INDIRECT(CONCATENATE("Input!",RSE_Setup!$B$17,ROW()+1)))</f>
        <v>2E-3</v>
      </c>
      <c r="C59" s="1" cm="1">
        <f t="array" aca="1" ref="C59" ca="1">IF(ISBLANK(INDIRECT(CONCATENATE("Input!",RSE_Setup!$B$18,ROW()+1))),"",INDIRECT(CONCATENATE("Input!",RSE_Setup!$B$18,ROW()+1)))</f>
        <v>5.5556000000000001E-2</v>
      </c>
      <c r="D59" s="1" cm="1">
        <f t="array" aca="1" ref="D59" ca="1">IF(ISBLANK(INDIRECT(CONCATENATE("Input!",RSE_Setup!$B$19,ROW()+1))),"",INDIRECT(CONCATENATE("Input!",RSE_Setup!$B$19,ROW()+1)))</f>
        <v>6000</v>
      </c>
      <c r="E59" s="1" cm="1">
        <f t="array" aca="1" ref="E59" ca="1">IF(ISBLANK(INDIRECT(CONCATENATE("Input!",RSE_Setup!$B$25,ROW()+1))),"",INDIRECT(CONCATENATE("Input!",RSE_Setup!$B$25,ROW()+1)))</f>
        <v>320.84239600000001</v>
      </c>
      <c r="F59" s="1">
        <f ca="1"/>
        <v>326.26520344312587</v>
      </c>
    </row>
    <row r="60" spans="1:6" x14ac:dyDescent="0.3">
      <c r="A60" s="1" cm="1">
        <f t="array" aca="1" ref="A60" ca="1">IF(ISBLANK(INDIRECT(CONCATENATE("Input!",RSE_Setup!$B$16,ROW()+1))),"",INDIRECT(CONCATENATE("Input!",RSE_Setup!$B$16,ROW()+1)))</f>
        <v>2.9999999999999997E-4</v>
      </c>
      <c r="B60" s="1" cm="1">
        <f t="array" aca="1" ref="B60" ca="1">IF(ISBLANK(INDIRECT(CONCATENATE("Input!",RSE_Setup!$B$17,ROW()+1))),"",INDIRECT(CONCATENATE("Input!",RSE_Setup!$B$17,ROW()+1)))</f>
        <v>2E-3</v>
      </c>
      <c r="C60" s="1" cm="1">
        <f t="array" aca="1" ref="C60" ca="1">IF(ISBLANK(INDIRECT(CONCATENATE("Input!",RSE_Setup!$B$18,ROW()+1))),"",INDIRECT(CONCATENATE("Input!",RSE_Setup!$B$18,ROW()+1)))</f>
        <v>3.2258000000000002E-2</v>
      </c>
      <c r="D60" s="1" cm="1">
        <f t="array" aca="1" ref="D60" ca="1">IF(ISBLANK(INDIRECT(CONCATENATE("Input!",RSE_Setup!$B$19,ROW()+1))),"",INDIRECT(CONCATENATE("Input!",RSE_Setup!$B$19,ROW()+1)))</f>
        <v>6000</v>
      </c>
      <c r="E60" s="1" cm="1">
        <f t="array" aca="1" ref="E60" ca="1">IF(ISBLANK(INDIRECT(CONCATENATE("Input!",RSE_Setup!$B$25,ROW()+1))),"",INDIRECT(CONCATENATE("Input!",RSE_Setup!$B$25,ROW()+1)))</f>
        <v>298.922595</v>
      </c>
      <c r="F60" s="1">
        <f ca="1"/>
        <v>294.35800806139946</v>
      </c>
    </row>
    <row r="61" spans="1:6" x14ac:dyDescent="0.3">
      <c r="A61" s="1" cm="1">
        <f t="array" aca="1" ref="A61" ca="1">IF(ISBLANK(INDIRECT(CONCATENATE("Input!",RSE_Setup!$B$16,ROW()+1))),"",INDIRECT(CONCATENATE("Input!",RSE_Setup!$B$16,ROW()+1)))</f>
        <v>2.9999999999999997E-4</v>
      </c>
      <c r="B61" s="1" cm="1">
        <f t="array" aca="1" ref="B61" ca="1">IF(ISBLANK(INDIRECT(CONCATENATE("Input!",RSE_Setup!$B$17,ROW()+1))),"",INDIRECT(CONCATENATE("Input!",RSE_Setup!$B$17,ROW()+1)))</f>
        <v>2E-3</v>
      </c>
      <c r="C61" s="1" cm="1">
        <f t="array" aca="1" ref="C61" ca="1">IF(ISBLANK(INDIRECT(CONCATENATE("Input!",RSE_Setup!$B$18,ROW()+1))),"",INDIRECT(CONCATENATE("Input!",RSE_Setup!$B$18,ROW()+1)))</f>
        <v>3.2258000000000002E-2</v>
      </c>
      <c r="D61" s="1" cm="1">
        <f t="array" aca="1" ref="D61" ca="1">IF(ISBLANK(INDIRECT(CONCATENATE("Input!",RSE_Setup!$B$19,ROW()+1))),"",INDIRECT(CONCATENATE("Input!",RSE_Setup!$B$19,ROW()+1)))</f>
        <v>8000</v>
      </c>
      <c r="E61" s="1" cm="1">
        <f t="array" aca="1" ref="E61" ca="1">IF(ISBLANK(INDIRECT(CONCATENATE("Input!",RSE_Setup!$B$25,ROW()+1))),"",INDIRECT(CONCATENATE("Input!",RSE_Setup!$B$25,ROW()+1)))</f>
        <v>389.91685000000001</v>
      </c>
      <c r="F61" s="1">
        <f ca="1"/>
        <v>388.17598021040567</v>
      </c>
    </row>
    <row r="62" spans="1:6" x14ac:dyDescent="0.3">
      <c r="A62" s="1" cm="1">
        <f t="array" aca="1" ref="A62" ca="1">IF(ISBLANK(INDIRECT(CONCATENATE("Input!",RSE_Setup!$B$16,ROW()+1))),"",INDIRECT(CONCATENATE("Input!",RSE_Setup!$B$16,ROW()+1)))</f>
        <v>2.9999999999999997E-4</v>
      </c>
      <c r="B62" s="1" cm="1">
        <f t="array" aca="1" ref="B62" ca="1">IF(ISBLANK(INDIRECT(CONCATENATE("Input!",RSE_Setup!$B$17,ROW()+1))),"",INDIRECT(CONCATENATE("Input!",RSE_Setup!$B$17,ROW()+1)))</f>
        <v>2E-3</v>
      </c>
      <c r="C62" s="1" cm="1">
        <f t="array" aca="1" ref="C62" ca="1">IF(ISBLANK(INDIRECT(CONCATENATE("Input!",RSE_Setup!$B$18,ROW()+1))),"",INDIRECT(CONCATENATE("Input!",RSE_Setup!$B$18,ROW()+1)))</f>
        <v>3.2258000000000002E-2</v>
      </c>
      <c r="D62" s="1" cm="1">
        <f t="array" aca="1" ref="D62" ca="1">IF(ISBLANK(INDIRECT(CONCATENATE("Input!",RSE_Setup!$B$19,ROW()+1))),"",INDIRECT(CONCATENATE("Input!",RSE_Setup!$B$19,ROW()+1)))</f>
        <v>10000</v>
      </c>
      <c r="E62" s="1" cm="1">
        <f t="array" aca="1" ref="E62" ca="1">IF(ISBLANK(INDIRECT(CONCATENATE("Input!",RSE_Setup!$B$25,ROW()+1))),"",INDIRECT(CONCATENATE("Input!",RSE_Setup!$B$25,ROW()+1)))</f>
        <v>478.69466999999997</v>
      </c>
      <c r="F62" s="1">
        <f ca="1"/>
        <v>481.1946502167163</v>
      </c>
    </row>
    <row r="63" spans="1:6" x14ac:dyDescent="0.3">
      <c r="A63" s="1" cm="1">
        <f t="array" aca="1" ref="A63" ca="1">IF(ISBLANK(INDIRECT(CONCATENATE("Input!",RSE_Setup!$B$16,ROW()+1))),"",INDIRECT(CONCATENATE("Input!",RSE_Setup!$B$16,ROW()+1)))</f>
        <v>2.9999999999999997E-4</v>
      </c>
      <c r="B63" s="1" cm="1">
        <f t="array" aca="1" ref="B63" ca="1">IF(ISBLANK(INDIRECT(CONCATENATE("Input!",RSE_Setup!$B$17,ROW()+1))),"",INDIRECT(CONCATENATE("Input!",RSE_Setup!$B$17,ROW()+1)))</f>
        <v>3.0000000000000001E-3</v>
      </c>
      <c r="C63" s="1" cm="1">
        <f t="array" aca="1" ref="C63" ca="1">IF(ISBLANK(INDIRECT(CONCATENATE("Input!",RSE_Setup!$B$18,ROW()+1))),"",INDIRECT(CONCATENATE("Input!",RSE_Setup!$B$18,ROW()+1)))</f>
        <v>5.5556000000000001E-2</v>
      </c>
      <c r="D63" s="1" cm="1">
        <f t="array" aca="1" ref="D63" ca="1">IF(ISBLANK(INDIRECT(CONCATENATE("Input!",RSE_Setup!$B$19,ROW()+1))),"",INDIRECT(CONCATENATE("Input!",RSE_Setup!$B$19,ROW()+1)))</f>
        <v>6000</v>
      </c>
      <c r="E63" s="1" cm="1">
        <f t="array" aca="1" ref="E63" ca="1">IF(ISBLANK(INDIRECT(CONCATENATE("Input!",RSE_Setup!$B$25,ROW()+1))),"",INDIRECT(CONCATENATE("Input!",RSE_Setup!$B$25,ROW()+1)))</f>
        <v>339.49633399999999</v>
      </c>
      <c r="F63" s="1">
        <f ca="1"/>
        <v>345.30393086861437</v>
      </c>
    </row>
    <row r="64" spans="1:6" x14ac:dyDescent="0.3">
      <c r="A64" s="1" cm="1">
        <f t="array" aca="1" ref="A64" ca="1">IF(ISBLANK(INDIRECT(CONCATENATE("Input!",RSE_Setup!$B$16,ROW()+1))),"",INDIRECT(CONCATENATE("Input!",RSE_Setup!$B$16,ROW()+1)))</f>
        <v>2.9999999999999997E-4</v>
      </c>
      <c r="B64" s="1" cm="1">
        <f t="array" aca="1" ref="B64" ca="1">IF(ISBLANK(INDIRECT(CONCATENATE("Input!",RSE_Setup!$B$17,ROW()+1))),"",INDIRECT(CONCATENATE("Input!",RSE_Setup!$B$17,ROW()+1)))</f>
        <v>3.0000000000000001E-3</v>
      </c>
      <c r="C64" s="1" cm="1">
        <f t="array" aca="1" ref="C64" ca="1">IF(ISBLANK(INDIRECT(CONCATENATE("Input!",RSE_Setup!$B$18,ROW()+1))),"",INDIRECT(CONCATENATE("Input!",RSE_Setup!$B$18,ROW()+1)))</f>
        <v>3.2258000000000002E-2</v>
      </c>
      <c r="D64" s="1" cm="1">
        <f t="array" aca="1" ref="D64" ca="1">IF(ISBLANK(INDIRECT(CONCATENATE("Input!",RSE_Setup!$B$19,ROW()+1))),"",INDIRECT(CONCATENATE("Input!",RSE_Setup!$B$19,ROW()+1)))</f>
        <v>6000</v>
      </c>
      <c r="E64" s="1" cm="1">
        <f t="array" aca="1" ref="E64" ca="1">IF(ISBLANK(INDIRECT(CONCATENATE("Input!",RSE_Setup!$B$25,ROW()+1))),"",INDIRECT(CONCATENATE("Input!",RSE_Setup!$B$25,ROW()+1)))</f>
        <v>317.62344100000001</v>
      </c>
      <c r="F64" s="1">
        <f ca="1"/>
        <v>313.8934538115526</v>
      </c>
    </row>
    <row r="65" spans="1:6" x14ac:dyDescent="0.3">
      <c r="A65" s="1" cm="1">
        <f t="array" aca="1" ref="A65" ca="1">IF(ISBLANK(INDIRECT(CONCATENATE("Input!",RSE_Setup!$B$16,ROW()+1))),"",INDIRECT(CONCATENATE("Input!",RSE_Setup!$B$16,ROW()+1)))</f>
        <v>2.9999999999999997E-4</v>
      </c>
      <c r="B65" s="1" cm="1">
        <f t="array" aca="1" ref="B65" ca="1">IF(ISBLANK(INDIRECT(CONCATENATE("Input!",RSE_Setup!$B$17,ROW()+1))),"",INDIRECT(CONCATENATE("Input!",RSE_Setup!$B$17,ROW()+1)))</f>
        <v>3.0000000000000001E-3</v>
      </c>
      <c r="C65" s="1" cm="1">
        <f t="array" aca="1" ref="C65" ca="1">IF(ISBLANK(INDIRECT(CONCATENATE("Input!",RSE_Setup!$B$18,ROW()+1))),"",INDIRECT(CONCATENATE("Input!",RSE_Setup!$B$18,ROW()+1)))</f>
        <v>3.2258000000000002E-2</v>
      </c>
      <c r="D65" s="1" cm="1">
        <f t="array" aca="1" ref="D65" ca="1">IF(ISBLANK(INDIRECT(CONCATENATE("Input!",RSE_Setup!$B$19,ROW()+1))),"",INDIRECT(CONCATENATE("Input!",RSE_Setup!$B$19,ROW()+1)))</f>
        <v>8000</v>
      </c>
      <c r="E65" s="1" cm="1">
        <f t="array" aca="1" ref="E65" ca="1">IF(ISBLANK(INDIRECT(CONCATENATE("Input!",RSE_Setup!$B$25,ROW()+1))),"",INDIRECT(CONCATENATE("Input!",RSE_Setup!$B$25,ROW()+1)))</f>
        <v>414.682321</v>
      </c>
      <c r="F65" s="1">
        <f ca="1"/>
        <v>414.5219914101458</v>
      </c>
    </row>
    <row r="66" spans="1:6" x14ac:dyDescent="0.3">
      <c r="A66" s="1" cm="1">
        <f t="array" aca="1" ref="A66" ca="1">IF(ISBLANK(INDIRECT(CONCATENATE("Input!",RSE_Setup!$B$16,ROW()+1))),"",INDIRECT(CONCATENATE("Input!",RSE_Setup!$B$16,ROW()+1)))</f>
        <v>2.9999999999999997E-4</v>
      </c>
      <c r="B66" s="1" cm="1">
        <f t="array" aca="1" ref="B66" ca="1">IF(ISBLANK(INDIRECT(CONCATENATE("Input!",RSE_Setup!$B$17,ROW()+1))),"",INDIRECT(CONCATENATE("Input!",RSE_Setup!$B$17,ROW()+1)))</f>
        <v>3.0000000000000001E-3</v>
      </c>
      <c r="C66" s="1" cm="1">
        <f t="array" aca="1" ref="C66" ca="1">IF(ISBLANK(INDIRECT(CONCATENATE("Input!",RSE_Setup!$B$18,ROW()+1))),"",INDIRECT(CONCATENATE("Input!",RSE_Setup!$B$18,ROW()+1)))</f>
        <v>3.2258000000000002E-2</v>
      </c>
      <c r="D66" s="1" cm="1">
        <f t="array" aca="1" ref="D66" ca="1">IF(ISBLANK(INDIRECT(CONCATENATE("Input!",RSE_Setup!$B$19,ROW()+1))),"",INDIRECT(CONCATENATE("Input!",RSE_Setup!$B$19,ROW()+1)))</f>
        <v>10000</v>
      </c>
      <c r="E66" s="1" cm="1">
        <f t="array" aca="1" ref="E66" ca="1">IF(ISBLANK(INDIRECT(CONCATENATE("Input!",RSE_Setup!$B$25,ROW()+1))),"",INDIRECT(CONCATENATE("Input!",RSE_Setup!$B$25,ROW()+1)))</f>
        <v>510.10170699999998</v>
      </c>
      <c r="F66" s="1">
        <f ca="1"/>
        <v>514.35122686604348</v>
      </c>
    </row>
    <row r="67" spans="1:6" x14ac:dyDescent="0.3">
      <c r="A67" s="1" cm="1">
        <f t="array" aca="1" ref="A67" ca="1">IF(ISBLANK(INDIRECT(CONCATENATE("Input!",RSE_Setup!$B$16,ROW()+1))),"",INDIRECT(CONCATENATE("Input!",RSE_Setup!$B$16,ROW()+1)))</f>
        <v>2.9999999999999997E-4</v>
      </c>
      <c r="B67" s="1" cm="1">
        <f t="array" aca="1" ref="B67" ca="1">IF(ISBLANK(INDIRECT(CONCATENATE("Input!",RSE_Setup!$B$17,ROW()+1))),"",INDIRECT(CONCATENATE("Input!",RSE_Setup!$B$17,ROW()+1)))</f>
        <v>4.0000000000000001E-3</v>
      </c>
      <c r="C67" s="1" cm="1">
        <f t="array" aca="1" ref="C67" ca="1">IF(ISBLANK(INDIRECT(CONCATENATE("Input!",RSE_Setup!$B$18,ROW()+1))),"",INDIRECT(CONCATENATE("Input!",RSE_Setup!$B$18,ROW()+1)))</f>
        <v>5.5556000000000001E-2</v>
      </c>
      <c r="D67" s="1" cm="1">
        <f t="array" aca="1" ref="D67" ca="1">IF(ISBLANK(INDIRECT(CONCATENATE("Input!",RSE_Setup!$B$19,ROW()+1))),"",INDIRECT(CONCATENATE("Input!",RSE_Setup!$B$19,ROW()+1)))</f>
        <v>6000</v>
      </c>
      <c r="E67" s="1" cm="1">
        <f t="array" aca="1" ref="E67" ca="1">IF(ISBLANK(INDIRECT(CONCATENATE("Input!",RSE_Setup!$B$25,ROW()+1))),"",INDIRECT(CONCATENATE("Input!",RSE_Setup!$B$25,ROW()+1)))</f>
        <v>360.11041799999998</v>
      </c>
      <c r="F67" s="1">
        <f ca="1"/>
        <v>365.17111921960907</v>
      </c>
    </row>
    <row r="68" spans="1:6" x14ac:dyDescent="0.3">
      <c r="A68" s="1" cm="1">
        <f t="array" aca="1" ref="A68" ca="1">IF(ISBLANK(INDIRECT(CONCATENATE("Input!",RSE_Setup!$B$16,ROW()+1))),"",INDIRECT(CONCATENATE("Input!",RSE_Setup!$B$16,ROW()+1)))</f>
        <v>2.9999999999999997E-4</v>
      </c>
      <c r="B68" s="1" cm="1">
        <f t="array" aca="1" ref="B68" ca="1">IF(ISBLANK(INDIRECT(CONCATENATE("Input!",RSE_Setup!$B$17,ROW()+1))),"",INDIRECT(CONCATENATE("Input!",RSE_Setup!$B$17,ROW()+1)))</f>
        <v>4.0000000000000001E-3</v>
      </c>
      <c r="C68" s="1" cm="1">
        <f t="array" aca="1" ref="C68" ca="1">IF(ISBLANK(INDIRECT(CONCATENATE("Input!",RSE_Setup!$B$18,ROW()+1))),"",INDIRECT(CONCATENATE("Input!",RSE_Setup!$B$18,ROW()+1)))</f>
        <v>3.2258000000000002E-2</v>
      </c>
      <c r="D68" s="1" cm="1">
        <f t="array" aca="1" ref="D68" ca="1">IF(ISBLANK(INDIRECT(CONCATENATE("Input!",RSE_Setup!$B$19,ROW()+1))),"",INDIRECT(CONCATENATE("Input!",RSE_Setup!$B$19,ROW()+1)))</f>
        <v>6000</v>
      </c>
      <c r="E68" s="1" cm="1">
        <f t="array" aca="1" ref="E68" ca="1">IF(ISBLANK(INDIRECT(CONCATENATE("Input!",RSE_Setup!$B$25,ROW()+1))),"",INDIRECT(CONCATENATE("Input!",RSE_Setup!$B$25,ROW()+1)))</f>
        <v>338.26325400000002</v>
      </c>
      <c r="F68" s="1">
        <f ca="1"/>
        <v>334.25736048721171</v>
      </c>
    </row>
    <row r="69" spans="1:6" x14ac:dyDescent="0.3">
      <c r="A69" s="1" cm="1">
        <f t="array" aca="1" ref="A69" ca="1">IF(ISBLANK(INDIRECT(CONCATENATE("Input!",RSE_Setup!$B$16,ROW()+1))),"",INDIRECT(CONCATENATE("Input!",RSE_Setup!$B$16,ROW()+1)))</f>
        <v>2.9999999999999997E-4</v>
      </c>
      <c r="B69" s="1" cm="1">
        <f t="array" aca="1" ref="B69" ca="1">IF(ISBLANK(INDIRECT(CONCATENATE("Input!",RSE_Setup!$B$17,ROW()+1))),"",INDIRECT(CONCATENATE("Input!",RSE_Setup!$B$17,ROW()+1)))</f>
        <v>4.0000000000000001E-3</v>
      </c>
      <c r="C69" s="1" cm="1">
        <f t="array" aca="1" ref="C69" ca="1">IF(ISBLANK(INDIRECT(CONCATENATE("Input!",RSE_Setup!$B$18,ROW()+1))),"",INDIRECT(CONCATENATE("Input!",RSE_Setup!$B$18,ROW()+1)))</f>
        <v>3.2258000000000002E-2</v>
      </c>
      <c r="D69" s="1" cm="1">
        <f t="array" aca="1" ref="D69" ca="1">IF(ISBLANK(INDIRECT(CONCATENATE("Input!",RSE_Setup!$B$19,ROW()+1))),"",INDIRECT(CONCATENATE("Input!",RSE_Setup!$B$19,ROW()+1)))</f>
        <v>8000</v>
      </c>
      <c r="E69" s="1" cm="1">
        <f t="array" aca="1" ref="E69" ca="1">IF(ISBLANK(INDIRECT(CONCATENATE("Input!",RSE_Setup!$B$25,ROW()+1))),"",INDIRECT(CONCATENATE("Input!",RSE_Setup!$B$25,ROW()+1)))</f>
        <v>441.62375100000003</v>
      </c>
      <c r="F69" s="1">
        <f ca="1"/>
        <v>441.69646353539207</v>
      </c>
    </row>
    <row r="70" spans="1:6" x14ac:dyDescent="0.3">
      <c r="A70" s="1" cm="1">
        <f t="array" aca="1" ref="A70" ca="1">IF(ISBLANK(INDIRECT(CONCATENATE("Input!",RSE_Setup!$B$16,ROW()+1))),"",INDIRECT(CONCATENATE("Input!",RSE_Setup!$B$16,ROW()+1)))</f>
        <v>2.9999999999999997E-4</v>
      </c>
      <c r="B70" s="1" cm="1">
        <f t="array" aca="1" ref="B70" ca="1">IF(ISBLANK(INDIRECT(CONCATENATE("Input!",RSE_Setup!$B$17,ROW()+1))),"",INDIRECT(CONCATENATE("Input!",RSE_Setup!$B$17,ROW()+1)))</f>
        <v>4.0000000000000001E-3</v>
      </c>
      <c r="C70" s="1" cm="1">
        <f t="array" aca="1" ref="C70" ca="1">IF(ISBLANK(INDIRECT(CONCATENATE("Input!",RSE_Setup!$B$18,ROW()+1))),"",INDIRECT(CONCATENATE("Input!",RSE_Setup!$B$18,ROW()+1)))</f>
        <v>3.2258000000000002E-2</v>
      </c>
      <c r="D70" s="1" cm="1">
        <f t="array" aca="1" ref="D70" ca="1">IF(ISBLANK(INDIRECT(CONCATENATE("Input!",RSE_Setup!$B$19,ROW()+1))),"",INDIRECT(CONCATENATE("Input!",RSE_Setup!$B$19,ROW()+1)))</f>
        <v>10000</v>
      </c>
      <c r="E70" s="1" cm="1">
        <f t="array" aca="1" ref="E70" ca="1">IF(ISBLANK(INDIRECT(CONCATENATE("Input!",RSE_Setup!$B$25,ROW()+1))),"",INDIRECT(CONCATENATE("Input!",RSE_Setup!$B$25,ROW()+1)))</f>
        <v>543.17779800000005</v>
      </c>
      <c r="F70" s="1">
        <f ca="1"/>
        <v>548.33626444087679</v>
      </c>
    </row>
    <row r="71" spans="1:6" x14ac:dyDescent="0.3">
      <c r="A71" s="1" cm="1">
        <f t="array" aca="1" ref="A71" ca="1">IF(ISBLANK(INDIRECT(CONCATENATE("Input!",RSE_Setup!$B$16,ROW()+1))),"",INDIRECT(CONCATENATE("Input!",RSE_Setup!$B$16,ROW()+1)))</f>
        <v>5.0000000000000001E-4</v>
      </c>
      <c r="B71" s="1" cm="1">
        <f t="array" aca="1" ref="B71" ca="1">IF(ISBLANK(INDIRECT(CONCATENATE("Input!",RSE_Setup!$B$17,ROW()+1))),"",INDIRECT(CONCATENATE("Input!",RSE_Setup!$B$17,ROW()+1)))</f>
        <v>3.0000000000000001E-3</v>
      </c>
      <c r="C71" s="1" cm="1">
        <f t="array" aca="1" ref="C71" ca="1">IF(ISBLANK(INDIRECT(CONCATENATE("Input!",RSE_Setup!$B$18,ROW()+1))),"",INDIRECT(CONCATENATE("Input!",RSE_Setup!$B$18,ROW()+1)))</f>
        <v>5.5556000000000001E-2</v>
      </c>
      <c r="D71" s="1" cm="1">
        <f t="array" aca="1" ref="D71" ca="1">IF(ISBLANK(INDIRECT(CONCATENATE("Input!",RSE_Setup!$B$19,ROW()+1))),"",INDIRECT(CONCATENATE("Input!",RSE_Setup!$B$19,ROW()+1)))</f>
        <v>3375</v>
      </c>
      <c r="E71" s="1" cm="1">
        <f t="array" aca="1" ref="E71" ca="1">IF(ISBLANK(INDIRECT(CONCATENATE("Input!",RSE_Setup!$B$25,ROW()+1))),"",INDIRECT(CONCATENATE("Input!",RSE_Setup!$B$25,ROW()+1)))</f>
        <v>213.58148600000001</v>
      </c>
      <c r="F71" s="1">
        <f ca="1"/>
        <v>209.49439016551906</v>
      </c>
    </row>
    <row r="72" spans="1:6" x14ac:dyDescent="0.3">
      <c r="A72" s="1" cm="1">
        <f t="array" aca="1" ref="A72" ca="1">IF(ISBLANK(INDIRECT(CONCATENATE("Input!",RSE_Setup!$B$16,ROW()+1))),"",INDIRECT(CONCATENATE("Input!",RSE_Setup!$B$16,ROW()+1)))</f>
        <v>5.0000000000000001E-4</v>
      </c>
      <c r="B72" s="1" cm="1">
        <f t="array" aca="1" ref="B72" ca="1">IF(ISBLANK(INDIRECT(CONCATENATE("Input!",RSE_Setup!$B$17,ROW()+1))),"",INDIRECT(CONCATENATE("Input!",RSE_Setup!$B$17,ROW()+1)))</f>
        <v>3.0000000000000001E-3</v>
      </c>
      <c r="C72" s="1" cm="1">
        <f t="array" aca="1" ref="C72" ca="1">IF(ISBLANK(INDIRECT(CONCATENATE("Input!",RSE_Setup!$B$18,ROW()+1))),"",INDIRECT(CONCATENATE("Input!",RSE_Setup!$B$18,ROW()+1)))</f>
        <v>5.5556000000000001E-2</v>
      </c>
      <c r="D72" s="1" cm="1">
        <f t="array" aca="1" ref="D72" ca="1">IF(ISBLANK(INDIRECT(CONCATENATE("Input!",RSE_Setup!$B$19,ROW()+1))),"",INDIRECT(CONCATENATE("Input!",RSE_Setup!$B$19,ROW()+1)))</f>
        <v>4500</v>
      </c>
      <c r="E72" s="1" cm="1">
        <f t="array" aca="1" ref="E72" ca="1">IF(ISBLANK(INDIRECT(CONCATENATE("Input!",RSE_Setup!$B$25,ROW()+1))),"",INDIRECT(CONCATENATE("Input!",RSE_Setup!$B$25,ROW()+1)))</f>
        <v>277.42273699999998</v>
      </c>
      <c r="F72" s="1">
        <f ca="1"/>
        <v>275.18631789638562</v>
      </c>
    </row>
    <row r="73" spans="1:6" x14ac:dyDescent="0.3">
      <c r="A73" s="1" cm="1">
        <f t="array" aca="1" ref="A73" ca="1">IF(ISBLANK(INDIRECT(CONCATENATE("Input!",RSE_Setup!$B$16,ROW()+1))),"",INDIRECT(CONCATENATE("Input!",RSE_Setup!$B$16,ROW()+1)))</f>
        <v>5.0000000000000001E-4</v>
      </c>
      <c r="B73" s="1" cm="1">
        <f t="array" aca="1" ref="B73" ca="1">IF(ISBLANK(INDIRECT(CONCATENATE("Input!",RSE_Setup!$B$17,ROW()+1))),"",INDIRECT(CONCATENATE("Input!",RSE_Setup!$B$17,ROW()+1)))</f>
        <v>3.0000000000000001E-3</v>
      </c>
      <c r="C73" s="1" cm="1">
        <f t="array" aca="1" ref="C73" ca="1">IF(ISBLANK(INDIRECT(CONCATENATE("Input!",RSE_Setup!$B$18,ROW()+1))),"",INDIRECT(CONCATENATE("Input!",RSE_Setup!$B$18,ROW()+1)))</f>
        <v>5.5556000000000001E-2</v>
      </c>
      <c r="D73" s="1" cm="1">
        <f t="array" aca="1" ref="D73" ca="1">IF(ISBLANK(INDIRECT(CONCATENATE("Input!",RSE_Setup!$B$19,ROW()+1))),"",INDIRECT(CONCATENATE("Input!",RSE_Setup!$B$19,ROW()+1)))</f>
        <v>6000</v>
      </c>
      <c r="E73" s="1" cm="1">
        <f t="array" aca="1" ref="E73" ca="1">IF(ISBLANK(INDIRECT(CONCATENATE("Input!",RSE_Setup!$B$25,ROW()+1))),"",INDIRECT(CONCATENATE("Input!",RSE_Setup!$B$25,ROW()+1)))</f>
        <v>356.89342399999998</v>
      </c>
      <c r="F73" s="1">
        <f ca="1"/>
        <v>362.38214834751642</v>
      </c>
    </row>
    <row r="74" spans="1:6" x14ac:dyDescent="0.3">
      <c r="A74" s="1" cm="1">
        <f t="array" aca="1" ref="A74" ca="1">IF(ISBLANK(INDIRECT(CONCATENATE("Input!",RSE_Setup!$B$16,ROW()+1))),"",INDIRECT(CONCATENATE("Input!",RSE_Setup!$B$16,ROW()+1)))</f>
        <v>5.0000000000000001E-4</v>
      </c>
      <c r="B74" s="1" cm="1">
        <f t="array" aca="1" ref="B74" ca="1">IF(ISBLANK(INDIRECT(CONCATENATE("Input!",RSE_Setup!$B$17,ROW()+1))),"",INDIRECT(CONCATENATE("Input!",RSE_Setup!$B$17,ROW()+1)))</f>
        <v>3.0000000000000001E-3</v>
      </c>
      <c r="C74" s="1" cm="1">
        <f t="array" aca="1" ref="C74" ca="1">IF(ISBLANK(INDIRECT(CONCATENATE("Input!",RSE_Setup!$B$18,ROW()+1))),"",INDIRECT(CONCATENATE("Input!",RSE_Setup!$B$18,ROW()+1)))</f>
        <v>3.2258000000000002E-2</v>
      </c>
      <c r="D74" s="1" cm="1">
        <f t="array" aca="1" ref="D74" ca="1">IF(ISBLANK(INDIRECT(CONCATENATE("Input!",RSE_Setup!$B$19,ROW()+1))),"",INDIRECT(CONCATENATE("Input!",RSE_Setup!$B$19,ROW()+1)))</f>
        <v>6000</v>
      </c>
      <c r="E74" s="1" cm="1">
        <f t="array" aca="1" ref="E74" ca="1">IF(ISBLANK(INDIRECT(CONCATENATE("Input!",RSE_Setup!$B$25,ROW()+1))),"",INDIRECT(CONCATENATE("Input!",RSE_Setup!$B$25,ROW()+1)))</f>
        <v>334.25223699999998</v>
      </c>
      <c r="F74" s="1">
        <f ca="1"/>
        <v>331.0883250747047</v>
      </c>
    </row>
    <row r="75" spans="1:6" x14ac:dyDescent="0.3">
      <c r="A75" s="1" cm="1">
        <f t="array" aca="1" ref="A75" ca="1">IF(ISBLANK(INDIRECT(CONCATENATE("Input!",RSE_Setup!$B$16,ROW()+1))),"",INDIRECT(CONCATENATE("Input!",RSE_Setup!$B$16,ROW()+1)))</f>
        <v>5.0000000000000001E-4</v>
      </c>
      <c r="B75" s="1" cm="1">
        <f t="array" aca="1" ref="B75" ca="1">IF(ISBLANK(INDIRECT(CONCATENATE("Input!",RSE_Setup!$B$17,ROW()+1))),"",INDIRECT(CONCATENATE("Input!",RSE_Setup!$B$17,ROW()+1)))</f>
        <v>3.0000000000000001E-3</v>
      </c>
      <c r="C75" s="1" cm="1">
        <f t="array" aca="1" ref="C75" ca="1">IF(ISBLANK(INDIRECT(CONCATENATE("Input!",RSE_Setup!$B$18,ROW()+1))),"",INDIRECT(CONCATENATE("Input!",RSE_Setup!$B$18,ROW()+1)))</f>
        <v>3.2258000000000002E-2</v>
      </c>
      <c r="D75" s="1" cm="1">
        <f t="array" aca="1" ref="D75" ca="1">IF(ISBLANK(INDIRECT(CONCATENATE("Input!",RSE_Setup!$B$19,ROW()+1))),"",INDIRECT(CONCATENATE("Input!",RSE_Setup!$B$19,ROW()+1)))</f>
        <v>8000</v>
      </c>
      <c r="E75" s="1" cm="1">
        <f t="array" aca="1" ref="E75" ca="1">IF(ISBLANK(INDIRECT(CONCATENATE("Input!",RSE_Setup!$B$25,ROW()+1))),"",INDIRECT(CONCATENATE("Input!",RSE_Setup!$B$25,ROW()+1)))</f>
        <v>437.22932900000001</v>
      </c>
      <c r="F75" s="1">
        <f ca="1"/>
        <v>437.39319873582485</v>
      </c>
    </row>
    <row r="76" spans="1:6" x14ac:dyDescent="0.3">
      <c r="A76" s="1" cm="1">
        <f t="array" aca="1" ref="A76" ca="1">IF(ISBLANK(INDIRECT(CONCATENATE("Input!",RSE_Setup!$B$16,ROW()+1))),"",INDIRECT(CONCATENATE("Input!",RSE_Setup!$B$16,ROW()+1)))</f>
        <v>5.0000000000000001E-4</v>
      </c>
      <c r="B76" s="1" cm="1">
        <f t="array" aca="1" ref="B76" ca="1">IF(ISBLANK(INDIRECT(CONCATENATE("Input!",RSE_Setup!$B$17,ROW()+1))),"",INDIRECT(CONCATENATE("Input!",RSE_Setup!$B$17,ROW()+1)))</f>
        <v>3.0000000000000001E-3</v>
      </c>
      <c r="C76" s="1" cm="1">
        <f t="array" aca="1" ref="C76" ca="1">IF(ISBLANK(INDIRECT(CONCATENATE("Input!",RSE_Setup!$B$18,ROW()+1))),"",INDIRECT(CONCATENATE("Input!",RSE_Setup!$B$18,ROW()+1)))</f>
        <v>3.2258000000000002E-2</v>
      </c>
      <c r="D76" s="1" cm="1">
        <f t="array" aca="1" ref="D76" ca="1">IF(ISBLANK(INDIRECT(CONCATENATE("Input!",RSE_Setup!$B$19,ROW()+1))),"",INDIRECT(CONCATENATE("Input!",RSE_Setup!$B$19,ROW()+1)))</f>
        <v>10000</v>
      </c>
      <c r="E76" s="1" cm="1">
        <f t="array" aca="1" ref="E76" ca="1">IF(ISBLANK(INDIRECT(CONCATENATE("Input!",RSE_Setup!$B$25,ROW()+1))),"",INDIRECT(CONCATENATE("Input!",RSE_Setup!$B$25,ROW()+1)))</f>
        <v>537.96975699999996</v>
      </c>
      <c r="F76" s="1">
        <f ca="1"/>
        <v>542.89877025424948</v>
      </c>
    </row>
    <row r="77" spans="1:6" x14ac:dyDescent="0.3">
      <c r="A77" s="1" cm="1">
        <f t="array" aca="1" ref="A77" ca="1">IF(ISBLANK(INDIRECT(CONCATENATE("Input!",RSE_Setup!$B$16,ROW()+1))),"",INDIRECT(CONCATENATE("Input!",RSE_Setup!$B$16,ROW()+1)))</f>
        <v>5.0000000000000001E-4</v>
      </c>
      <c r="B77" s="1" cm="1">
        <f t="array" aca="1" ref="B77" ca="1">IF(ISBLANK(INDIRECT(CONCATENATE("Input!",RSE_Setup!$B$17,ROW()+1))),"",INDIRECT(CONCATENATE("Input!",RSE_Setup!$B$17,ROW()+1)))</f>
        <v>4.7499999999999999E-3</v>
      </c>
      <c r="C77" s="1" cm="1">
        <f t="array" aca="1" ref="C77" ca="1">IF(ISBLANK(INDIRECT(CONCATENATE("Input!",RSE_Setup!$B$18,ROW()+1))),"",INDIRECT(CONCATENATE("Input!",RSE_Setup!$B$18,ROW()+1)))</f>
        <v>5.5556000000000001E-2</v>
      </c>
      <c r="D77" s="1" cm="1">
        <f t="array" aca="1" ref="D77" ca="1">IF(ISBLANK(INDIRECT(CONCATENATE("Input!",RSE_Setup!$B$19,ROW()+1))),"",INDIRECT(CONCATENATE("Input!",RSE_Setup!$B$19,ROW()+1)))</f>
        <v>3375</v>
      </c>
      <c r="E77" s="1" cm="1">
        <f t="array" aca="1" ref="E77" ca="1">IF(ISBLANK(INDIRECT(CONCATENATE("Input!",RSE_Setup!$B$25,ROW()+1))),"",INDIRECT(CONCATENATE("Input!",RSE_Setup!$B$25,ROW()+1)))</f>
        <v>234.17506800000001</v>
      </c>
      <c r="F77" s="1">
        <f ca="1"/>
        <v>229.3225181542997</v>
      </c>
    </row>
    <row r="78" spans="1:6" x14ac:dyDescent="0.3">
      <c r="A78" s="1" cm="1">
        <f t="array" aca="1" ref="A78" ca="1">IF(ISBLANK(INDIRECT(CONCATENATE("Input!",RSE_Setup!$B$16,ROW()+1))),"",INDIRECT(CONCATENATE("Input!",RSE_Setup!$B$16,ROW()+1)))</f>
        <v>5.0000000000000001E-4</v>
      </c>
      <c r="B78" s="1" cm="1">
        <f t="array" aca="1" ref="B78" ca="1">IF(ISBLANK(INDIRECT(CONCATENATE("Input!",RSE_Setup!$B$17,ROW()+1))),"",INDIRECT(CONCATENATE("Input!",RSE_Setup!$B$17,ROW()+1)))</f>
        <v>4.7499999999999999E-3</v>
      </c>
      <c r="C78" s="1" cm="1">
        <f t="array" aca="1" ref="C78" ca="1">IF(ISBLANK(INDIRECT(CONCATENATE("Input!",RSE_Setup!$B$18,ROW()+1))),"",INDIRECT(CONCATENATE("Input!",RSE_Setup!$B$18,ROW()+1)))</f>
        <v>5.5556000000000001E-2</v>
      </c>
      <c r="D78" s="1" cm="1">
        <f t="array" aca="1" ref="D78" ca="1">IF(ISBLANK(INDIRECT(CONCATENATE("Input!",RSE_Setup!$B$19,ROW()+1))),"",INDIRECT(CONCATENATE("Input!",RSE_Setup!$B$19,ROW()+1)))</f>
        <v>4500</v>
      </c>
      <c r="E78" s="1" cm="1">
        <f t="array" aca="1" ref="E78" ca="1">IF(ISBLANK(INDIRECT(CONCATENATE("Input!",RSE_Setup!$B$25,ROW()+1))),"",INDIRECT(CONCATENATE("Input!",RSE_Setup!$B$25,ROW()+1)))</f>
        <v>304.63094999999998</v>
      </c>
      <c r="F78" s="1">
        <f ca="1"/>
        <v>301.71859624960354</v>
      </c>
    </row>
    <row r="79" spans="1:6" x14ac:dyDescent="0.3">
      <c r="A79" s="1" cm="1">
        <f t="array" aca="1" ref="A79" ca="1">IF(ISBLANK(INDIRECT(CONCATENATE("Input!",RSE_Setup!$B$16,ROW()+1))),"",INDIRECT(CONCATENATE("Input!",RSE_Setup!$B$16,ROW()+1)))</f>
        <v>5.0000000000000001E-4</v>
      </c>
      <c r="B79" s="1" cm="1">
        <f t="array" aca="1" ref="B79" ca="1">IF(ISBLANK(INDIRECT(CONCATENATE("Input!",RSE_Setup!$B$17,ROW()+1))),"",INDIRECT(CONCATENATE("Input!",RSE_Setup!$B$17,ROW()+1)))</f>
        <v>4.7499999999999999E-3</v>
      </c>
      <c r="C79" s="1" cm="1">
        <f t="array" aca="1" ref="C79" ca="1">IF(ISBLANK(INDIRECT(CONCATENATE("Input!",RSE_Setup!$B$18,ROW()+1))),"",INDIRECT(CONCATENATE("Input!",RSE_Setup!$B$18,ROW()+1)))</f>
        <v>5.5556000000000001E-2</v>
      </c>
      <c r="D79" s="1" cm="1">
        <f t="array" aca="1" ref="D79" ca="1">IF(ISBLANK(INDIRECT(CONCATENATE("Input!",RSE_Setup!$B$19,ROW()+1))),"",INDIRECT(CONCATENATE("Input!",RSE_Setup!$B$19,ROW()+1)))</f>
        <v>6000</v>
      </c>
      <c r="E79" s="1" cm="1">
        <f t="array" aca="1" ref="E79" ca="1">IF(ISBLANK(INDIRECT(CONCATENATE("Input!",RSE_Setup!$B$25,ROW()+1))),"",INDIRECT(CONCATENATE("Input!",RSE_Setup!$B$25,ROW()+1)))</f>
        <v>393.96785799999998</v>
      </c>
      <c r="F79" s="1">
        <f ca="1"/>
        <v>397.85329385331738</v>
      </c>
    </row>
    <row r="80" spans="1:6" x14ac:dyDescent="0.3">
      <c r="A80" s="1" cm="1">
        <f t="array" aca="1" ref="A80" ca="1">IF(ISBLANK(INDIRECT(CONCATENATE("Input!",RSE_Setup!$B$16,ROW()+1))),"",INDIRECT(CONCATENATE("Input!",RSE_Setup!$B$16,ROW()+1)))</f>
        <v>5.0000000000000001E-4</v>
      </c>
      <c r="B80" s="1" cm="1">
        <f t="array" aca="1" ref="B80" ca="1">IF(ISBLANK(INDIRECT(CONCATENATE("Input!",RSE_Setup!$B$17,ROW()+1))),"",INDIRECT(CONCATENATE("Input!",RSE_Setup!$B$17,ROW()+1)))</f>
        <v>4.7499999999999999E-3</v>
      </c>
      <c r="C80" s="1" cm="1">
        <f t="array" aca="1" ref="C80" ca="1">IF(ISBLANK(INDIRECT(CONCATENATE("Input!",RSE_Setup!$B$18,ROW()+1))),"",INDIRECT(CONCATENATE("Input!",RSE_Setup!$B$18,ROW()+1)))</f>
        <v>3.2258000000000002E-2</v>
      </c>
      <c r="D80" s="1" cm="1">
        <f t="array" aca="1" ref="D80" ca="1">IF(ISBLANK(INDIRECT(CONCATENATE("Input!",RSE_Setup!$B$19,ROW()+1))),"",INDIRECT(CONCATENATE("Input!",RSE_Setup!$B$19,ROW()+1)))</f>
        <v>6000</v>
      </c>
      <c r="E80" s="1" cm="1">
        <f t="array" aca="1" ref="E80" ca="1">IF(ISBLANK(INDIRECT(CONCATENATE("Input!",RSE_Setup!$B$25,ROW()+1))),"",INDIRECT(CONCATENATE("Input!",RSE_Setup!$B$25,ROW()+1)))</f>
        <v>371.49308300000001</v>
      </c>
      <c r="F80" s="1">
        <f ca="1"/>
        <v>367.42872764866866</v>
      </c>
    </row>
    <row r="81" spans="1:6" x14ac:dyDescent="0.3">
      <c r="A81" s="1" cm="1">
        <f t="array" aca="1" ref="A81" ca="1">IF(ISBLANK(INDIRECT(CONCATENATE("Input!",RSE_Setup!$B$16,ROW()+1))),"",INDIRECT(CONCATENATE("Input!",RSE_Setup!$B$16,ROW()+1)))</f>
        <v>5.0000000000000001E-4</v>
      </c>
      <c r="B81" s="1" cm="1">
        <f t="array" aca="1" ref="B81" ca="1">IF(ISBLANK(INDIRECT(CONCATENATE("Input!",RSE_Setup!$B$17,ROW()+1))),"",INDIRECT(CONCATENATE("Input!",RSE_Setup!$B$17,ROW()+1)))</f>
        <v>4.7499999999999999E-3</v>
      </c>
      <c r="C81" s="1" cm="1">
        <f t="array" aca="1" ref="C81" ca="1">IF(ISBLANK(INDIRECT(CONCATENATE("Input!",RSE_Setup!$B$18,ROW()+1))),"",INDIRECT(CONCATENATE("Input!",RSE_Setup!$B$18,ROW()+1)))</f>
        <v>3.2258000000000002E-2</v>
      </c>
      <c r="D81" s="1" cm="1">
        <f t="array" aca="1" ref="D81" ca="1">IF(ISBLANK(INDIRECT(CONCATENATE("Input!",RSE_Setup!$B$19,ROW()+1))),"",INDIRECT(CONCATENATE("Input!",RSE_Setup!$B$19,ROW()+1)))</f>
        <v>8000</v>
      </c>
      <c r="E81" s="1" cm="1">
        <f t="array" aca="1" ref="E81" ca="1">IF(ISBLANK(INDIRECT(CONCATENATE("Input!",RSE_Setup!$B$25,ROW()+1))),"",INDIRECT(CONCATENATE("Input!",RSE_Setup!$B$25,ROW()+1)))</f>
        <v>485.93411900000001</v>
      </c>
      <c r="F81" s="1">
        <f ca="1"/>
        <v>485.65209084656613</v>
      </c>
    </row>
    <row r="82" spans="1:6" x14ac:dyDescent="0.3">
      <c r="A82" s="1" cm="1">
        <f t="array" aca="1" ref="A82" ca="1">IF(ISBLANK(INDIRECT(CONCATENATE("Input!",RSE_Setup!$B$16,ROW()+1))),"",INDIRECT(CONCATENATE("Input!",RSE_Setup!$B$16,ROW()+1)))</f>
        <v>5.0000000000000001E-4</v>
      </c>
      <c r="B82" s="1" cm="1">
        <f t="array" aca="1" ref="B82" ca="1">IF(ISBLANK(INDIRECT(CONCATENATE("Input!",RSE_Setup!$B$17,ROW()+1))),"",INDIRECT(CONCATENATE("Input!",RSE_Setup!$B$17,ROW()+1)))</f>
        <v>4.7499999999999999E-3</v>
      </c>
      <c r="C82" s="1" cm="1">
        <f t="array" aca="1" ref="C82" ca="1">IF(ISBLANK(INDIRECT(CONCATENATE("Input!",RSE_Setup!$B$18,ROW()+1))),"",INDIRECT(CONCATENATE("Input!",RSE_Setup!$B$18,ROW()+1)))</f>
        <v>3.2258000000000002E-2</v>
      </c>
      <c r="D82" s="1" cm="1">
        <f t="array" aca="1" ref="D82" ca="1">IF(ISBLANK(INDIRECT(CONCATENATE("Input!",RSE_Setup!$B$19,ROW()+1))),"",INDIRECT(CONCATENATE("Input!",RSE_Setup!$B$19,ROW()+1)))</f>
        <v>10000</v>
      </c>
      <c r="E82" s="1" cm="1">
        <f t="array" aca="1" ref="E82" ca="1">IF(ISBLANK(INDIRECT(CONCATENATE("Input!",RSE_Setup!$B$25,ROW()+1))),"",INDIRECT(CONCATENATE("Input!",RSE_Setup!$B$25,ROW()+1)))</f>
        <v>599.39995299999998</v>
      </c>
      <c r="F82" s="1">
        <f ca="1"/>
        <v>603.07615190176807</v>
      </c>
    </row>
    <row r="83" spans="1:6" x14ac:dyDescent="0.3">
      <c r="A83" s="1" cm="1">
        <f t="array" aca="1" ref="A83" ca="1">IF(ISBLANK(INDIRECT(CONCATENATE("Input!",RSE_Setup!$B$16,ROW()+1))),"",INDIRECT(CONCATENATE("Input!",RSE_Setup!$B$16,ROW()+1)))</f>
        <v>5.0000000000000001E-4</v>
      </c>
      <c r="B83" s="1" cm="1">
        <f t="array" aca="1" ref="B83" ca="1">IF(ISBLANK(INDIRECT(CONCATENATE("Input!",RSE_Setup!$B$17,ROW()+1))),"",INDIRECT(CONCATENATE("Input!",RSE_Setup!$B$17,ROW()+1)))</f>
        <v>6.4999999999999997E-3</v>
      </c>
      <c r="C83" s="1" cm="1">
        <f t="array" aca="1" ref="C83" ca="1">IF(ISBLANK(INDIRECT(CONCATENATE("Input!",RSE_Setup!$B$18,ROW()+1))),"",INDIRECT(CONCATENATE("Input!",RSE_Setup!$B$18,ROW()+1)))</f>
        <v>5.5556000000000001E-2</v>
      </c>
      <c r="D83" s="1" cm="1">
        <f t="array" aca="1" ref="D83" ca="1">IF(ISBLANK(INDIRECT(CONCATENATE("Input!",RSE_Setup!$B$19,ROW()+1))),"",INDIRECT(CONCATENATE("Input!",RSE_Setup!$B$19,ROW()+1)))</f>
        <v>3375</v>
      </c>
      <c r="E83" s="1" cm="1">
        <f t="array" aca="1" ref="E83" ca="1">IF(ISBLANK(INDIRECT(CONCATENATE("Input!",RSE_Setup!$B$25,ROW()+1))),"",INDIRECT(CONCATENATE("Input!",RSE_Setup!$B$25,ROW()+1)))</f>
        <v>256.49363599999998</v>
      </c>
      <c r="F83" s="1">
        <f ca="1"/>
        <v>251.68780772744276</v>
      </c>
    </row>
    <row r="84" spans="1:6" x14ac:dyDescent="0.3">
      <c r="A84" s="1" cm="1">
        <f t="array" aca="1" ref="A84" ca="1">IF(ISBLANK(INDIRECT(CONCATENATE("Input!",RSE_Setup!$B$16,ROW()+1))),"",INDIRECT(CONCATENATE("Input!",RSE_Setup!$B$16,ROW()+1)))</f>
        <v>5.0000000000000001E-4</v>
      </c>
      <c r="B84" s="1" cm="1">
        <f t="array" aca="1" ref="B84" ca="1">IF(ISBLANK(INDIRECT(CONCATENATE("Input!",RSE_Setup!$B$17,ROW()+1))),"",INDIRECT(CONCATENATE("Input!",RSE_Setup!$B$17,ROW()+1)))</f>
        <v>6.4999999999999997E-3</v>
      </c>
      <c r="C84" s="1" cm="1">
        <f t="array" aca="1" ref="C84" ca="1">IF(ISBLANK(INDIRECT(CONCATENATE("Input!",RSE_Setup!$B$18,ROW()+1))),"",INDIRECT(CONCATENATE("Input!",RSE_Setup!$B$18,ROW()+1)))</f>
        <v>5.5556000000000001E-2</v>
      </c>
      <c r="D84" s="1" cm="1">
        <f t="array" aca="1" ref="D84" ca="1">IF(ISBLANK(INDIRECT(CONCATENATE("Input!",RSE_Setup!$B$19,ROW()+1))),"",INDIRECT(CONCATENATE("Input!",RSE_Setup!$B$19,ROW()+1)))</f>
        <v>4500</v>
      </c>
      <c r="E84" s="1" cm="1">
        <f t="array" aca="1" ref="E84" ca="1">IF(ISBLANK(INDIRECT(CONCATENATE("Input!",RSE_Setup!$B$25,ROW()+1))),"",INDIRECT(CONCATENATE("Input!",RSE_Setup!$B$25,ROW()+1)))</f>
        <v>333.81957199999999</v>
      </c>
      <c r="F84" s="1">
        <f ca="1"/>
        <v>330.78803618718382</v>
      </c>
    </row>
    <row r="85" spans="1:6" x14ac:dyDescent="0.3">
      <c r="A85" s="1" cm="1">
        <f t="array" aca="1" ref="A85" ca="1">IF(ISBLANK(INDIRECT(CONCATENATE("Input!",RSE_Setup!$B$16,ROW()+1))),"",INDIRECT(CONCATENATE("Input!",RSE_Setup!$B$16,ROW()+1)))</f>
        <v>5.0000000000000001E-4</v>
      </c>
      <c r="B85" s="1" cm="1">
        <f t="array" aca="1" ref="B85" ca="1">IF(ISBLANK(INDIRECT(CONCATENATE("Input!",RSE_Setup!$B$17,ROW()+1))),"",INDIRECT(CONCATENATE("Input!",RSE_Setup!$B$17,ROW()+1)))</f>
        <v>6.4999999999999997E-3</v>
      </c>
      <c r="C85" s="1" cm="1">
        <f t="array" aca="1" ref="C85" ca="1">IF(ISBLANK(INDIRECT(CONCATENATE("Input!",RSE_Setup!$B$18,ROW()+1))),"",INDIRECT(CONCATENATE("Input!",RSE_Setup!$B$18,ROW()+1)))</f>
        <v>5.5556000000000001E-2</v>
      </c>
      <c r="D85" s="1" cm="1">
        <f t="array" aca="1" ref="D85" ca="1">IF(ISBLANK(INDIRECT(CONCATENATE("Input!",RSE_Setup!$B$19,ROW()+1))),"",INDIRECT(CONCATENATE("Input!",RSE_Setup!$B$19,ROW()+1)))</f>
        <v>6000</v>
      </c>
      <c r="E85" s="1" cm="1">
        <f t="array" aca="1" ref="E85" ca="1">IF(ISBLANK(INDIRECT(CONCATENATE("Input!",RSE_Setup!$B$25,ROW()+1))),"",INDIRECT(CONCATENATE("Input!",RSE_Setup!$B$25,ROW()+1)))</f>
        <v>429.21117600000002</v>
      </c>
      <c r="F85" s="1">
        <f ca="1"/>
        <v>435.86160094348065</v>
      </c>
    </row>
    <row r="86" spans="1:6" x14ac:dyDescent="0.3">
      <c r="A86" s="1" cm="1">
        <f t="array" aca="1" ref="A86" ca="1">IF(ISBLANK(INDIRECT(CONCATENATE("Input!",RSE_Setup!$B$16,ROW()+1))),"",INDIRECT(CONCATENATE("Input!",RSE_Setup!$B$16,ROW()+1)))</f>
        <v>5.0000000000000001E-4</v>
      </c>
      <c r="B86" s="1" cm="1">
        <f t="array" aca="1" ref="B86" ca="1">IF(ISBLANK(INDIRECT(CONCATENATE("Input!",RSE_Setup!$B$17,ROW()+1))),"",INDIRECT(CONCATENATE("Input!",RSE_Setup!$B$17,ROW()+1)))</f>
        <v>6.4999999999999997E-3</v>
      </c>
      <c r="C86" s="1" cm="1">
        <f t="array" aca="1" ref="C86" ca="1">IF(ISBLANK(INDIRECT(CONCATENATE("Input!",RSE_Setup!$B$18,ROW()+1))),"",INDIRECT(CONCATENATE("Input!",RSE_Setup!$B$18,ROW()+1)))</f>
        <v>3.2258000000000002E-2</v>
      </c>
      <c r="D86" s="1" cm="1">
        <f t="array" aca="1" ref="D86" ca="1">IF(ISBLANK(INDIRECT(CONCATENATE("Input!",RSE_Setup!$B$19,ROW()+1))),"",INDIRECT(CONCATENATE("Input!",RSE_Setup!$B$19,ROW()+1)))</f>
        <v>6000</v>
      </c>
      <c r="E86" s="1" cm="1">
        <f t="array" aca="1" ref="E86" ca="1">IF(ISBLANK(INDIRECT(CONCATENATE("Input!",RSE_Setup!$B$25,ROW()+1))),"",INDIRECT(CONCATENATE("Input!",RSE_Setup!$B$25,ROW()+1)))</f>
        <v>412.90676300000001</v>
      </c>
      <c r="F86" s="1">
        <f ca="1"/>
        <v>406.30629180699498</v>
      </c>
    </row>
    <row r="87" spans="1:6" x14ac:dyDescent="0.3">
      <c r="A87" s="1" cm="1">
        <f t="array" aca="1" ref="A87" ca="1">IF(ISBLANK(INDIRECT(CONCATENATE("Input!",RSE_Setup!$B$16,ROW()+1))),"",INDIRECT(CONCATENATE("Input!",RSE_Setup!$B$16,ROW()+1)))</f>
        <v>7.5000000000000002E-4</v>
      </c>
      <c r="B87" s="1" cm="1">
        <f t="array" aca="1" ref="B87" ca="1">IF(ISBLANK(INDIRECT(CONCATENATE("Input!",RSE_Setup!$B$17,ROW()+1))),"",INDIRECT(CONCATENATE("Input!",RSE_Setup!$B$17,ROW()+1)))</f>
        <v>4.0000000000000001E-3</v>
      </c>
      <c r="C87" s="1" cm="1">
        <f t="array" aca="1" ref="C87" ca="1">IF(ISBLANK(INDIRECT(CONCATENATE("Input!",RSE_Setup!$B$18,ROW()+1))),"",INDIRECT(CONCATENATE("Input!",RSE_Setup!$B$18,ROW()+1)))</f>
        <v>5.5556000000000001E-2</v>
      </c>
      <c r="D87" s="1" cm="1">
        <f t="array" aca="1" ref="D87" ca="1">IF(ISBLANK(INDIRECT(CONCATENATE("Input!",RSE_Setup!$B$19,ROW()+1))),"",INDIRECT(CONCATENATE("Input!",RSE_Setup!$B$19,ROW()+1)))</f>
        <v>3375</v>
      </c>
      <c r="E87" s="1" cm="1">
        <f t="array" aca="1" ref="E87" ca="1">IF(ISBLANK(INDIRECT(CONCATENATE("Input!",RSE_Setup!$B$25,ROW()+1))),"",INDIRECT(CONCATENATE("Input!",RSE_Setup!$B$25,ROW()+1)))</f>
        <v>237.40732499999999</v>
      </c>
      <c r="F87" s="1">
        <f ca="1"/>
        <v>232.98481080210166</v>
      </c>
    </row>
    <row r="88" spans="1:6" x14ac:dyDescent="0.3">
      <c r="A88" s="1" cm="1">
        <f t="array" aca="1" ref="A88" ca="1">IF(ISBLANK(INDIRECT(CONCATENATE("Input!",RSE_Setup!$B$16,ROW()+1))),"",INDIRECT(CONCATENATE("Input!",RSE_Setup!$B$16,ROW()+1)))</f>
        <v>7.5000000000000002E-4</v>
      </c>
      <c r="B88" s="1" cm="1">
        <f t="array" aca="1" ref="B88" ca="1">IF(ISBLANK(INDIRECT(CONCATENATE("Input!",RSE_Setup!$B$17,ROW()+1))),"",INDIRECT(CONCATENATE("Input!",RSE_Setup!$B$17,ROW()+1)))</f>
        <v>4.0000000000000001E-3</v>
      </c>
      <c r="C88" s="1" cm="1">
        <f t="array" aca="1" ref="C88" ca="1">IF(ISBLANK(INDIRECT(CONCATENATE("Input!",RSE_Setup!$B$18,ROW()+1))),"",INDIRECT(CONCATENATE("Input!",RSE_Setup!$B$18,ROW()+1)))</f>
        <v>5.5556000000000001E-2</v>
      </c>
      <c r="D88" s="1" cm="1">
        <f t="array" aca="1" ref="D88" ca="1">IF(ISBLANK(INDIRECT(CONCATENATE("Input!",RSE_Setup!$B$19,ROW()+1))),"",INDIRECT(CONCATENATE("Input!",RSE_Setup!$B$19,ROW()+1)))</f>
        <v>4500</v>
      </c>
      <c r="E88" s="1" cm="1">
        <f t="array" aca="1" ref="E88" ca="1">IF(ISBLANK(INDIRECT(CONCATENATE("Input!",RSE_Setup!$B$25,ROW()+1))),"",INDIRECT(CONCATENATE("Input!",RSE_Setup!$B$25,ROW()+1)))</f>
        <v>308.75208199999997</v>
      </c>
      <c r="F88" s="1">
        <f ca="1"/>
        <v>306.49885539232525</v>
      </c>
    </row>
    <row r="89" spans="1:6" x14ac:dyDescent="0.3">
      <c r="A89" s="1" cm="1">
        <f t="array" aca="1" ref="A89" ca="1">IF(ISBLANK(INDIRECT(CONCATENATE("Input!",RSE_Setup!$B$16,ROW()+1))),"",INDIRECT(CONCATENATE("Input!",RSE_Setup!$B$16,ROW()+1)))</f>
        <v>7.5000000000000002E-4</v>
      </c>
      <c r="B89" s="1" cm="1">
        <f t="array" aca="1" ref="B89" ca="1">IF(ISBLANK(INDIRECT(CONCATENATE("Input!",RSE_Setup!$B$17,ROW()+1))),"",INDIRECT(CONCATENATE("Input!",RSE_Setup!$B$17,ROW()+1)))</f>
        <v>4.0000000000000001E-3</v>
      </c>
      <c r="C89" s="1" cm="1">
        <f t="array" aca="1" ref="C89" ca="1">IF(ISBLANK(INDIRECT(CONCATENATE("Input!",RSE_Setup!$B$18,ROW()+1))),"",INDIRECT(CONCATENATE("Input!",RSE_Setup!$B$18,ROW()+1)))</f>
        <v>5.5556000000000001E-2</v>
      </c>
      <c r="D89" s="1" cm="1">
        <f t="array" aca="1" ref="D89" ca="1">IF(ISBLANK(INDIRECT(CONCATENATE("Input!",RSE_Setup!$B$19,ROW()+1))),"",INDIRECT(CONCATENATE("Input!",RSE_Setup!$B$19,ROW()+1)))</f>
        <v>6000</v>
      </c>
      <c r="E89" s="1" cm="1">
        <f t="array" aca="1" ref="E89" ca="1">IF(ISBLANK(INDIRECT(CONCATENATE("Input!",RSE_Setup!$B$25,ROW()+1))),"",INDIRECT(CONCATENATE("Input!",RSE_Setup!$B$25,ROW()+1)))</f>
        <v>398.73758900000001</v>
      </c>
      <c r="F89" s="1">
        <f ca="1"/>
        <v>404.12417498926538</v>
      </c>
    </row>
    <row r="90" spans="1:6" x14ac:dyDescent="0.3">
      <c r="A90" s="1" cm="1">
        <f t="array" aca="1" ref="A90" ca="1">IF(ISBLANK(INDIRECT(CONCATENATE("Input!",RSE_Setup!$B$16,ROW()+1))),"",INDIRECT(CONCATENATE("Input!",RSE_Setup!$B$16,ROW()+1)))</f>
        <v>7.5000000000000002E-4</v>
      </c>
      <c r="B90" s="1" cm="1">
        <f t="array" aca="1" ref="B90" ca="1">IF(ISBLANK(INDIRECT(CONCATENATE("Input!",RSE_Setup!$B$17,ROW()+1))),"",INDIRECT(CONCATENATE("Input!",RSE_Setup!$B$17,ROW()+1)))</f>
        <v>4.0000000000000001E-3</v>
      </c>
      <c r="C90" s="1" cm="1">
        <f t="array" aca="1" ref="C90" ca="1">IF(ISBLANK(INDIRECT(CONCATENATE("Input!",RSE_Setup!$B$18,ROW()+1))),"",INDIRECT(CONCATENATE("Input!",RSE_Setup!$B$18,ROW()+1)))</f>
        <v>3.2258000000000002E-2</v>
      </c>
      <c r="D90" s="1" cm="1">
        <f t="array" aca="1" ref="D90" ca="1">IF(ISBLANK(INDIRECT(CONCATENATE("Input!",RSE_Setup!$B$19,ROW()+1))),"",INDIRECT(CONCATENATE("Input!",RSE_Setup!$B$19,ROW()+1)))</f>
        <v>6000</v>
      </c>
      <c r="E90" s="1" cm="1">
        <f t="array" aca="1" ref="E90" ca="1">IF(ISBLANK(INDIRECT(CONCATENATE("Input!",RSE_Setup!$B$25,ROW()+1))),"",INDIRECT(CONCATENATE("Input!",RSE_Setup!$B$25,ROW()+1)))</f>
        <v>377.78041400000001</v>
      </c>
      <c r="F90" s="1">
        <f ca="1"/>
        <v>373.47288727143075</v>
      </c>
    </row>
    <row r="91" spans="1:6" x14ac:dyDescent="0.3">
      <c r="A91" s="1" cm="1">
        <f t="array" aca="1" ref="A91" ca="1">IF(ISBLANK(INDIRECT(CONCATENATE("Input!",RSE_Setup!$B$16,ROW()+1))),"",INDIRECT(CONCATENATE("Input!",RSE_Setup!$B$16,ROW()+1)))</f>
        <v>7.5000000000000002E-4</v>
      </c>
      <c r="B91" s="1" cm="1">
        <f t="array" aca="1" ref="B91" ca="1">IF(ISBLANK(INDIRECT(CONCATENATE("Input!",RSE_Setup!$B$17,ROW()+1))),"",INDIRECT(CONCATENATE("Input!",RSE_Setup!$B$17,ROW()+1)))</f>
        <v>6.0000000000000001E-3</v>
      </c>
      <c r="C91" s="1" cm="1">
        <f t="array" aca="1" ref="C91" ca="1">IF(ISBLANK(INDIRECT(CONCATENATE("Input!",RSE_Setup!$B$18,ROW()+1))),"",INDIRECT(CONCATENATE("Input!",RSE_Setup!$B$18,ROW()+1)))</f>
        <v>5.5556000000000001E-2</v>
      </c>
      <c r="D91" s="1" cm="1">
        <f t="array" aca="1" ref="D91" ca="1">IF(ISBLANK(INDIRECT(CONCATENATE("Input!",RSE_Setup!$B$19,ROW()+1))),"",INDIRECT(CONCATENATE("Input!",RSE_Setup!$B$19,ROW()+1)))</f>
        <v>3375</v>
      </c>
      <c r="E91" s="1" cm="1">
        <f t="array" aca="1" ref="E91" ca="1">IF(ISBLANK(INDIRECT(CONCATENATE("Input!",RSE_Setup!$B$25,ROW()+1))),"",INDIRECT(CONCATENATE("Input!",RSE_Setup!$B$25,ROW()+1)))</f>
        <v>262.83172500000001</v>
      </c>
      <c r="F91" s="1">
        <f ca="1"/>
        <v>257.73797759909246</v>
      </c>
    </row>
    <row r="92" spans="1:6" x14ac:dyDescent="0.3">
      <c r="A92" s="1" cm="1">
        <f t="array" aca="1" ref="A92" ca="1">IF(ISBLANK(INDIRECT(CONCATENATE("Input!",RSE_Setup!$B$16,ROW()+1))),"",INDIRECT(CONCATENATE("Input!",RSE_Setup!$B$16,ROW()+1)))</f>
        <v>7.5000000000000002E-4</v>
      </c>
      <c r="B92" s="1" cm="1">
        <f t="array" aca="1" ref="B92" ca="1">IF(ISBLANK(INDIRECT(CONCATENATE("Input!",RSE_Setup!$B$17,ROW()+1))),"",INDIRECT(CONCATENATE("Input!",RSE_Setup!$B$17,ROW()+1)))</f>
        <v>6.0000000000000001E-3</v>
      </c>
      <c r="C92" s="1" cm="1">
        <f t="array" aca="1" ref="C92" ca="1">IF(ISBLANK(INDIRECT(CONCATENATE("Input!",RSE_Setup!$B$18,ROW()+1))),"",INDIRECT(CONCATENATE("Input!",RSE_Setup!$B$18,ROW()+1)))</f>
        <v>5.5556000000000001E-2</v>
      </c>
      <c r="D92" s="1" cm="1">
        <f t="array" aca="1" ref="D92" ca="1">IF(ISBLANK(INDIRECT(CONCATENATE("Input!",RSE_Setup!$B$19,ROW()+1))),"",INDIRECT(CONCATENATE("Input!",RSE_Setup!$B$19,ROW()+1)))</f>
        <v>4500</v>
      </c>
      <c r="E92" s="1" cm="1">
        <f t="array" aca="1" ref="E92" ca="1">IF(ISBLANK(INDIRECT(CONCATENATE("Input!",RSE_Setup!$B$25,ROW()+1))),"",INDIRECT(CONCATENATE("Input!",RSE_Setup!$B$25,ROW()+1)))</f>
        <v>342.42026600000003</v>
      </c>
      <c r="F92" s="1">
        <f ca="1"/>
        <v>338.91390832010148</v>
      </c>
    </row>
    <row r="93" spans="1:6" x14ac:dyDescent="0.3">
      <c r="A93" s="1" cm="1">
        <f t="array" aca="1" ref="A93" ca="1">IF(ISBLANK(INDIRECT(CONCATENATE("Input!",RSE_Setup!$B$16,ROW()+1))),"",INDIRECT(CONCATENATE("Input!",RSE_Setup!$B$16,ROW()+1)))</f>
        <v>7.5000000000000002E-4</v>
      </c>
      <c r="B93" s="1" cm="1">
        <f t="array" aca="1" ref="B93" ca="1">IF(ISBLANK(INDIRECT(CONCATENATE("Input!",RSE_Setup!$B$17,ROW()+1))),"",INDIRECT(CONCATENATE("Input!",RSE_Setup!$B$17,ROW()+1)))</f>
        <v>6.0000000000000001E-3</v>
      </c>
      <c r="C93" s="1" cm="1">
        <f t="array" aca="1" ref="C93" ca="1">IF(ISBLANK(INDIRECT(CONCATENATE("Input!",RSE_Setup!$B$18,ROW()+1))),"",INDIRECT(CONCATENATE("Input!",RSE_Setup!$B$18,ROW()+1)))</f>
        <v>5.5556000000000001E-2</v>
      </c>
      <c r="D93" s="1" cm="1">
        <f t="array" aca="1" ref="D93" ca="1">IF(ISBLANK(INDIRECT(CONCATENATE("Input!",RSE_Setup!$B$19,ROW()+1))),"",INDIRECT(CONCATENATE("Input!",RSE_Setup!$B$19,ROW()+1)))</f>
        <v>6000</v>
      </c>
      <c r="E93" s="1" cm="1">
        <f t="array" aca="1" ref="E93" ca="1">IF(ISBLANK(INDIRECT(CONCATENATE("Input!",RSE_Setup!$B$25,ROW()+1))),"",INDIRECT(CONCATENATE("Input!",RSE_Setup!$B$25,ROW()+1)))</f>
        <v>440.53680700000001</v>
      </c>
      <c r="F93" s="1">
        <f ca="1"/>
        <v>446.75507609142215</v>
      </c>
    </row>
    <row r="94" spans="1:6" x14ac:dyDescent="0.3">
      <c r="A94" s="1" cm="1">
        <f t="array" aca="1" ref="A94" ca="1">IF(ISBLANK(INDIRECT(CONCATENATE("Input!",RSE_Setup!$B$16,ROW()+1))),"",INDIRECT(CONCATENATE("Input!",RSE_Setup!$B$16,ROW()+1)))</f>
        <v>7.5000000000000002E-4</v>
      </c>
      <c r="B94" s="1" cm="1">
        <f t="array" aca="1" ref="B94" ca="1">IF(ISBLANK(INDIRECT(CONCATENATE("Input!",RSE_Setup!$B$17,ROW()+1))),"",INDIRECT(CONCATENATE("Input!",RSE_Setup!$B$17,ROW()+1)))</f>
        <v>6.0000000000000001E-3</v>
      </c>
      <c r="C94" s="1" cm="1">
        <f t="array" aca="1" ref="C94" ca="1">IF(ISBLANK(INDIRECT(CONCATENATE("Input!",RSE_Setup!$B$18,ROW()+1))),"",INDIRECT(CONCATENATE("Input!",RSE_Setup!$B$18,ROW()+1)))</f>
        <v>3.2258000000000002E-2</v>
      </c>
      <c r="D94" s="1" cm="1">
        <f t="array" aca="1" ref="D94" ca="1">IF(ISBLANK(INDIRECT(CONCATENATE("Input!",RSE_Setup!$B$19,ROW()+1))),"",INDIRECT(CONCATENATE("Input!",RSE_Setup!$B$19,ROW()+1)))</f>
        <v>6000</v>
      </c>
      <c r="E94" s="1" cm="1">
        <f t="array" aca="1" ref="E94" ca="1">IF(ISBLANK(INDIRECT(CONCATENATE("Input!",RSE_Setup!$B$25,ROW()+1))),"",INDIRECT(CONCATENATE("Input!",RSE_Setup!$B$25,ROW()+1)))</f>
        <v>424.84375499999999</v>
      </c>
      <c r="F94" s="1">
        <f ca="1"/>
        <v>417.09722502291663</v>
      </c>
    </row>
    <row r="95" spans="1:6" x14ac:dyDescent="0.3">
      <c r="A95" s="1" cm="1">
        <f t="array" aca="1" ref="A95" ca="1">IF(ISBLANK(INDIRECT(CONCATENATE("Input!",RSE_Setup!$B$16,ROW()+1))),"",INDIRECT(CONCATENATE("Input!",RSE_Setup!$B$16,ROW()+1)))</f>
        <v>7.5000000000000002E-4</v>
      </c>
      <c r="B95" s="1" cm="1">
        <f t="array" aca="1" ref="B95" ca="1">IF(ISBLANK(INDIRECT(CONCATENATE("Input!",RSE_Setup!$B$17,ROW()+1))),"",INDIRECT(CONCATENATE("Input!",RSE_Setup!$B$17,ROW()+1)))</f>
        <v>8.0000000000000002E-3</v>
      </c>
      <c r="C95" s="1" cm="1">
        <f t="array" aca="1" ref="C95" ca="1">IF(ISBLANK(INDIRECT(CONCATENATE("Input!",RSE_Setup!$B$18,ROW()+1))),"",INDIRECT(CONCATENATE("Input!",RSE_Setup!$B$18,ROW()+1)))</f>
        <v>5.5556000000000001E-2</v>
      </c>
      <c r="D95" s="1" cm="1">
        <f t="array" aca="1" ref="D95" ca="1">IF(ISBLANK(INDIRECT(CONCATENATE("Input!",RSE_Setup!$B$19,ROW()+1))),"",INDIRECT(CONCATENATE("Input!",RSE_Setup!$B$19,ROW()+1)))</f>
        <v>4500</v>
      </c>
      <c r="E95" s="1" cm="1">
        <f t="array" aca="1" ref="E95" ca="1">IF(ISBLANK(INDIRECT(CONCATENATE("Input!",RSE_Setup!$B$25,ROW()+1))),"",INDIRECT(CONCATENATE("Input!",RSE_Setup!$B$25,ROW()+1)))</f>
        <v>376.355255</v>
      </c>
      <c r="F95" s="1">
        <f ca="1"/>
        <v>374.64280494990214</v>
      </c>
    </row>
    <row r="96" spans="1:6" x14ac:dyDescent="0.3">
      <c r="A96" s="1" cm="1">
        <f t="array" aca="1" ref="A96" ca="1">IF(ISBLANK(INDIRECT(CONCATENATE("Input!",RSE_Setup!$B$16,ROW()+1))),"",INDIRECT(CONCATENATE("Input!",RSE_Setup!$B$16,ROW()+1)))</f>
        <v>7.5000000000000002E-4</v>
      </c>
      <c r="B96" s="1" cm="1">
        <f t="array" aca="1" ref="B96" ca="1">IF(ISBLANK(INDIRECT(CONCATENATE("Input!",RSE_Setup!$B$17,ROW()+1))),"",INDIRECT(CONCATENATE("Input!",RSE_Setup!$B$17,ROW()+1)))</f>
        <v>8.0000000000000002E-3</v>
      </c>
      <c r="C96" s="1" cm="1">
        <f t="array" aca="1" ref="C96" ca="1">IF(ISBLANK(INDIRECT(CONCATENATE("Input!",RSE_Setup!$B$18,ROW()+1))),"",INDIRECT(CONCATENATE("Input!",RSE_Setup!$B$18,ROW()+1)))</f>
        <v>5.5556000000000001E-2</v>
      </c>
      <c r="D96" s="1" cm="1">
        <f t="array" aca="1" ref="D96" ca="1">IF(ISBLANK(INDIRECT(CONCATENATE("Input!",RSE_Setup!$B$19,ROW()+1))),"",INDIRECT(CONCATENATE("Input!",RSE_Setup!$B$19,ROW()+1)))</f>
        <v>6000</v>
      </c>
      <c r="E96" s="1" cm="1">
        <f t="array" aca="1" ref="E96" ca="1">IF(ISBLANK(INDIRECT(CONCATENATE("Input!",RSE_Setup!$B$25,ROW()+1))),"",INDIRECT(CONCATENATE("Input!",RSE_Setup!$B$25,ROW()+1)))</f>
        <v>485.44896599999998</v>
      </c>
      <c r="F96" s="1">
        <f ca="1"/>
        <v>492.69982089560335</v>
      </c>
    </row>
    <row r="97" spans="1:6" x14ac:dyDescent="0.3">
      <c r="A97" s="1" cm="1">
        <f t="array" aca="1" ref="A97" ca="1">IF(ISBLANK(INDIRECT(CONCATENATE("Input!",RSE_Setup!$B$16,ROW()+1))),"",INDIRECT(CONCATENATE("Input!",RSE_Setup!$B$16,ROW()+1)))</f>
        <v>7.5000000000000002E-4</v>
      </c>
      <c r="B97" s="1" cm="1">
        <f t="array" aca="1" ref="B97" ca="1">IF(ISBLANK(INDIRECT(CONCATENATE("Input!",RSE_Setup!$B$17,ROW()+1))),"",INDIRECT(CONCATENATE("Input!",RSE_Setup!$B$17,ROW()+1)))</f>
        <v>8.0000000000000002E-3</v>
      </c>
      <c r="C97" s="1" cm="1">
        <f t="array" aca="1" ref="C97" ca="1">IF(ISBLANK(INDIRECT(CONCATENATE("Input!",RSE_Setup!$B$18,ROW()+1))),"",INDIRECT(CONCATENATE("Input!",RSE_Setup!$B$18,ROW()+1)))</f>
        <v>3.2258000000000002E-2</v>
      </c>
      <c r="D97" s="1" cm="1">
        <f t="array" aca="1" ref="D97" ca="1">IF(ISBLANK(INDIRECT(CONCATENATE("Input!",RSE_Setup!$B$19,ROW()+1))),"",INDIRECT(CONCATENATE("Input!",RSE_Setup!$B$19,ROW()+1)))</f>
        <v>6000</v>
      </c>
      <c r="E97" s="1" cm="1">
        <f t="array" aca="1" ref="E97" ca="1">IF(ISBLANK(INDIRECT(CONCATENATE("Input!",RSE_Setup!$B$25,ROW()+1))),"",INDIRECT(CONCATENATE("Input!",RSE_Setup!$B$25,ROW()+1)))</f>
        <v>473.15429</v>
      </c>
      <c r="F97" s="1">
        <f ca="1"/>
        <v>464.03540647642694</v>
      </c>
    </row>
    <row r="98" spans="1:6" x14ac:dyDescent="0.3">
      <c r="A98" s="1" cm="1">
        <f t="array" aca="1" ref="A98" ca="1">IF(ISBLANK(INDIRECT(CONCATENATE("Input!",RSE_Setup!$B$16,ROW()+1))),"",INDIRECT(CONCATENATE("Input!",RSE_Setup!$B$16,ROW()+1)))</f>
        <v>1E-3</v>
      </c>
      <c r="B98" s="1" cm="1">
        <f t="array" aca="1" ref="B98" ca="1">IF(ISBLANK(INDIRECT(CONCATENATE("Input!",RSE_Setup!$B$17,ROW()+1))),"",INDIRECT(CONCATENATE("Input!",RSE_Setup!$B$17,ROW()+1)))</f>
        <v>5.0000000000000001E-3</v>
      </c>
      <c r="C98" s="1" cm="1">
        <f t="array" aca="1" ref="C98" ca="1">IF(ISBLANK(INDIRECT(CONCATENATE("Input!",RSE_Setup!$B$18,ROW()+1))),"",INDIRECT(CONCATENATE("Input!",RSE_Setup!$B$18,ROW()+1)))</f>
        <v>5.5556000000000001E-2</v>
      </c>
      <c r="D98" s="1" cm="1">
        <f t="array" aca="1" ref="D98" ca="1">IF(ISBLANK(INDIRECT(CONCATENATE("Input!",RSE_Setup!$B$19,ROW()+1))),"",INDIRECT(CONCATENATE("Input!",RSE_Setup!$B$19,ROW()+1)))</f>
        <v>3375</v>
      </c>
      <c r="E98" s="1" cm="1">
        <f t="array" aca="1" ref="E98" ca="1">IF(ISBLANK(INDIRECT(CONCATENATE("Input!",RSE_Setup!$B$25,ROW()+1))),"",INDIRECT(CONCATENATE("Input!",RSE_Setup!$B$25,ROW()+1)))</f>
        <v>262.34972800000003</v>
      </c>
      <c r="F98" s="1">
        <f ca="1"/>
        <v>257.88932174433114</v>
      </c>
    </row>
    <row r="99" spans="1:6" x14ac:dyDescent="0.3">
      <c r="A99" s="1" cm="1">
        <f t="array" aca="1" ref="A99" ca="1">IF(ISBLANK(INDIRECT(CONCATENATE("Input!",RSE_Setup!$B$16,ROW()+1))),"",INDIRECT(CONCATENATE("Input!",RSE_Setup!$B$16,ROW()+1)))</f>
        <v>1E-3</v>
      </c>
      <c r="B99" s="1" cm="1">
        <f t="array" aca="1" ref="B99" ca="1">IF(ISBLANK(INDIRECT(CONCATENATE("Input!",RSE_Setup!$B$17,ROW()+1))),"",INDIRECT(CONCATENATE("Input!",RSE_Setup!$B$17,ROW()+1)))</f>
        <v>5.0000000000000001E-3</v>
      </c>
      <c r="C99" s="1" cm="1">
        <f t="array" aca="1" ref="C99" ca="1">IF(ISBLANK(INDIRECT(CONCATENATE("Input!",RSE_Setup!$B$18,ROW()+1))),"",INDIRECT(CONCATENATE("Input!",RSE_Setup!$B$18,ROW()+1)))</f>
        <v>5.5556000000000001E-2</v>
      </c>
      <c r="D99" s="1" cm="1">
        <f t="array" aca="1" ref="D99" ca="1">IF(ISBLANK(INDIRECT(CONCATENATE("Input!",RSE_Setup!$B$19,ROW()+1))),"",INDIRECT(CONCATENATE("Input!",RSE_Setup!$B$19,ROW()+1)))</f>
        <v>4500</v>
      </c>
      <c r="E99" s="1" cm="1">
        <f t="array" aca="1" ref="E99" ca="1">IF(ISBLANK(INDIRECT(CONCATENATE("Input!",RSE_Setup!$B$25,ROW()+1))),"",INDIRECT(CONCATENATE("Input!",RSE_Setup!$B$25,ROW()+1)))</f>
        <v>341.53937500000001</v>
      </c>
      <c r="F99" s="1">
        <f ca="1"/>
        <v>339.22548319391171</v>
      </c>
    </row>
    <row r="100" spans="1:6" x14ac:dyDescent="0.3">
      <c r="A100" s="1" cm="1">
        <f t="array" aca="1" ref="A100" ca="1">IF(ISBLANK(INDIRECT(CONCATENATE("Input!",RSE_Setup!$B$16,ROW()+1))),"",INDIRECT(CONCATENATE("Input!",RSE_Setup!$B$16,ROW()+1)))</f>
        <v>1E-3</v>
      </c>
      <c r="B100" s="1" cm="1">
        <f t="array" aca="1" ref="B100" ca="1">IF(ISBLANK(INDIRECT(CONCATENATE("Input!",RSE_Setup!$B$17,ROW()+1))),"",INDIRECT(CONCATENATE("Input!",RSE_Setup!$B$17,ROW()+1)))</f>
        <v>5.0000000000000001E-3</v>
      </c>
      <c r="C100" s="1" cm="1">
        <f t="array" aca="1" ref="C100" ca="1">IF(ISBLANK(INDIRECT(CONCATENATE("Input!",RSE_Setup!$B$18,ROW()+1))),"",INDIRECT(CONCATENATE("Input!",RSE_Setup!$B$18,ROW()+1)))</f>
        <v>5.5556000000000001E-2</v>
      </c>
      <c r="D100" s="1" cm="1">
        <f t="array" aca="1" ref="D100" ca="1">IF(ISBLANK(INDIRECT(CONCATENATE("Input!",RSE_Setup!$B$19,ROW()+1))),"",INDIRECT(CONCATENATE("Input!",RSE_Setup!$B$19,ROW()+1)))</f>
        <v>6000</v>
      </c>
      <c r="E100" s="1" cm="1">
        <f t="array" aca="1" ref="E100" ca="1">IF(ISBLANK(INDIRECT(CONCATENATE("Input!",RSE_Setup!$B$25,ROW()+1))),"",INDIRECT(CONCATENATE("Input!",RSE_Setup!$B$25,ROW()+1)))</f>
        <v>440.18855300000001</v>
      </c>
      <c r="F100" s="1">
        <f ca="1"/>
        <v>447.28029193666111</v>
      </c>
    </row>
    <row r="101" spans="1:6" x14ac:dyDescent="0.3">
      <c r="A101" s="1" cm="1">
        <f t="array" aca="1" ref="A101" ca="1">IF(ISBLANK(INDIRECT(CONCATENATE("Input!",RSE_Setup!$B$16,ROW()+1))),"",INDIRECT(CONCATENATE("Input!",RSE_Setup!$B$16,ROW()+1)))</f>
        <v>1E-3</v>
      </c>
      <c r="B101" s="1" cm="1">
        <f t="array" aca="1" ref="B101" ca="1">IF(ISBLANK(INDIRECT(CONCATENATE("Input!",RSE_Setup!$B$17,ROW()+1))),"",INDIRECT(CONCATENATE("Input!",RSE_Setup!$B$17,ROW()+1)))</f>
        <v>5.0000000000000001E-3</v>
      </c>
      <c r="C101" s="1" cm="1">
        <f t="array" aca="1" ref="C101" ca="1">IF(ISBLANK(INDIRECT(CONCATENATE("Input!",RSE_Setup!$B$18,ROW()+1))),"",INDIRECT(CONCATENATE("Input!",RSE_Setup!$B$18,ROW()+1)))</f>
        <v>3.2258000000000002E-2</v>
      </c>
      <c r="D101" s="1" cm="1">
        <f t="array" aca="1" ref="D101" ca="1">IF(ISBLANK(INDIRECT(CONCATENATE("Input!",RSE_Setup!$B$19,ROW()+1))),"",INDIRECT(CONCATENATE("Input!",RSE_Setup!$B$19,ROW()+1)))</f>
        <v>6000</v>
      </c>
      <c r="E101" s="1" cm="1">
        <f t="array" aca="1" ref="E101" ca="1">IF(ISBLANK(INDIRECT(CONCATENATE("Input!",RSE_Setup!$B$25,ROW()+1))),"",INDIRECT(CONCATENATE("Input!",RSE_Setup!$B$25,ROW()+1)))</f>
        <v>425.15968299999997</v>
      </c>
      <c r="F101" s="1">
        <f ca="1"/>
        <v>417.27153977380374</v>
      </c>
    </row>
    <row r="102" spans="1:6" x14ac:dyDescent="0.3">
      <c r="A102" s="1" cm="1">
        <f t="array" aca="1" ref="A102" ca="1">IF(ISBLANK(INDIRECT(CONCATENATE("Input!",RSE_Setup!$B$16,ROW()+1))),"",INDIRECT(CONCATENATE("Input!",RSE_Setup!$B$16,ROW()+1)))</f>
        <v>1E-3</v>
      </c>
      <c r="B102" s="1" cm="1">
        <f t="array" aca="1" ref="B102" ca="1">IF(ISBLANK(INDIRECT(CONCATENATE("Input!",RSE_Setup!$B$17,ROW()+1))),"",INDIRECT(CONCATENATE("Input!",RSE_Setup!$B$17,ROW()+1)))</f>
        <v>6.4999999999999997E-3</v>
      </c>
      <c r="C102" s="1" cm="1">
        <f t="array" aca="1" ref="C102" ca="1">IF(ISBLANK(INDIRECT(CONCATENATE("Input!",RSE_Setup!$B$18,ROW()+1))),"",INDIRECT(CONCATENATE("Input!",RSE_Setup!$B$18,ROW()+1)))</f>
        <v>5.5556000000000001E-2</v>
      </c>
      <c r="D102" s="1" cm="1">
        <f t="array" aca="1" ref="D102" ca="1">IF(ISBLANK(INDIRECT(CONCATENATE("Input!",RSE_Setup!$B$19,ROW()+1))),"",INDIRECT(CONCATENATE("Input!",RSE_Setup!$B$19,ROW()+1)))</f>
        <v>3375</v>
      </c>
      <c r="E102" s="1" cm="1">
        <f t="array" aca="1" ref="E102" ca="1">IF(ISBLANK(INDIRECT(CONCATENATE("Input!",RSE_Setup!$B$25,ROW()+1))),"",INDIRECT(CONCATENATE("Input!",RSE_Setup!$B$25,ROW()+1)))</f>
        <v>281.57469099999997</v>
      </c>
      <c r="F102" s="1">
        <f ca="1"/>
        <v>277.55752439312249</v>
      </c>
    </row>
    <row r="103" spans="1:6" x14ac:dyDescent="0.3">
      <c r="A103" s="1" cm="1">
        <f t="array" aca="1" ref="A103" ca="1">IF(ISBLANK(INDIRECT(CONCATENATE("Input!",RSE_Setup!$B$16,ROW()+1))),"",INDIRECT(CONCATENATE("Input!",RSE_Setup!$B$16,ROW()+1)))</f>
        <v>1E-3</v>
      </c>
      <c r="B103" s="1" cm="1">
        <f t="array" aca="1" ref="B103" ca="1">IF(ISBLANK(INDIRECT(CONCATENATE("Input!",RSE_Setup!$B$17,ROW()+1))),"",INDIRECT(CONCATENATE("Input!",RSE_Setup!$B$17,ROW()+1)))</f>
        <v>6.4999999999999997E-3</v>
      </c>
      <c r="C103" s="1" cm="1">
        <f t="array" aca="1" ref="C103" ca="1">IF(ISBLANK(INDIRECT(CONCATENATE("Input!",RSE_Setup!$B$18,ROW()+1))),"",INDIRECT(CONCATENATE("Input!",RSE_Setup!$B$18,ROW()+1)))</f>
        <v>5.5556000000000001E-2</v>
      </c>
      <c r="D103" s="1" cm="1">
        <f t="array" aca="1" ref="D103" ca="1">IF(ISBLANK(INDIRECT(CONCATENATE("Input!",RSE_Setup!$B$19,ROW()+1))),"",INDIRECT(CONCATENATE("Input!",RSE_Setup!$B$19,ROW()+1)))</f>
        <v>4500</v>
      </c>
      <c r="E103" s="1" cm="1">
        <f t="array" aca="1" ref="E103" ca="1">IF(ISBLANK(INDIRECT(CONCATENATE("Input!",RSE_Setup!$B$25,ROW()+1))),"",INDIRECT(CONCATENATE("Input!",RSE_Setup!$B$25,ROW()+1)))</f>
        <v>366.95916299999999</v>
      </c>
      <c r="F103" s="1">
        <f ca="1"/>
        <v>364.64010044079214</v>
      </c>
    </row>
    <row r="104" spans="1:6" x14ac:dyDescent="0.3">
      <c r="A104" s="1" cm="1">
        <f t="array" aca="1" ref="A104" ca="1">IF(ISBLANK(INDIRECT(CONCATENATE("Input!",RSE_Setup!$B$16,ROW()+1))),"",INDIRECT(CONCATENATE("Input!",RSE_Setup!$B$16,ROW()+1)))</f>
        <v>1E-3</v>
      </c>
      <c r="B104" s="1" cm="1">
        <f t="array" aca="1" ref="B104" ca="1">IF(ISBLANK(INDIRECT(CONCATENATE("Input!",RSE_Setup!$B$17,ROW()+1))),"",INDIRECT(CONCATENATE("Input!",RSE_Setup!$B$17,ROW()+1)))</f>
        <v>6.4999999999999997E-3</v>
      </c>
      <c r="C104" s="1" cm="1">
        <f t="array" aca="1" ref="C104" ca="1">IF(ISBLANK(INDIRECT(CONCATENATE("Input!",RSE_Setup!$B$18,ROW()+1))),"",INDIRECT(CONCATENATE("Input!",RSE_Setup!$B$18,ROW()+1)))</f>
        <v>5.5556000000000001E-2</v>
      </c>
      <c r="D104" s="1" cm="1">
        <f t="array" aca="1" ref="D104" ca="1">IF(ISBLANK(INDIRECT(CONCATENATE("Input!",RSE_Setup!$B$19,ROW()+1))),"",INDIRECT(CONCATENATE("Input!",RSE_Setup!$B$19,ROW()+1)))</f>
        <v>6000</v>
      </c>
      <c r="E104" s="1" cm="1">
        <f t="array" aca="1" ref="E104" ca="1">IF(ISBLANK(INDIRECT(CONCATENATE("Input!",RSE_Setup!$B$25,ROW()+1))),"",INDIRECT(CONCATENATE("Input!",RSE_Setup!$B$25,ROW()+1)))</f>
        <v>472.06246700000003</v>
      </c>
      <c r="F104" s="1">
        <f ca="1"/>
        <v>480.35679531432692</v>
      </c>
    </row>
    <row r="105" spans="1:6" x14ac:dyDescent="0.3">
      <c r="A105" s="1" cm="1">
        <f t="array" aca="1" ref="A105" ca="1">IF(ISBLANK(INDIRECT(CONCATENATE("Input!",RSE_Setup!$B$16,ROW()+1))),"",INDIRECT(CONCATENATE("Input!",RSE_Setup!$B$16,ROW()+1)))</f>
        <v>1E-3</v>
      </c>
      <c r="B105" s="1" cm="1">
        <f t="array" aca="1" ref="B105" ca="1">IF(ISBLANK(INDIRECT(CONCATENATE("Input!",RSE_Setup!$B$17,ROW()+1))),"",INDIRECT(CONCATENATE("Input!",RSE_Setup!$B$17,ROW()+1)))</f>
        <v>6.4999999999999997E-3</v>
      </c>
      <c r="C105" s="1" cm="1">
        <f t="array" aca="1" ref="C105" ca="1">IF(ISBLANK(INDIRECT(CONCATENATE("Input!",RSE_Setup!$B$18,ROW()+1))),"",INDIRECT(CONCATENATE("Input!",RSE_Setup!$B$18,ROW()+1)))</f>
        <v>3.2258000000000002E-2</v>
      </c>
      <c r="D105" s="1" cm="1">
        <f t="array" aca="1" ref="D105" ca="1">IF(ISBLANK(INDIRECT(CONCATENATE("Input!",RSE_Setup!$B$19,ROW()+1))),"",INDIRECT(CONCATENATE("Input!",RSE_Setup!$B$19,ROW()+1)))</f>
        <v>6000</v>
      </c>
      <c r="E105" s="1" cm="1">
        <f t="array" aca="1" ref="E105" ca="1">IF(ISBLANK(INDIRECT(CONCATENATE("Input!",RSE_Setup!$B$25,ROW()+1))),"",INDIRECT(CONCATENATE("Input!",RSE_Setup!$B$25,ROW()+1)))</f>
        <v>460.61158999999998</v>
      </c>
      <c r="F105" s="1">
        <f ca="1"/>
        <v>451.0931206384663</v>
      </c>
    </row>
    <row r="106" spans="1:6" x14ac:dyDescent="0.3">
      <c r="A106" s="1" cm="1">
        <f t="array" aca="1" ref="A106" ca="1">IF(ISBLANK(INDIRECT(CONCATENATE("Input!",RSE_Setup!$B$16,ROW()+1))),"",INDIRECT(CONCATENATE("Input!",RSE_Setup!$B$16,ROW()+1)))</f>
        <v>1E-3</v>
      </c>
      <c r="B106" s="1" cm="1">
        <f t="array" aca="1" ref="B106" ca="1">IF(ISBLANK(INDIRECT(CONCATENATE("Input!",RSE_Setup!$B$17,ROW()+1))),"",INDIRECT(CONCATENATE("Input!",RSE_Setup!$B$17,ROW()+1)))</f>
        <v>8.0000000000000002E-3</v>
      </c>
      <c r="C106" s="1" cm="1">
        <f t="array" aca="1" ref="C106" ca="1">IF(ISBLANK(INDIRECT(CONCATENATE("Input!",RSE_Setup!$B$18,ROW()+1))),"",INDIRECT(CONCATENATE("Input!",RSE_Setup!$B$18,ROW()+1)))</f>
        <v>5.5556000000000001E-2</v>
      </c>
      <c r="D106" s="1" cm="1">
        <f t="array" aca="1" ref="D106" ca="1">IF(ISBLANK(INDIRECT(CONCATENATE("Input!",RSE_Setup!$B$19,ROW()+1))),"",INDIRECT(CONCATENATE("Input!",RSE_Setup!$B$19,ROW()+1)))</f>
        <v>4500</v>
      </c>
      <c r="E106" s="1" cm="1">
        <f t="array" aca="1" ref="E106" ca="1">IF(ISBLANK(INDIRECT(CONCATENATE("Input!",RSE_Setup!$B$25,ROW()+1))),"",INDIRECT(CONCATENATE("Input!",RSE_Setup!$B$25,ROW()+1)))</f>
        <v>392.35990900000002</v>
      </c>
      <c r="F106" s="1">
        <f ca="1"/>
        <v>391.91875477006124</v>
      </c>
    </row>
    <row r="107" spans="1:6" x14ac:dyDescent="0.3">
      <c r="A107" s="1" cm="1">
        <f t="array" aca="1" ref="A107" ca="1">IF(ISBLANK(INDIRECT(CONCATENATE("Input!",RSE_Setup!$B$16,ROW()+1))),"",INDIRECT(CONCATENATE("Input!",RSE_Setup!$B$16,ROW()+1)))</f>
        <v>1E-3</v>
      </c>
      <c r="B107" s="1" cm="1">
        <f t="array" aca="1" ref="B107" ca="1">IF(ISBLANK(INDIRECT(CONCATENATE("Input!",RSE_Setup!$B$17,ROW()+1))),"",INDIRECT(CONCATENATE("Input!",RSE_Setup!$B$17,ROW()+1)))</f>
        <v>8.0000000000000002E-3</v>
      </c>
      <c r="C107" s="1" cm="1">
        <f t="array" aca="1" ref="C107" ca="1">IF(ISBLANK(INDIRECT(CONCATENATE("Input!",RSE_Setup!$B$18,ROW()+1))),"",INDIRECT(CONCATENATE("Input!",RSE_Setup!$B$18,ROW()+1)))</f>
        <v>5.5556000000000001E-2</v>
      </c>
      <c r="D107" s="1" cm="1">
        <f t="array" aca="1" ref="D107" ca="1">IF(ISBLANK(INDIRECT(CONCATENATE("Input!",RSE_Setup!$B$19,ROW()+1))),"",INDIRECT(CONCATENATE("Input!",RSE_Setup!$B$19,ROW()+1)))</f>
        <v>6000</v>
      </c>
      <c r="E107" s="1" cm="1">
        <f t="array" aca="1" ref="E107" ca="1">IF(ISBLANK(INDIRECT(CONCATENATE("Input!",RSE_Setup!$B$25,ROW()+1))),"",INDIRECT(CONCATENATE("Input!",RSE_Setup!$B$25,ROW()+1)))</f>
        <v>507.38333499999999</v>
      </c>
      <c r="F107" s="1">
        <f ca="1"/>
        <v>515.29733577438151</v>
      </c>
    </row>
    <row r="108" spans="1:6" x14ac:dyDescent="0.3">
      <c r="A108" s="1" cm="1">
        <f t="array" aca="1" ref="A108" ca="1">IF(ISBLANK(INDIRECT(CONCATENATE("Input!",RSE_Setup!$B$16,ROW()+1))),"",INDIRECT(CONCATENATE("Input!",RSE_Setup!$B$16,ROW()+1)))</f>
        <v>1E-3</v>
      </c>
      <c r="B108" s="1" cm="1">
        <f t="array" aca="1" ref="B108" ca="1">IF(ISBLANK(INDIRECT(CONCATENATE("Input!",RSE_Setup!$B$17,ROW()+1))),"",INDIRECT(CONCATENATE("Input!",RSE_Setup!$B$17,ROW()+1)))</f>
        <v>8.0000000000000002E-3</v>
      </c>
      <c r="C108" s="1" cm="1">
        <f t="array" aca="1" ref="C108" ca="1">IF(ISBLANK(INDIRECT(CONCATENATE("Input!",RSE_Setup!$B$18,ROW()+1))),"",INDIRECT(CONCATENATE("Input!",RSE_Setup!$B$18,ROW()+1)))</f>
        <v>3.2258000000000002E-2</v>
      </c>
      <c r="D108" s="1" cm="1">
        <f t="array" aca="1" ref="D108" ca="1">IF(ISBLANK(INDIRECT(CONCATENATE("Input!",RSE_Setup!$B$19,ROW()+1))),"",INDIRECT(CONCATENATE("Input!",RSE_Setup!$B$19,ROW()+1)))</f>
        <v>6000</v>
      </c>
      <c r="E108" s="1" cm="1">
        <f t="array" aca="1" ref="E108" ca="1">IF(ISBLANK(INDIRECT(CONCATENATE("Input!",RSE_Setup!$B$25,ROW()+1))),"",INDIRECT(CONCATENATE("Input!",RSE_Setup!$B$25,ROW()+1)))</f>
        <v>496.18782099999999</v>
      </c>
      <c r="F108" s="1">
        <f ca="1"/>
        <v>486.77873858551766</v>
      </c>
    </row>
    <row r="109" spans="1:6" x14ac:dyDescent="0.3">
      <c r="A109" s="1" cm="1">
        <f t="array" aca="1" ref="A109" ca="1">IF(ISBLANK(INDIRECT(CONCATENATE("Input!",RSE_Setup!$B$16,ROW()+1))),"",INDIRECT(CONCATENATE("Input!",RSE_Setup!$B$16,ROW()+1)))</f>
        <v>2.9999999999999997E-4</v>
      </c>
      <c r="B109" s="1" cm="1">
        <f t="array" aca="1" ref="B109" ca="1">IF(ISBLANK(INDIRECT(CONCATENATE("Input!",RSE_Setup!$B$17,ROW()+1))),"",INDIRECT(CONCATENATE("Input!",RSE_Setup!$B$17,ROW()+1)))</f>
        <v>2E-3</v>
      </c>
      <c r="C109" s="1" cm="1">
        <f t="array" aca="1" ref="C109" ca="1">IF(ISBLANK(INDIRECT(CONCATENATE("Input!",RSE_Setup!$B$18,ROW()+1))),"",INDIRECT(CONCATENATE("Input!",RSE_Setup!$B$18,ROW()+1)))</f>
        <v>5.5556000000000001E-2</v>
      </c>
      <c r="D109" s="1" cm="1">
        <f t="array" aca="1" ref="D109" ca="1">IF(ISBLANK(INDIRECT(CONCATENATE("Input!",RSE_Setup!$B$19,ROW()+1))),"",INDIRECT(CONCATENATE("Input!",RSE_Setup!$B$19,ROW()+1)))</f>
        <v>5500</v>
      </c>
      <c r="E109" s="1" cm="1">
        <f t="array" aca="1" ref="E109" ca="1">IF(ISBLANK(INDIRECT(CONCATENATE("Input!",RSE_Setup!$B$25,ROW()+1))),"",INDIRECT(CONCATENATE("Input!",RSE_Setup!$B$25,ROW()+1)))</f>
        <v>304.75024000000002</v>
      </c>
      <c r="F109" s="1">
        <f ca="1"/>
        <v>300.3716083880293</v>
      </c>
    </row>
    <row r="110" spans="1:6" x14ac:dyDescent="0.3">
      <c r="A110" s="1" cm="1">
        <f t="array" aca="1" ref="A110" ca="1">IF(ISBLANK(INDIRECT(CONCATENATE("Input!",RSE_Setup!$B$16,ROW()+1))),"",INDIRECT(CONCATENATE("Input!",RSE_Setup!$B$16,ROW()+1)))</f>
        <v>2.9999999999999997E-4</v>
      </c>
      <c r="B110" s="1" cm="1">
        <f t="array" aca="1" ref="B110" ca="1">IF(ISBLANK(INDIRECT(CONCATENATE("Input!",RSE_Setup!$B$17,ROW()+1))),"",INDIRECT(CONCATENATE("Input!",RSE_Setup!$B$17,ROW()+1)))</f>
        <v>2E-3</v>
      </c>
      <c r="C110" s="1" cm="1">
        <f t="array" aca="1" ref="C110" ca="1">IF(ISBLANK(INDIRECT(CONCATENATE("Input!",RSE_Setup!$B$18,ROW()+1))),"",INDIRECT(CONCATENATE("Input!",RSE_Setup!$B$18,ROW()+1)))</f>
        <v>5.5556000000000001E-2</v>
      </c>
      <c r="D110" s="1" cm="1">
        <f t="array" aca="1" ref="D110" ca="1">IF(ISBLANK(INDIRECT(CONCATENATE("Input!",RSE_Setup!$B$19,ROW()+1))),"",INDIRECT(CONCATENATE("Input!",RSE_Setup!$B$19,ROW()+1)))</f>
        <v>7500</v>
      </c>
      <c r="E110" s="1" cm="1">
        <f t="array" aca="1" ref="E110" ca="1">IF(ISBLANK(INDIRECT(CONCATENATE("Input!",RSE_Setup!$B$25,ROW()+1))),"",INDIRECT(CONCATENATE("Input!",RSE_Setup!$B$25,ROW()+1)))</f>
        <v>401.374977</v>
      </c>
      <c r="F110" s="1">
        <f ca="1"/>
        <v>403.64625030490492</v>
      </c>
    </row>
    <row r="111" spans="1:6" x14ac:dyDescent="0.3">
      <c r="A111" s="1" cm="1">
        <f t="array" aca="1" ref="A111" ca="1">IF(ISBLANK(INDIRECT(CONCATENATE("Input!",RSE_Setup!$B$16,ROW()+1))),"",INDIRECT(CONCATENATE("Input!",RSE_Setup!$B$16,ROW()+1)))</f>
        <v>2.9999999999999997E-4</v>
      </c>
      <c r="B111" s="1" cm="1">
        <f t="array" aca="1" ref="B111" ca="1">IF(ISBLANK(INDIRECT(CONCATENATE("Input!",RSE_Setup!$B$17,ROW()+1))),"",INDIRECT(CONCATENATE("Input!",RSE_Setup!$B$17,ROW()+1)))</f>
        <v>2E-3</v>
      </c>
      <c r="C111" s="1" cm="1">
        <f t="array" aca="1" ref="C111" ca="1">IF(ISBLANK(INDIRECT(CONCATENATE("Input!",RSE_Setup!$B$18,ROW()+1))),"",INDIRECT(CONCATENATE("Input!",RSE_Setup!$B$18,ROW()+1)))</f>
        <v>5.5556000000000001E-2</v>
      </c>
      <c r="D111" s="1" cm="1">
        <f t="array" aca="1" ref="D111" ca="1">IF(ISBLANK(INDIRECT(CONCATENATE("Input!",RSE_Setup!$B$19,ROW()+1))),"",INDIRECT(CONCATENATE("Input!",RSE_Setup!$B$19,ROW()+1)))</f>
        <v>9500</v>
      </c>
      <c r="E111" s="1" cm="1">
        <f t="array" aca="1" ref="E111" ca="1">IF(ISBLANK(INDIRECT(CONCATENATE("Input!",RSE_Setup!$B$25,ROW()+1))),"",INDIRECT(CONCATENATE("Input!",RSE_Setup!$B$25,ROW()+1)))</f>
        <v>508.558989</v>
      </c>
      <c r="F111" s="1">
        <f ca="1"/>
        <v>506.12159007908519</v>
      </c>
    </row>
    <row r="112" spans="1:6" x14ac:dyDescent="0.3">
      <c r="A112" s="1" cm="1">
        <f t="array" aca="1" ref="A112" ca="1">IF(ISBLANK(INDIRECT(CONCATENATE("Input!",RSE_Setup!$B$16,ROW()+1))),"",INDIRECT(CONCATENATE("Input!",RSE_Setup!$B$16,ROW()+1)))</f>
        <v>2.9999999999999997E-4</v>
      </c>
      <c r="B112" s="1" cm="1">
        <f t="array" aca="1" ref="B112" ca="1">IF(ISBLANK(INDIRECT(CONCATENATE("Input!",RSE_Setup!$B$17,ROW()+1))),"",INDIRECT(CONCATENATE("Input!",RSE_Setup!$B$17,ROW()+1)))</f>
        <v>2E-3</v>
      </c>
      <c r="C112" s="1" cm="1">
        <f t="array" aca="1" ref="C112" ca="1">IF(ISBLANK(INDIRECT(CONCATENATE("Input!",RSE_Setup!$B$18,ROW()+1))),"",INDIRECT(CONCATENATE("Input!",RSE_Setup!$B$18,ROW()+1)))</f>
        <v>3.2258000000000002E-2</v>
      </c>
      <c r="D112" s="1" cm="1">
        <f t="array" aca="1" ref="D112" ca="1">IF(ISBLANK(INDIRECT(CONCATENATE("Input!",RSE_Setup!$B$19,ROW()+1))),"",INDIRECT(CONCATENATE("Input!",RSE_Setup!$B$19,ROW()+1)))</f>
        <v>9500</v>
      </c>
      <c r="E112" s="1" cm="1">
        <f t="array" aca="1" ref="E112" ca="1">IF(ISBLANK(INDIRECT(CONCATENATE("Input!",RSE_Setup!$B$25,ROW()+1))),"",INDIRECT(CONCATENATE("Input!",RSE_Setup!$B$25,ROW()+1)))</f>
        <v>466.08816999999999</v>
      </c>
      <c r="F112" s="1">
        <f ca="1"/>
        <v>458.01491729101639</v>
      </c>
    </row>
    <row r="113" spans="1:6" x14ac:dyDescent="0.3">
      <c r="A113" s="1" cm="1">
        <f t="array" aca="1" ref="A113" ca="1">IF(ISBLANK(INDIRECT(CONCATENATE("Input!",RSE_Setup!$B$16,ROW()+1))),"",INDIRECT(CONCATENATE("Input!",RSE_Setup!$B$16,ROW()+1)))</f>
        <v>2.9999999999999997E-4</v>
      </c>
      <c r="B113" s="1" cm="1">
        <f t="array" aca="1" ref="B113" ca="1">IF(ISBLANK(INDIRECT(CONCATENATE("Input!",RSE_Setup!$B$17,ROW()+1))),"",INDIRECT(CONCATENATE("Input!",RSE_Setup!$B$17,ROW()+1)))</f>
        <v>3.0000000000000001E-3</v>
      </c>
      <c r="C113" s="1" cm="1">
        <f t="array" aca="1" ref="C113" ca="1">IF(ISBLANK(INDIRECT(CONCATENATE("Input!",RSE_Setup!$B$18,ROW()+1))),"",INDIRECT(CONCATENATE("Input!",RSE_Setup!$B$18,ROW()+1)))</f>
        <v>5.5556000000000001E-2</v>
      </c>
      <c r="D113" s="1" cm="1">
        <f t="array" aca="1" ref="D113" ca="1">IF(ISBLANK(INDIRECT(CONCATENATE("Input!",RSE_Setup!$B$19,ROW()+1))),"",INDIRECT(CONCATENATE("Input!",RSE_Setup!$B$19,ROW()+1)))</f>
        <v>5500</v>
      </c>
      <c r="E113" s="1" cm="1">
        <f t="array" aca="1" ref="E113" ca="1">IF(ISBLANK(INDIRECT(CONCATENATE("Input!",RSE_Setup!$B$25,ROW()+1))),"",INDIRECT(CONCATENATE("Input!",RSE_Setup!$B$25,ROW()+1)))</f>
        <v>322.04014699999999</v>
      </c>
      <c r="F113" s="1">
        <f ca="1"/>
        <v>317.70769445112103</v>
      </c>
    </row>
    <row r="114" spans="1:6" x14ac:dyDescent="0.3">
      <c r="A114" s="1" cm="1">
        <f t="array" aca="1" ref="A114" ca="1">IF(ISBLANK(INDIRECT(CONCATENATE("Input!",RSE_Setup!$B$16,ROW()+1))),"",INDIRECT(CONCATENATE("Input!",RSE_Setup!$B$16,ROW()+1)))</f>
        <v>2.9999999999999997E-4</v>
      </c>
      <c r="B114" s="1" cm="1">
        <f t="array" aca="1" ref="B114" ca="1">IF(ISBLANK(INDIRECT(CONCATENATE("Input!",RSE_Setup!$B$17,ROW()+1))),"",INDIRECT(CONCATENATE("Input!",RSE_Setup!$B$17,ROW()+1)))</f>
        <v>3.0000000000000001E-3</v>
      </c>
      <c r="C114" s="1" cm="1">
        <f t="array" aca="1" ref="C114" ca="1">IF(ISBLANK(INDIRECT(CONCATENATE("Input!",RSE_Setup!$B$18,ROW()+1))),"",INDIRECT(CONCATENATE("Input!",RSE_Setup!$B$18,ROW()+1)))</f>
        <v>5.5556000000000001E-2</v>
      </c>
      <c r="D114" s="1" cm="1">
        <f t="array" aca="1" ref="D114" ca="1">IF(ISBLANK(INDIRECT(CONCATENATE("Input!",RSE_Setup!$B$19,ROW()+1))),"",INDIRECT(CONCATENATE("Input!",RSE_Setup!$B$19,ROW()+1)))</f>
        <v>7500</v>
      </c>
      <c r="E114" s="1" cm="1">
        <f t="array" aca="1" ref="E114" ca="1">IF(ISBLANK(INDIRECT(CONCATENATE("Input!",RSE_Setup!$B$25,ROW()+1))),"",INDIRECT(CONCATENATE("Input!",RSE_Setup!$B$25,ROW()+1)))</f>
        <v>425.79231800000002</v>
      </c>
      <c r="F114" s="1">
        <f ca="1"/>
        <v>427.79290181758375</v>
      </c>
    </row>
    <row r="115" spans="1:6" x14ac:dyDescent="0.3">
      <c r="A115" s="1" cm="1">
        <f t="array" aca="1" ref="A115" ca="1">IF(ISBLANK(INDIRECT(CONCATENATE("Input!",RSE_Setup!$B$16,ROW()+1))),"",INDIRECT(CONCATENATE("Input!",RSE_Setup!$B$16,ROW()+1)))</f>
        <v>2.9999999999999997E-4</v>
      </c>
      <c r="B115" s="1" cm="1">
        <f t="array" aca="1" ref="B115" ca="1">IF(ISBLANK(INDIRECT(CONCATENATE("Input!",RSE_Setup!$B$17,ROW()+1))),"",INDIRECT(CONCATENATE("Input!",RSE_Setup!$B$17,ROW()+1)))</f>
        <v>3.0000000000000001E-3</v>
      </c>
      <c r="C115" s="1" cm="1">
        <f t="array" aca="1" ref="C115" ca="1">IF(ISBLANK(INDIRECT(CONCATENATE("Input!",RSE_Setup!$B$18,ROW()+1))),"",INDIRECT(CONCATENATE("Input!",RSE_Setup!$B$18,ROW()+1)))</f>
        <v>5.5556000000000001E-2</v>
      </c>
      <c r="D115" s="1" cm="1">
        <f t="array" aca="1" ref="D115" ca="1">IF(ISBLANK(INDIRECT(CONCATENATE("Input!",RSE_Setup!$B$19,ROW()+1))),"",INDIRECT(CONCATENATE("Input!",RSE_Setup!$B$19,ROW()+1)))</f>
        <v>9500</v>
      </c>
      <c r="E115" s="1" cm="1">
        <f t="array" aca="1" ref="E115" ca="1">IF(ISBLANK(INDIRECT(CONCATENATE("Input!",RSE_Setup!$B$25,ROW()+1))),"",INDIRECT(CONCATENATE("Input!",RSE_Setup!$B$25,ROW()+1)))</f>
        <v>537.33620199999996</v>
      </c>
      <c r="F115" s="1">
        <f ca="1"/>
        <v>537.07880704135096</v>
      </c>
    </row>
    <row r="116" spans="1:6" x14ac:dyDescent="0.3">
      <c r="A116" s="1" cm="1">
        <f t="array" aca="1" ref="A116" ca="1">IF(ISBLANK(INDIRECT(CONCATENATE("Input!",RSE_Setup!$B$16,ROW()+1))),"",INDIRECT(CONCATENATE("Input!",RSE_Setup!$B$16,ROW()+1)))</f>
        <v>2.9999999999999997E-4</v>
      </c>
      <c r="B116" s="1" cm="1">
        <f t="array" aca="1" ref="B116" ca="1">IF(ISBLANK(INDIRECT(CONCATENATE("Input!",RSE_Setup!$B$17,ROW()+1))),"",INDIRECT(CONCATENATE("Input!",RSE_Setup!$B$17,ROW()+1)))</f>
        <v>3.0000000000000001E-3</v>
      </c>
      <c r="C116" s="1" cm="1">
        <f t="array" aca="1" ref="C116" ca="1">IF(ISBLANK(INDIRECT(CONCATENATE("Input!",RSE_Setup!$B$18,ROW()+1))),"",INDIRECT(CONCATENATE("Input!",RSE_Setup!$B$18,ROW()+1)))</f>
        <v>3.2258000000000002E-2</v>
      </c>
      <c r="D116" s="1" cm="1">
        <f t="array" aca="1" ref="D116" ca="1">IF(ISBLANK(INDIRECT(CONCATENATE("Input!",RSE_Setup!$B$19,ROW()+1))),"",INDIRECT(CONCATENATE("Input!",RSE_Setup!$B$19,ROW()+1)))</f>
        <v>9500</v>
      </c>
      <c r="E116" s="1" cm="1">
        <f t="array" aca="1" ref="E116" ca="1">IF(ISBLANK(INDIRECT(CONCATENATE("Input!",RSE_Setup!$B$25,ROW()+1))),"",INDIRECT(CONCATENATE("Input!",RSE_Setup!$B$25,ROW()+1)))</f>
        <v>495.97380199999998</v>
      </c>
      <c r="F116" s="1">
        <f ca="1"/>
        <v>489.46885257794668</v>
      </c>
    </row>
    <row r="117" spans="1:6" x14ac:dyDescent="0.3">
      <c r="A117" s="1" cm="1">
        <f t="array" aca="1" ref="A117" ca="1">IF(ISBLANK(INDIRECT(CONCATENATE("Input!",RSE_Setup!$B$16,ROW()+1))),"",INDIRECT(CONCATENATE("Input!",RSE_Setup!$B$16,ROW()+1)))</f>
        <v>2.9999999999999997E-4</v>
      </c>
      <c r="B117" s="1" cm="1">
        <f t="array" aca="1" ref="B117" ca="1">IF(ISBLANK(INDIRECT(CONCATENATE("Input!",RSE_Setup!$B$17,ROW()+1))),"",INDIRECT(CONCATENATE("Input!",RSE_Setup!$B$17,ROW()+1)))</f>
        <v>4.0000000000000001E-3</v>
      </c>
      <c r="C117" s="1" cm="1">
        <f t="array" aca="1" ref="C117" ca="1">IF(ISBLANK(INDIRECT(CONCATENATE("Input!",RSE_Setup!$B$18,ROW()+1))),"",INDIRECT(CONCATENATE("Input!",RSE_Setup!$B$18,ROW()+1)))</f>
        <v>5.5556000000000001E-2</v>
      </c>
      <c r="D117" s="1" cm="1">
        <f t="array" aca="1" ref="D117" ca="1">IF(ISBLANK(INDIRECT(CONCATENATE("Input!",RSE_Setup!$B$19,ROW()+1))),"",INDIRECT(CONCATENATE("Input!",RSE_Setup!$B$19,ROW()+1)))</f>
        <v>5500</v>
      </c>
      <c r="E117" s="1" cm="1">
        <f t="array" aca="1" ref="E117" ca="1">IF(ISBLANK(INDIRECT(CONCATENATE("Input!",RSE_Setup!$B$25,ROW()+1))),"",INDIRECT(CONCATENATE("Input!",RSE_Setup!$B$25,ROW()+1)))</f>
        <v>340.80422099999998</v>
      </c>
      <c r="F117" s="1">
        <f ca="1"/>
        <v>335.87224143971889</v>
      </c>
    </row>
    <row r="118" spans="1:6" x14ac:dyDescent="0.3">
      <c r="A118" s="1" cm="1">
        <f t="array" aca="1" ref="A118" ca="1">IF(ISBLANK(INDIRECT(CONCATENATE("Input!",RSE_Setup!$B$16,ROW()+1))),"",INDIRECT(CONCATENATE("Input!",RSE_Setup!$B$16,ROW()+1)))</f>
        <v>2.9999999999999997E-4</v>
      </c>
      <c r="B118" s="1" cm="1">
        <f t="array" aca="1" ref="B118" ca="1">IF(ISBLANK(INDIRECT(CONCATENATE("Input!",RSE_Setup!$B$17,ROW()+1))),"",INDIRECT(CONCATENATE("Input!",RSE_Setup!$B$17,ROW()+1)))</f>
        <v>4.0000000000000001E-3</v>
      </c>
      <c r="C118" s="1" cm="1">
        <f t="array" aca="1" ref="C118" ca="1">IF(ISBLANK(INDIRECT(CONCATENATE("Input!",RSE_Setup!$B$18,ROW()+1))),"",INDIRECT(CONCATENATE("Input!",RSE_Setup!$B$18,ROW()+1)))</f>
        <v>5.5556000000000001E-2</v>
      </c>
      <c r="D118" s="1" cm="1">
        <f t="array" aca="1" ref="D118" ca="1">IF(ISBLANK(INDIRECT(CONCATENATE("Input!",RSE_Setup!$B$19,ROW()+1))),"",INDIRECT(CONCATENATE("Input!",RSE_Setup!$B$19,ROW()+1)))</f>
        <v>7500</v>
      </c>
      <c r="E118" s="1" cm="1">
        <f t="array" aca="1" ref="E118" ca="1">IF(ISBLANK(INDIRECT(CONCATENATE("Input!",RSE_Setup!$B$25,ROW()+1))),"",INDIRECT(CONCATENATE("Input!",RSE_Setup!$B$25,ROW()+1)))</f>
        <v>452.85969599999999</v>
      </c>
      <c r="F118" s="1">
        <f ca="1"/>
        <v>452.76801425576872</v>
      </c>
    </row>
    <row r="119" spans="1:6" x14ac:dyDescent="0.3">
      <c r="A119" s="1" cm="1">
        <f t="array" aca="1" ref="A119" ca="1">IF(ISBLANK(INDIRECT(CONCATENATE("Input!",RSE_Setup!$B$16,ROW()+1))),"",INDIRECT(CONCATENATE("Input!",RSE_Setup!$B$16,ROW()+1)))</f>
        <v>2.9999999999999997E-4</v>
      </c>
      <c r="B119" s="1" cm="1">
        <f t="array" aca="1" ref="B119" ca="1">IF(ISBLANK(INDIRECT(CONCATENATE("Input!",RSE_Setup!$B$17,ROW()+1))),"",INDIRECT(CONCATENATE("Input!",RSE_Setup!$B$17,ROW()+1)))</f>
        <v>4.0000000000000001E-3</v>
      </c>
      <c r="C119" s="1" cm="1">
        <f t="array" aca="1" ref="C119" ca="1">IF(ISBLANK(INDIRECT(CONCATENATE("Input!",RSE_Setup!$B$18,ROW()+1))),"",INDIRECT(CONCATENATE("Input!",RSE_Setup!$B$18,ROW()+1)))</f>
        <v>5.5556000000000001E-2</v>
      </c>
      <c r="D119" s="1" cm="1">
        <f t="array" aca="1" ref="D119" ca="1">IF(ISBLANK(INDIRECT(CONCATENATE("Input!",RSE_Setup!$B$19,ROW()+1))),"",INDIRECT(CONCATENATE("Input!",RSE_Setup!$B$19,ROW()+1)))</f>
        <v>9500</v>
      </c>
      <c r="E119" s="1" cm="1">
        <f t="array" aca="1" ref="E119" ca="1">IF(ISBLANK(INDIRECT(CONCATENATE("Input!",RSE_Setup!$B$25,ROW()+1))),"",INDIRECT(CONCATENATE("Input!",RSE_Setup!$B$25,ROW()+1)))</f>
        <v>568.756799</v>
      </c>
      <c r="F119" s="1">
        <f ca="1"/>
        <v>568.86448492912302</v>
      </c>
    </row>
    <row r="120" spans="1:6" x14ac:dyDescent="0.3">
      <c r="A120" s="1" cm="1">
        <f t="array" aca="1" ref="A120" ca="1">IF(ISBLANK(INDIRECT(CONCATENATE("Input!",RSE_Setup!$B$16,ROW()+1))),"",INDIRECT(CONCATENATE("Input!",RSE_Setup!$B$16,ROW()+1)))</f>
        <v>2.9999999999999997E-4</v>
      </c>
      <c r="B120" s="1" cm="1">
        <f t="array" aca="1" ref="B120" ca="1">IF(ISBLANK(INDIRECT(CONCATENATE("Input!",RSE_Setup!$B$17,ROW()+1))),"",INDIRECT(CONCATENATE("Input!",RSE_Setup!$B$17,ROW()+1)))</f>
        <v>4.0000000000000001E-3</v>
      </c>
      <c r="C120" s="1" cm="1">
        <f t="array" aca="1" ref="C120" ca="1">IF(ISBLANK(INDIRECT(CONCATENATE("Input!",RSE_Setup!$B$18,ROW()+1))),"",INDIRECT(CONCATENATE("Input!",RSE_Setup!$B$18,ROW()+1)))</f>
        <v>3.2258000000000002E-2</v>
      </c>
      <c r="D120" s="1" cm="1">
        <f t="array" aca="1" ref="D120" ca="1">IF(ISBLANK(INDIRECT(CONCATENATE("Input!",RSE_Setup!$B$19,ROW()+1))),"",INDIRECT(CONCATENATE("Input!",RSE_Setup!$B$19,ROW()+1)))</f>
        <v>9500</v>
      </c>
      <c r="E120" s="1" cm="1">
        <f t="array" aca="1" ref="E120" ca="1">IF(ISBLANK(INDIRECT(CONCATENATE("Input!",RSE_Setup!$B$25,ROW()+1))),"",INDIRECT(CONCATENATE("Input!",RSE_Setup!$B$25,ROW()+1)))</f>
        <v>527.89513099999999</v>
      </c>
      <c r="F120" s="1">
        <f ca="1"/>
        <v>521.75124879038333</v>
      </c>
    </row>
    <row r="121" spans="1:6" x14ac:dyDescent="0.3">
      <c r="A121" s="1" cm="1">
        <f t="array" aca="1" ref="A121" ca="1">IF(ISBLANK(INDIRECT(CONCATENATE("Input!",RSE_Setup!$B$16,ROW()+1))),"",INDIRECT(CONCATENATE("Input!",RSE_Setup!$B$16,ROW()+1)))</f>
        <v>5.0000000000000001E-4</v>
      </c>
      <c r="B121" s="1" cm="1">
        <f t="array" aca="1" ref="B121" ca="1">IF(ISBLANK(INDIRECT(CONCATENATE("Input!",RSE_Setup!$B$17,ROW()+1))),"",INDIRECT(CONCATENATE("Input!",RSE_Setup!$B$17,ROW()+1)))</f>
        <v>3.0000000000000001E-3</v>
      </c>
      <c r="C121" s="1" cm="1">
        <f t="array" aca="1" ref="C121" ca="1">IF(ISBLANK(INDIRECT(CONCATENATE("Input!",RSE_Setup!$B$18,ROW()+1))),"",INDIRECT(CONCATENATE("Input!",RSE_Setup!$B$18,ROW()+1)))</f>
        <v>0.13333300000000001</v>
      </c>
      <c r="D121" s="1" cm="1">
        <f t="array" aca="1" ref="D121" ca="1">IF(ISBLANK(INDIRECT(CONCATENATE("Input!",RSE_Setup!$B$19,ROW()+1))),"",INDIRECT(CONCATENATE("Input!",RSE_Setup!$B$19,ROW()+1)))</f>
        <v>4000</v>
      </c>
      <c r="E121" s="1" cm="1">
        <f t="array" aca="1" ref="E121" ca="1">IF(ISBLANK(INDIRECT(CONCATENATE("Input!",RSE_Setup!$B$25,ROW()+1))),"",INDIRECT(CONCATENATE("Input!",RSE_Setup!$B$25,ROW()+1)))</f>
        <v>332.26610399999998</v>
      </c>
      <c r="F121" s="1">
        <f ca="1"/>
        <v>334.39804853917849</v>
      </c>
    </row>
    <row r="122" spans="1:6" x14ac:dyDescent="0.3">
      <c r="A122" s="1" cm="1">
        <f t="array" aca="1" ref="A122" ca="1">IF(ISBLANK(INDIRECT(CONCATENATE("Input!",RSE_Setup!$B$16,ROW()+1))),"",INDIRECT(CONCATENATE("Input!",RSE_Setup!$B$16,ROW()+1)))</f>
        <v>5.0000000000000001E-4</v>
      </c>
      <c r="B122" s="1" cm="1">
        <f t="array" aca="1" ref="B122" ca="1">IF(ISBLANK(INDIRECT(CONCATENATE("Input!",RSE_Setup!$B$17,ROW()+1))),"",INDIRECT(CONCATENATE("Input!",RSE_Setup!$B$17,ROW()+1)))</f>
        <v>3.0000000000000001E-3</v>
      </c>
      <c r="C122" s="1" cm="1">
        <f t="array" aca="1" ref="C122" ca="1">IF(ISBLANK(INDIRECT(CONCATENATE("Input!",RSE_Setup!$B$18,ROW()+1))),"",INDIRECT(CONCATENATE("Input!",RSE_Setup!$B$18,ROW()+1)))</f>
        <v>0.111111</v>
      </c>
      <c r="D122" s="1" cm="1">
        <f t="array" aca="1" ref="D122" ca="1">IF(ISBLANK(INDIRECT(CONCATENATE("Input!",RSE_Setup!$B$19,ROW()+1))),"",INDIRECT(CONCATENATE("Input!",RSE_Setup!$B$19,ROW()+1)))</f>
        <v>3750</v>
      </c>
      <c r="E122" s="1" cm="1">
        <f t="array" aca="1" ref="E122" ca="1">IF(ISBLANK(INDIRECT(CONCATENATE("Input!",RSE_Setup!$B$25,ROW()+1))),"",INDIRECT(CONCATENATE("Input!",RSE_Setup!$B$25,ROW()+1)))</f>
        <v>285.40189400000003</v>
      </c>
      <c r="F122" s="1">
        <f ca="1"/>
        <v>289.46129355515279</v>
      </c>
    </row>
    <row r="123" spans="1:6" x14ac:dyDescent="0.3">
      <c r="A123" s="1" cm="1">
        <f t="array" aca="1" ref="A123" ca="1">IF(ISBLANK(INDIRECT(CONCATENATE("Input!",RSE_Setup!$B$16,ROW()+1))),"",INDIRECT(CONCATENATE("Input!",RSE_Setup!$B$16,ROW()+1)))</f>
        <v>5.0000000000000001E-4</v>
      </c>
      <c r="B123" s="1" cm="1">
        <f t="array" aca="1" ref="B123" ca="1">IF(ISBLANK(INDIRECT(CONCATENATE("Input!",RSE_Setup!$B$17,ROW()+1))),"",INDIRECT(CONCATENATE("Input!",RSE_Setup!$B$17,ROW()+1)))</f>
        <v>3.0000000000000001E-3</v>
      </c>
      <c r="C123" s="1" cm="1">
        <f t="array" aca="1" ref="C123" ca="1">IF(ISBLANK(INDIRECT(CONCATENATE("Input!",RSE_Setup!$B$18,ROW()+1))),"",INDIRECT(CONCATENATE("Input!",RSE_Setup!$B$18,ROW()+1)))</f>
        <v>0.111111</v>
      </c>
      <c r="D123" s="1" cm="1">
        <f t="array" aca="1" ref="D123" ca="1">IF(ISBLANK(INDIRECT(CONCATENATE("Input!",RSE_Setup!$B$19,ROW()+1))),"",INDIRECT(CONCATENATE("Input!",RSE_Setup!$B$19,ROW()+1)))</f>
        <v>4750</v>
      </c>
      <c r="E123" s="1" cm="1">
        <f t="array" aca="1" ref="E123" ca="1">IF(ISBLANK(INDIRECT(CONCATENATE("Input!",RSE_Setup!$B$25,ROW()+1))),"",INDIRECT(CONCATENATE("Input!",RSE_Setup!$B$25,ROW()+1)))</f>
        <v>362.88122800000002</v>
      </c>
      <c r="F123" s="1">
        <f ca="1"/>
        <v>358.82832783092368</v>
      </c>
    </row>
    <row r="124" spans="1:6" x14ac:dyDescent="0.3">
      <c r="A124" s="1" cm="1">
        <f t="array" aca="1" ref="A124" ca="1">IF(ISBLANK(INDIRECT(CONCATENATE("Input!",RSE_Setup!$B$16,ROW()+1))),"",INDIRECT(CONCATENATE("Input!",RSE_Setup!$B$16,ROW()+1)))</f>
        <v>5.0000000000000001E-4</v>
      </c>
      <c r="B124" s="1" cm="1">
        <f t="array" aca="1" ref="B124" ca="1">IF(ISBLANK(INDIRECT(CONCATENATE("Input!",RSE_Setup!$B$17,ROW()+1))),"",INDIRECT(CONCATENATE("Input!",RSE_Setup!$B$17,ROW()+1)))</f>
        <v>3.0000000000000001E-3</v>
      </c>
      <c r="C124" s="1" cm="1">
        <f t="array" aca="1" ref="C124" ca="1">IF(ISBLANK(INDIRECT(CONCATENATE("Input!",RSE_Setup!$B$18,ROW()+1))),"",INDIRECT(CONCATENATE("Input!",RSE_Setup!$B$18,ROW()+1)))</f>
        <v>5.5556000000000001E-2</v>
      </c>
      <c r="D124" s="1" cm="1">
        <f t="array" aca="1" ref="D124" ca="1">IF(ISBLANK(INDIRECT(CONCATENATE("Input!",RSE_Setup!$B$19,ROW()+1))),"",INDIRECT(CONCATENATE("Input!",RSE_Setup!$B$19,ROW()+1)))</f>
        <v>5500</v>
      </c>
      <c r="E124" s="1" cm="1">
        <f t="array" aca="1" ref="E124" ca="1">IF(ISBLANK(INDIRECT(CONCATENATE("Input!",RSE_Setup!$B$25,ROW()+1))),"",INDIRECT(CONCATENATE("Input!",RSE_Setup!$B$25,ROW()+1)))</f>
        <v>337.45102500000002</v>
      </c>
      <c r="F124" s="1">
        <f ca="1"/>
        <v>333.36682791439137</v>
      </c>
    </row>
    <row r="125" spans="1:6" x14ac:dyDescent="0.3">
      <c r="A125" s="1" cm="1">
        <f t="array" aca="1" ref="A125" ca="1">IF(ISBLANK(INDIRECT(CONCATENATE("Input!",RSE_Setup!$B$16,ROW()+1))),"",INDIRECT(CONCATENATE("Input!",RSE_Setup!$B$16,ROW()+1)))</f>
        <v>5.0000000000000001E-4</v>
      </c>
      <c r="B125" s="1" cm="1">
        <f t="array" aca="1" ref="B125" ca="1">IF(ISBLANK(INDIRECT(CONCATENATE("Input!",RSE_Setup!$B$17,ROW()+1))),"",INDIRECT(CONCATENATE("Input!",RSE_Setup!$B$17,ROW()+1)))</f>
        <v>3.0000000000000001E-3</v>
      </c>
      <c r="C125" s="1" cm="1">
        <f t="array" aca="1" ref="C125" ca="1">IF(ISBLANK(INDIRECT(CONCATENATE("Input!",RSE_Setup!$B$18,ROW()+1))),"",INDIRECT(CONCATENATE("Input!",RSE_Setup!$B$18,ROW()+1)))</f>
        <v>5.5556000000000001E-2</v>
      </c>
      <c r="D125" s="1" cm="1">
        <f t="array" aca="1" ref="D125" ca="1">IF(ISBLANK(INDIRECT(CONCATENATE("Input!",RSE_Setup!$B$19,ROW()+1))),"",INDIRECT(CONCATENATE("Input!",RSE_Setup!$B$19,ROW()+1)))</f>
        <v>7500</v>
      </c>
      <c r="E125" s="1" cm="1">
        <f t="array" aca="1" ref="E125" ca="1">IF(ISBLANK(INDIRECT(CONCATENATE("Input!",RSE_Setup!$B$25,ROW()+1))),"",INDIRECT(CONCATENATE("Input!",RSE_Setup!$B$25,ROW()+1)))</f>
        <v>446.85220500000003</v>
      </c>
      <c r="F125" s="1">
        <f ca="1"/>
        <v>449.12837134338105</v>
      </c>
    </row>
    <row r="126" spans="1:6" x14ac:dyDescent="0.3">
      <c r="A126" s="1" cm="1">
        <f t="array" aca="1" ref="A126" ca="1">IF(ISBLANK(INDIRECT(CONCATENATE("Input!",RSE_Setup!$B$16,ROW()+1))),"",INDIRECT(CONCATENATE("Input!",RSE_Setup!$B$16,ROW()+1)))</f>
        <v>5.0000000000000001E-4</v>
      </c>
      <c r="B126" s="1" cm="1">
        <f t="array" aca="1" ref="B126" ca="1">IF(ISBLANK(INDIRECT(CONCATENATE("Input!",RSE_Setup!$B$17,ROW()+1))),"",INDIRECT(CONCATENATE("Input!",RSE_Setup!$B$17,ROW()+1)))</f>
        <v>3.0000000000000001E-3</v>
      </c>
      <c r="C126" s="1" cm="1">
        <f t="array" aca="1" ref="C126" ca="1">IF(ISBLANK(INDIRECT(CONCATENATE("Input!",RSE_Setup!$B$18,ROW()+1))),"",INDIRECT(CONCATENATE("Input!",RSE_Setup!$B$18,ROW()+1)))</f>
        <v>5.5556000000000001E-2</v>
      </c>
      <c r="D126" s="1" cm="1">
        <f t="array" aca="1" ref="D126" ca="1">IF(ISBLANK(INDIRECT(CONCATENATE("Input!",RSE_Setup!$B$19,ROW()+1))),"",INDIRECT(CONCATENATE("Input!",RSE_Setup!$B$19,ROW()+1)))</f>
        <v>9500</v>
      </c>
      <c r="E126" s="1" cm="1">
        <f t="array" aca="1" ref="E126" ca="1">IF(ISBLANK(INDIRECT(CONCATENATE("Input!",RSE_Setup!$B$25,ROW()+1))),"",INDIRECT(CONCATENATE("Input!",RSE_Setup!$B$25,ROW()+1)))</f>
        <v>563.36379199999999</v>
      </c>
      <c r="F126" s="1">
        <f ca="1"/>
        <v>564.09061262967521</v>
      </c>
    </row>
    <row r="127" spans="1:6" x14ac:dyDescent="0.3">
      <c r="A127" s="1" cm="1">
        <f t="array" aca="1" ref="A127" ca="1">IF(ISBLANK(INDIRECT(CONCATENATE("Input!",RSE_Setup!$B$16,ROW()+1))),"",INDIRECT(CONCATENATE("Input!",RSE_Setup!$B$16,ROW()+1)))</f>
        <v>5.0000000000000001E-4</v>
      </c>
      <c r="B127" s="1" cm="1">
        <f t="array" aca="1" ref="B127" ca="1">IF(ISBLANK(INDIRECT(CONCATENATE("Input!",RSE_Setup!$B$17,ROW()+1))),"",INDIRECT(CONCATENATE("Input!",RSE_Setup!$B$17,ROW()+1)))</f>
        <v>3.0000000000000001E-3</v>
      </c>
      <c r="C127" s="1" cm="1">
        <f t="array" aca="1" ref="C127" ca="1">IF(ISBLANK(INDIRECT(CONCATENATE("Input!",RSE_Setup!$B$18,ROW()+1))),"",INDIRECT(CONCATENATE("Input!",RSE_Setup!$B$18,ROW()+1)))</f>
        <v>3.2258000000000002E-2</v>
      </c>
      <c r="D127" s="1" cm="1">
        <f t="array" aca="1" ref="D127" ca="1">IF(ISBLANK(INDIRECT(CONCATENATE("Input!",RSE_Setup!$B$19,ROW()+1))),"",INDIRECT(CONCATENATE("Input!",RSE_Setup!$B$19,ROW()+1)))</f>
        <v>9500</v>
      </c>
      <c r="E127" s="1" cm="1">
        <f t="array" aca="1" ref="E127" ca="1">IF(ISBLANK(INDIRECT(CONCATENATE("Input!",RSE_Setup!$B$25,ROW()+1))),"",INDIRECT(CONCATENATE("Input!",RSE_Setup!$B$25,ROW()+1)))</f>
        <v>522.60230100000001</v>
      </c>
      <c r="F127" s="1">
        <f ca="1"/>
        <v>516.59731195052098</v>
      </c>
    </row>
    <row r="128" spans="1:6" x14ac:dyDescent="0.3">
      <c r="A128" s="1" cm="1">
        <f t="array" aca="1" ref="A128" ca="1">IF(ISBLANK(INDIRECT(CONCATENATE("Input!",RSE_Setup!$B$16,ROW()+1))),"",INDIRECT(CONCATENATE("Input!",RSE_Setup!$B$16,ROW()+1)))</f>
        <v>5.0000000000000001E-4</v>
      </c>
      <c r="B128" s="1" cm="1">
        <f t="array" aca="1" ref="B128" ca="1">IF(ISBLANK(INDIRECT(CONCATENATE("Input!",RSE_Setup!$B$17,ROW()+1))),"",INDIRECT(CONCATENATE("Input!",RSE_Setup!$B$17,ROW()+1)))</f>
        <v>4.7499999999999999E-3</v>
      </c>
      <c r="C128" s="1" cm="1">
        <f t="array" aca="1" ref="C128" ca="1">IF(ISBLANK(INDIRECT(CONCATENATE("Input!",RSE_Setup!$B$18,ROW()+1))),"",INDIRECT(CONCATENATE("Input!",RSE_Setup!$B$18,ROW()+1)))</f>
        <v>0.13333300000000001</v>
      </c>
      <c r="D128" s="1" cm="1">
        <f t="array" aca="1" ref="D128" ca="1">IF(ISBLANK(INDIRECT(CONCATENATE("Input!",RSE_Setup!$B$19,ROW()+1))),"",INDIRECT(CONCATENATE("Input!",RSE_Setup!$B$19,ROW()+1)))</f>
        <v>4000</v>
      </c>
      <c r="E128" s="1" cm="1">
        <f t="array" aca="1" ref="E128" ca="1">IF(ISBLANK(INDIRECT(CONCATENATE("Input!",RSE_Setup!$B$25,ROW()+1))),"",INDIRECT(CONCATENATE("Input!",RSE_Setup!$B$25,ROW()+1)))</f>
        <v>354.85306400000002</v>
      </c>
      <c r="F128" s="1">
        <f ca="1"/>
        <v>355.04881563402779</v>
      </c>
    </row>
    <row r="129" spans="1:6" x14ac:dyDescent="0.3">
      <c r="A129" s="1" cm="1">
        <f t="array" aca="1" ref="A129" ca="1">IF(ISBLANK(INDIRECT(CONCATENATE("Input!",RSE_Setup!$B$16,ROW()+1))),"",INDIRECT(CONCATENATE("Input!",RSE_Setup!$B$16,ROW()+1)))</f>
        <v>5.0000000000000001E-4</v>
      </c>
      <c r="B129" s="1" cm="1">
        <f t="array" aca="1" ref="B129" ca="1">IF(ISBLANK(INDIRECT(CONCATENATE("Input!",RSE_Setup!$B$17,ROW()+1))),"",INDIRECT(CONCATENATE("Input!",RSE_Setup!$B$17,ROW()+1)))</f>
        <v>4.7499999999999999E-3</v>
      </c>
      <c r="C129" s="1" cm="1">
        <f t="array" aca="1" ref="C129" ca="1">IF(ISBLANK(INDIRECT(CONCATENATE("Input!",RSE_Setup!$B$18,ROW()+1))),"",INDIRECT(CONCATENATE("Input!",RSE_Setup!$B$18,ROW()+1)))</f>
        <v>0.111111</v>
      </c>
      <c r="D129" s="1" cm="1">
        <f t="array" aca="1" ref="D129" ca="1">IF(ISBLANK(INDIRECT(CONCATENATE("Input!",RSE_Setup!$B$19,ROW()+1))),"",INDIRECT(CONCATENATE("Input!",RSE_Setup!$B$19,ROW()+1)))</f>
        <v>3750</v>
      </c>
      <c r="E129" s="1" cm="1">
        <f t="array" aca="1" ref="E129" ca="1">IF(ISBLANK(INDIRECT(CONCATENATE("Input!",RSE_Setup!$B$25,ROW()+1))),"",INDIRECT(CONCATENATE("Input!",RSE_Setup!$B$25,ROW()+1)))</f>
        <v>306.86846300000002</v>
      </c>
      <c r="F129" s="1">
        <f ca="1"/>
        <v>309.45136056481181</v>
      </c>
    </row>
    <row r="130" spans="1:6" x14ac:dyDescent="0.3">
      <c r="A130" s="1" cm="1">
        <f t="array" aca="1" ref="A130" ca="1">IF(ISBLANK(INDIRECT(CONCATENATE("Input!",RSE_Setup!$B$16,ROW()+1))),"",INDIRECT(CONCATENATE("Input!",RSE_Setup!$B$16,ROW()+1)))</f>
        <v>5.0000000000000001E-4</v>
      </c>
      <c r="B130" s="1" cm="1">
        <f t="array" aca="1" ref="B130" ca="1">IF(ISBLANK(INDIRECT(CONCATENATE("Input!",RSE_Setup!$B$17,ROW()+1))),"",INDIRECT(CONCATENATE("Input!",RSE_Setup!$B$17,ROW()+1)))</f>
        <v>4.7499999999999999E-3</v>
      </c>
      <c r="C130" s="1" cm="1">
        <f t="array" aca="1" ref="C130" ca="1">IF(ISBLANK(INDIRECT(CONCATENATE("Input!",RSE_Setup!$B$18,ROW()+1))),"",INDIRECT(CONCATENATE("Input!",RSE_Setup!$B$18,ROW()+1)))</f>
        <v>0.111111</v>
      </c>
      <c r="D130" s="1" cm="1">
        <f t="array" aca="1" ref="D130" ca="1">IF(ISBLANK(INDIRECT(CONCATENATE("Input!",RSE_Setup!$B$19,ROW()+1))),"",INDIRECT(CONCATENATE("Input!",RSE_Setup!$B$19,ROW()+1)))</f>
        <v>4750</v>
      </c>
      <c r="E130" s="1" cm="1">
        <f t="array" aca="1" ref="E130" ca="1">IF(ISBLANK(INDIRECT(CONCATENATE("Input!",RSE_Setup!$B$25,ROW()+1))),"",INDIRECT(CONCATENATE("Input!",RSE_Setup!$B$25,ROW()+1)))</f>
        <v>389.70811700000002</v>
      </c>
      <c r="F130" s="1">
        <f ca="1"/>
        <v>384.77763960897141</v>
      </c>
    </row>
    <row r="131" spans="1:6" x14ac:dyDescent="0.3">
      <c r="A131" s="1" cm="1">
        <f t="array" aca="1" ref="A131" ca="1">IF(ISBLANK(INDIRECT(CONCATENATE("Input!",RSE_Setup!$B$16,ROW()+1))),"",INDIRECT(CONCATENATE("Input!",RSE_Setup!$B$16,ROW()+1)))</f>
        <v>5.0000000000000001E-4</v>
      </c>
      <c r="B131" s="1" cm="1">
        <f t="array" aca="1" ref="B131" ca="1">IF(ISBLANK(INDIRECT(CONCATENATE("Input!",RSE_Setup!$B$17,ROW()+1))),"",INDIRECT(CONCATENATE("Input!",RSE_Setup!$B$17,ROW()+1)))</f>
        <v>4.7499999999999999E-3</v>
      </c>
      <c r="C131" s="1" cm="1">
        <f t="array" aca="1" ref="C131" ca="1">IF(ISBLANK(INDIRECT(CONCATENATE("Input!",RSE_Setup!$B$18,ROW()+1))),"",INDIRECT(CONCATENATE("Input!",RSE_Setup!$B$18,ROW()+1)))</f>
        <v>5.5556000000000001E-2</v>
      </c>
      <c r="D131" s="1" cm="1">
        <f t="array" aca="1" ref="D131" ca="1">IF(ISBLANK(INDIRECT(CONCATENATE("Input!",RSE_Setup!$B$19,ROW()+1))),"",INDIRECT(CONCATENATE("Input!",RSE_Setup!$B$19,ROW()+1)))</f>
        <v>5500</v>
      </c>
      <c r="E131" s="1" cm="1">
        <f t="array" aca="1" ref="E131" ca="1">IF(ISBLANK(INDIRECT(CONCATENATE("Input!",RSE_Setup!$B$25,ROW()+1))),"",INDIRECT(CONCATENATE("Input!",RSE_Setup!$B$25,ROW()+1)))</f>
        <v>372.56885399999999</v>
      </c>
      <c r="F131" s="1">
        <f ca="1"/>
        <v>365.85835103599794</v>
      </c>
    </row>
    <row r="132" spans="1:6" x14ac:dyDescent="0.3">
      <c r="A132" s="1" cm="1">
        <f t="array" aca="1" ref="A132" ca="1">IF(ISBLANK(INDIRECT(CONCATENATE("Input!",RSE_Setup!$B$16,ROW()+1))),"",INDIRECT(CONCATENATE("Input!",RSE_Setup!$B$16,ROW()+1)))</f>
        <v>5.0000000000000001E-4</v>
      </c>
      <c r="B132" s="1" cm="1">
        <f t="array" aca="1" ref="B132" ca="1">IF(ISBLANK(INDIRECT(CONCATENATE("Input!",RSE_Setup!$B$17,ROW()+1))),"",INDIRECT(CONCATENATE("Input!",RSE_Setup!$B$17,ROW()+1)))</f>
        <v>4.7499999999999999E-3</v>
      </c>
      <c r="C132" s="1" cm="1">
        <f t="array" aca="1" ref="C132" ca="1">IF(ISBLANK(INDIRECT(CONCATENATE("Input!",RSE_Setup!$B$18,ROW()+1))),"",INDIRECT(CONCATENATE("Input!",RSE_Setup!$B$18,ROW()+1)))</f>
        <v>5.5556000000000001E-2</v>
      </c>
      <c r="D132" s="1" cm="1">
        <f t="array" aca="1" ref="D132" ca="1">IF(ISBLANK(INDIRECT(CONCATENATE("Input!",RSE_Setup!$B$19,ROW()+1))),"",INDIRECT(CONCATENATE("Input!",RSE_Setup!$B$19,ROW()+1)))</f>
        <v>7500</v>
      </c>
      <c r="E132" s="1" cm="1">
        <f t="array" aca="1" ref="E132" ca="1">IF(ISBLANK(INDIRECT(CONCATENATE("Input!",RSE_Setup!$B$25,ROW()+1))),"",INDIRECT(CONCATENATE("Input!",RSE_Setup!$B$25,ROW()+1)))</f>
        <v>491.82351499999999</v>
      </c>
      <c r="F132" s="1">
        <f ca="1"/>
        <v>493.53838400176494</v>
      </c>
    </row>
    <row r="133" spans="1:6" x14ac:dyDescent="0.3">
      <c r="A133" s="1" cm="1">
        <f t="array" aca="1" ref="A133" ca="1">IF(ISBLANK(INDIRECT(CONCATENATE("Input!",RSE_Setup!$B$16,ROW()+1))),"",INDIRECT(CONCATENATE("Input!",RSE_Setup!$B$16,ROW()+1)))</f>
        <v>5.0000000000000001E-4</v>
      </c>
      <c r="B133" s="1" cm="1">
        <f t="array" aca="1" ref="B133" ca="1">IF(ISBLANK(INDIRECT(CONCATENATE("Input!",RSE_Setup!$B$17,ROW()+1))),"",INDIRECT(CONCATENATE("Input!",RSE_Setup!$B$17,ROW()+1)))</f>
        <v>4.7499999999999999E-3</v>
      </c>
      <c r="C133" s="1" cm="1">
        <f t="array" aca="1" ref="C133" ca="1">IF(ISBLANK(INDIRECT(CONCATENATE("Input!",RSE_Setup!$B$18,ROW()+1))),"",INDIRECT(CONCATENATE("Input!",RSE_Setup!$B$18,ROW()+1)))</f>
        <v>5.5556000000000001E-2</v>
      </c>
      <c r="D133" s="1" cm="1">
        <f t="array" aca="1" ref="D133" ca="1">IF(ISBLANK(INDIRECT(CONCATENATE("Input!",RSE_Setup!$B$19,ROW()+1))),"",INDIRECT(CONCATENATE("Input!",RSE_Setup!$B$19,ROW()+1)))</f>
        <v>9500</v>
      </c>
      <c r="E133" s="1" cm="1">
        <f t="array" aca="1" ref="E133" ca="1">IF(ISBLANK(INDIRECT(CONCATENATE("Input!",RSE_Setup!$B$25,ROW()+1))),"",INDIRECT(CONCATENATE("Input!",RSE_Setup!$B$25,ROW()+1)))</f>
        <v>618.05496500000004</v>
      </c>
      <c r="F133" s="1">
        <f ca="1"/>
        <v>620.41911482483647</v>
      </c>
    </row>
    <row r="134" spans="1:6" x14ac:dyDescent="0.3">
      <c r="A134" s="1" cm="1">
        <f t="array" aca="1" ref="A134" ca="1">IF(ISBLANK(INDIRECT(CONCATENATE("Input!",RSE_Setup!$B$16,ROW()+1))),"",INDIRECT(CONCATENATE("Input!",RSE_Setup!$B$16,ROW()+1)))</f>
        <v>5.0000000000000001E-4</v>
      </c>
      <c r="B134" s="1" cm="1">
        <f t="array" aca="1" ref="B134" ca="1">IF(ISBLANK(INDIRECT(CONCATENATE("Input!",RSE_Setup!$B$17,ROW()+1))),"",INDIRECT(CONCATENATE("Input!",RSE_Setup!$B$17,ROW()+1)))</f>
        <v>4.7499999999999999E-3</v>
      </c>
      <c r="C134" s="1" cm="1">
        <f t="array" aca="1" ref="C134" ca="1">IF(ISBLANK(INDIRECT(CONCATENATE("Input!",RSE_Setup!$B$18,ROW()+1))),"",INDIRECT(CONCATENATE("Input!",RSE_Setup!$B$18,ROW()+1)))</f>
        <v>3.2258000000000002E-2</v>
      </c>
      <c r="D134" s="1" cm="1">
        <f t="array" aca="1" ref="D134" ca="1">IF(ISBLANK(INDIRECT(CONCATENATE("Input!",RSE_Setup!$B$19,ROW()+1))),"",INDIRECT(CONCATENATE("Input!",RSE_Setup!$B$19,ROW()+1)))</f>
        <v>9500</v>
      </c>
      <c r="E134" s="1" cm="1">
        <f t="array" aca="1" ref="E134" ca="1">IF(ISBLANK(INDIRECT(CONCATENATE("Input!",RSE_Setup!$B$25,ROW()+1))),"",INDIRECT(CONCATENATE("Input!",RSE_Setup!$B$25,ROW()+1)))</f>
        <v>581.01327600000002</v>
      </c>
      <c r="F134" s="1">
        <f ca="1"/>
        <v>573.79507121384529</v>
      </c>
    </row>
    <row r="135" spans="1:6" x14ac:dyDescent="0.3">
      <c r="A135" s="1" cm="1">
        <f t="array" aca="1" ref="A135" ca="1">IF(ISBLANK(INDIRECT(CONCATENATE("Input!",RSE_Setup!$B$16,ROW()+1))),"",INDIRECT(CONCATENATE("Input!",RSE_Setup!$B$16,ROW()+1)))</f>
        <v>5.0000000000000001E-4</v>
      </c>
      <c r="B135" s="1" cm="1">
        <f t="array" aca="1" ref="B135" ca="1">IF(ISBLANK(INDIRECT(CONCATENATE("Input!",RSE_Setup!$B$17,ROW()+1))),"",INDIRECT(CONCATENATE("Input!",RSE_Setup!$B$17,ROW()+1)))</f>
        <v>6.4999999999999997E-3</v>
      </c>
      <c r="C135" s="1" cm="1">
        <f t="array" aca="1" ref="C135" ca="1">IF(ISBLANK(INDIRECT(CONCATENATE("Input!",RSE_Setup!$B$18,ROW()+1))),"",INDIRECT(CONCATENATE("Input!",RSE_Setup!$B$18,ROW()+1)))</f>
        <v>0.13333300000000001</v>
      </c>
      <c r="D135" s="1" cm="1">
        <f t="array" aca="1" ref="D135" ca="1">IF(ISBLANK(INDIRECT(CONCATENATE("Input!",RSE_Setup!$B$19,ROW()+1))),"",INDIRECT(CONCATENATE("Input!",RSE_Setup!$B$19,ROW()+1)))</f>
        <v>4000</v>
      </c>
      <c r="E135" s="1" cm="1">
        <f t="array" aca="1" ref="E135" ca="1">IF(ISBLANK(INDIRECT(CONCATENATE("Input!",RSE_Setup!$B$25,ROW()+1))),"",INDIRECT(CONCATENATE("Input!",RSE_Setup!$B$25,ROW()+1)))</f>
        <v>377.81478600000003</v>
      </c>
      <c r="F135" s="1">
        <f ca="1"/>
        <v>378.23674431323951</v>
      </c>
    </row>
    <row r="136" spans="1:6" x14ac:dyDescent="0.3">
      <c r="A136" s="1" cm="1">
        <f t="array" aca="1" ref="A136" ca="1">IF(ISBLANK(INDIRECT(CONCATENATE("Input!",RSE_Setup!$B$16,ROW()+1))),"",INDIRECT(CONCATENATE("Input!",RSE_Setup!$B$16,ROW()+1)))</f>
        <v>5.0000000000000001E-4</v>
      </c>
      <c r="B136" s="1" cm="1">
        <f t="array" aca="1" ref="B136" ca="1">IF(ISBLANK(INDIRECT(CONCATENATE("Input!",RSE_Setup!$B$17,ROW()+1))),"",INDIRECT(CONCATENATE("Input!",RSE_Setup!$B$17,ROW()+1)))</f>
        <v>6.4999999999999997E-3</v>
      </c>
      <c r="C136" s="1" cm="1">
        <f t="array" aca="1" ref="C136" ca="1">IF(ISBLANK(INDIRECT(CONCATENATE("Input!",RSE_Setup!$B$18,ROW()+1))),"",INDIRECT(CONCATENATE("Input!",RSE_Setup!$B$18,ROW()+1)))</f>
        <v>0.111111</v>
      </c>
      <c r="D136" s="1" cm="1">
        <f t="array" aca="1" ref="D136" ca="1">IF(ISBLANK(INDIRECT(CONCATENATE("Input!",RSE_Setup!$B$19,ROW()+1))),"",INDIRECT(CONCATENATE("Input!",RSE_Setup!$B$19,ROW()+1)))</f>
        <v>3750</v>
      </c>
      <c r="E136" s="1" cm="1">
        <f t="array" aca="1" ref="E136" ca="1">IF(ISBLANK(INDIRECT(CONCATENATE("Input!",RSE_Setup!$B$25,ROW()+1))),"",INDIRECT(CONCATENATE("Input!",RSE_Setup!$B$25,ROW()+1)))</f>
        <v>328.87489599999998</v>
      </c>
      <c r="F136" s="1">
        <f ca="1"/>
        <v>331.9785891588333</v>
      </c>
    </row>
    <row r="137" spans="1:6" x14ac:dyDescent="0.3">
      <c r="A137" s="1" cm="1">
        <f t="array" aca="1" ref="A137" ca="1">IF(ISBLANK(INDIRECT(CONCATENATE("Input!",RSE_Setup!$B$16,ROW()+1))),"",INDIRECT(CONCATENATE("Input!",RSE_Setup!$B$16,ROW()+1)))</f>
        <v>5.0000000000000001E-4</v>
      </c>
      <c r="B137" s="1" cm="1">
        <f t="array" aca="1" ref="B137" ca="1">IF(ISBLANK(INDIRECT(CONCATENATE("Input!",RSE_Setup!$B$17,ROW()+1))),"",INDIRECT(CONCATENATE("Input!",RSE_Setup!$B$17,ROW()+1)))</f>
        <v>6.4999999999999997E-3</v>
      </c>
      <c r="C137" s="1" cm="1">
        <f t="array" aca="1" ref="C137" ca="1">IF(ISBLANK(INDIRECT(CONCATENATE("Input!",RSE_Setup!$B$18,ROW()+1))),"",INDIRECT(CONCATENATE("Input!",RSE_Setup!$B$18,ROW()+1)))</f>
        <v>0.111111</v>
      </c>
      <c r="D137" s="1" cm="1">
        <f t="array" aca="1" ref="D137" ca="1">IF(ISBLANK(INDIRECT(CONCATENATE("Input!",RSE_Setup!$B$19,ROW()+1))),"",INDIRECT(CONCATENATE("Input!",RSE_Setup!$B$19,ROW()+1)))</f>
        <v>4750</v>
      </c>
      <c r="E137" s="1" cm="1">
        <f t="array" aca="1" ref="E137" ca="1">IF(ISBLANK(INDIRECT(CONCATENATE("Input!",RSE_Setup!$B$25,ROW()+1))),"",INDIRECT(CONCATENATE("Input!",RSE_Setup!$B$25,ROW()+1)))</f>
        <v>417.175703</v>
      </c>
      <c r="F137" s="1">
        <f ca="1"/>
        <v>413.26411297138156</v>
      </c>
    </row>
    <row r="138" spans="1:6" x14ac:dyDescent="0.3">
      <c r="A138" s="1" cm="1">
        <f t="array" aca="1" ref="A138" ca="1">IF(ISBLANK(INDIRECT(CONCATENATE("Input!",RSE_Setup!$B$16,ROW()+1))),"",INDIRECT(CONCATENATE("Input!",RSE_Setup!$B$16,ROW()+1)))</f>
        <v>5.0000000000000001E-4</v>
      </c>
      <c r="B138" s="1" cm="1">
        <f t="array" aca="1" ref="B138" ca="1">IF(ISBLANK(INDIRECT(CONCATENATE("Input!",RSE_Setup!$B$17,ROW()+1))),"",INDIRECT(CONCATENATE("Input!",RSE_Setup!$B$17,ROW()+1)))</f>
        <v>6.4999999999999997E-3</v>
      </c>
      <c r="C138" s="1" cm="1">
        <f t="array" aca="1" ref="C138" ca="1">IF(ISBLANK(INDIRECT(CONCATENATE("Input!",RSE_Setup!$B$18,ROW()+1))),"",INDIRECT(CONCATENATE("Input!",RSE_Setup!$B$18,ROW()+1)))</f>
        <v>5.5556000000000001E-2</v>
      </c>
      <c r="D138" s="1" cm="1">
        <f t="array" aca="1" ref="D138" ca="1">IF(ISBLANK(INDIRECT(CONCATENATE("Input!",RSE_Setup!$B$19,ROW()+1))),"",INDIRECT(CONCATENATE("Input!",RSE_Setup!$B$19,ROW()+1)))</f>
        <v>5500</v>
      </c>
      <c r="E138" s="1" cm="1">
        <f t="array" aca="1" ref="E138" ca="1">IF(ISBLANK(INDIRECT(CONCATENATE("Input!",RSE_Setup!$B$25,ROW()+1))),"",INDIRECT(CONCATENATE("Input!",RSE_Setup!$B$25,ROW()+1)))</f>
        <v>406.458822</v>
      </c>
      <c r="F138" s="1">
        <f ca="1"/>
        <v>400.88703574196694</v>
      </c>
    </row>
    <row r="139" spans="1:6" x14ac:dyDescent="0.3">
      <c r="A139" s="1" cm="1">
        <f t="array" aca="1" ref="A139" ca="1">IF(ISBLANK(INDIRECT(CONCATENATE("Input!",RSE_Setup!$B$16,ROW()+1))),"",INDIRECT(CONCATENATE("Input!",RSE_Setup!$B$16,ROW()+1)))</f>
        <v>7.5000000000000002E-4</v>
      </c>
      <c r="B139" s="1" cm="1">
        <f t="array" aca="1" ref="B139" ca="1">IF(ISBLANK(INDIRECT(CONCATENATE("Input!",RSE_Setup!$B$17,ROW()+1))),"",INDIRECT(CONCATENATE("Input!",RSE_Setup!$B$17,ROW()+1)))</f>
        <v>4.0000000000000001E-3</v>
      </c>
      <c r="C139" s="1" cm="1">
        <f t="array" aca="1" ref="C139" ca="1">IF(ISBLANK(INDIRECT(CONCATENATE("Input!",RSE_Setup!$B$18,ROW()+1))),"",INDIRECT(CONCATENATE("Input!",RSE_Setup!$B$18,ROW()+1)))</f>
        <v>0.13333300000000001</v>
      </c>
      <c r="D139" s="1" cm="1">
        <f t="array" aca="1" ref="D139" ca="1">IF(ISBLANK(INDIRECT(CONCATENATE("Input!",RSE_Setup!$B$19,ROW()+1))),"",INDIRECT(CONCATENATE("Input!",RSE_Setup!$B$19,ROW()+1)))</f>
        <v>4000</v>
      </c>
      <c r="E139" s="1" cm="1">
        <f t="array" aca="1" ref="E139" ca="1">IF(ISBLANK(INDIRECT(CONCATENATE("Input!",RSE_Setup!$B$25,ROW()+1))),"",INDIRECT(CONCATENATE("Input!",RSE_Setup!$B$25,ROW()+1)))</f>
        <v>359.35299199999997</v>
      </c>
      <c r="F139" s="1">
        <f ca="1"/>
        <v>360.08907772685927</v>
      </c>
    </row>
    <row r="140" spans="1:6" x14ac:dyDescent="0.3">
      <c r="A140" s="1" cm="1">
        <f t="array" aca="1" ref="A140" ca="1">IF(ISBLANK(INDIRECT(CONCATENATE("Input!",RSE_Setup!$B$16,ROW()+1))),"",INDIRECT(CONCATENATE("Input!",RSE_Setup!$B$16,ROW()+1)))</f>
        <v>7.5000000000000002E-4</v>
      </c>
      <c r="B140" s="1" cm="1">
        <f t="array" aca="1" ref="B140" ca="1">IF(ISBLANK(INDIRECT(CONCATENATE("Input!",RSE_Setup!$B$17,ROW()+1))),"",INDIRECT(CONCATENATE("Input!",RSE_Setup!$B$17,ROW()+1)))</f>
        <v>4.0000000000000001E-3</v>
      </c>
      <c r="C140" s="1" cm="1">
        <f t="array" aca="1" ref="C140" ca="1">IF(ISBLANK(INDIRECT(CONCATENATE("Input!",RSE_Setup!$B$18,ROW()+1))),"",INDIRECT(CONCATENATE("Input!",RSE_Setup!$B$18,ROW()+1)))</f>
        <v>0.111111</v>
      </c>
      <c r="D140" s="1" cm="1">
        <f t="array" aca="1" ref="D140" ca="1">IF(ISBLANK(INDIRECT(CONCATENATE("Input!",RSE_Setup!$B$19,ROW()+1))),"",INDIRECT(CONCATENATE("Input!",RSE_Setup!$B$19,ROW()+1)))</f>
        <v>3750</v>
      </c>
      <c r="E140" s="1" cm="1">
        <f t="array" aca="1" ref="E140" ca="1">IF(ISBLANK(INDIRECT(CONCATENATE("Input!",RSE_Setup!$B$25,ROW()+1))),"",INDIRECT(CONCATENATE("Input!",RSE_Setup!$B$25,ROW()+1)))</f>
        <v>311.274272</v>
      </c>
      <c r="F140" s="1">
        <f ca="1"/>
        <v>314.02693510224321</v>
      </c>
    </row>
    <row r="141" spans="1:6" x14ac:dyDescent="0.3">
      <c r="A141" s="1" cm="1">
        <f t="array" aca="1" ref="A141" ca="1">IF(ISBLANK(INDIRECT(CONCATENATE("Input!",RSE_Setup!$B$16,ROW()+1))),"",INDIRECT(CONCATENATE("Input!",RSE_Setup!$B$16,ROW()+1)))</f>
        <v>7.5000000000000002E-4</v>
      </c>
      <c r="B141" s="1" cm="1">
        <f t="array" aca="1" ref="B141" ca="1">IF(ISBLANK(INDIRECT(CONCATENATE("Input!",RSE_Setup!$B$17,ROW()+1))),"",INDIRECT(CONCATENATE("Input!",RSE_Setup!$B$17,ROW()+1)))</f>
        <v>4.0000000000000001E-3</v>
      </c>
      <c r="C141" s="1" cm="1">
        <f t="array" aca="1" ref="C141" ca="1">IF(ISBLANK(INDIRECT(CONCATENATE("Input!",RSE_Setup!$B$18,ROW()+1))),"",INDIRECT(CONCATENATE("Input!",RSE_Setup!$B$18,ROW()+1)))</f>
        <v>0.111111</v>
      </c>
      <c r="D141" s="1" cm="1">
        <f t="array" aca="1" ref="D141" ca="1">IF(ISBLANK(INDIRECT(CONCATENATE("Input!",RSE_Setup!$B$19,ROW()+1))),"",INDIRECT(CONCATENATE("Input!",RSE_Setup!$B$19,ROW()+1)))</f>
        <v>4750</v>
      </c>
      <c r="E141" s="1" cm="1">
        <f t="array" aca="1" ref="E141" ca="1">IF(ISBLANK(INDIRECT(CONCATENATE("Input!",RSE_Setup!$B$25,ROW()+1))),"",INDIRECT(CONCATENATE("Input!",RSE_Setup!$B$25,ROW()+1)))</f>
        <v>395.114465</v>
      </c>
      <c r="F141" s="1">
        <f ca="1"/>
        <v>390.34696214188693</v>
      </c>
    </row>
    <row r="142" spans="1:6" x14ac:dyDescent="0.3">
      <c r="A142" s="1" cm="1">
        <f t="array" aca="1" ref="A142" ca="1">IF(ISBLANK(INDIRECT(CONCATENATE("Input!",RSE_Setup!$B$16,ROW()+1))),"",INDIRECT(CONCATENATE("Input!",RSE_Setup!$B$16,ROW()+1)))</f>
        <v>7.5000000000000002E-4</v>
      </c>
      <c r="B142" s="1" cm="1">
        <f t="array" aca="1" ref="B142" ca="1">IF(ISBLANK(INDIRECT(CONCATENATE("Input!",RSE_Setup!$B$17,ROW()+1))),"",INDIRECT(CONCATENATE("Input!",RSE_Setup!$B$17,ROW()+1)))</f>
        <v>4.0000000000000001E-3</v>
      </c>
      <c r="C142" s="1" cm="1">
        <f t="array" aca="1" ref="C142" ca="1">IF(ISBLANK(INDIRECT(CONCATENATE("Input!",RSE_Setup!$B$18,ROW()+1))),"",INDIRECT(CONCATENATE("Input!",RSE_Setup!$B$18,ROW()+1)))</f>
        <v>5.5556000000000001E-2</v>
      </c>
      <c r="D142" s="1" cm="1">
        <f t="array" aca="1" ref="D142" ca="1">IF(ISBLANK(INDIRECT(CONCATENATE("Input!",RSE_Setup!$B$19,ROW()+1))),"",INDIRECT(CONCATENATE("Input!",RSE_Setup!$B$19,ROW()+1)))</f>
        <v>5500</v>
      </c>
      <c r="E142" s="1" cm="1">
        <f t="array" aca="1" ref="E142" ca="1">IF(ISBLANK(INDIRECT(CONCATENATE("Input!",RSE_Setup!$B$25,ROW()+1))),"",INDIRECT(CONCATENATE("Input!",RSE_Setup!$B$25,ROW()+1)))</f>
        <v>376.58281699999998</v>
      </c>
      <c r="F142" s="1">
        <f ca="1"/>
        <v>371.63235817420383</v>
      </c>
    </row>
    <row r="143" spans="1:6" x14ac:dyDescent="0.3">
      <c r="A143" s="1" cm="1">
        <f t="array" aca="1" ref="A143" ca="1">IF(ISBLANK(INDIRECT(CONCATENATE("Input!",RSE_Setup!$B$16,ROW()+1))),"",INDIRECT(CONCATENATE("Input!",RSE_Setup!$B$16,ROW()+1)))</f>
        <v>7.5000000000000002E-4</v>
      </c>
      <c r="B143" s="1" cm="1">
        <f t="array" aca="1" ref="B143" ca="1">IF(ISBLANK(INDIRECT(CONCATENATE("Input!",RSE_Setup!$B$17,ROW()+1))),"",INDIRECT(CONCATENATE("Input!",RSE_Setup!$B$17,ROW()+1)))</f>
        <v>6.0000000000000001E-3</v>
      </c>
      <c r="C143" s="1" cm="1">
        <f t="array" aca="1" ref="C143" ca="1">IF(ISBLANK(INDIRECT(CONCATENATE("Input!",RSE_Setup!$B$18,ROW()+1))),"",INDIRECT(CONCATENATE("Input!",RSE_Setup!$B$18,ROW()+1)))</f>
        <v>0.13333300000000001</v>
      </c>
      <c r="D143" s="1" cm="1">
        <f t="array" aca="1" ref="D143" ca="1">IF(ISBLANK(INDIRECT(CONCATENATE("Input!",RSE_Setup!$B$19,ROW()+1))),"",INDIRECT(CONCATENATE("Input!",RSE_Setup!$B$19,ROW()+1)))</f>
        <v>4000</v>
      </c>
      <c r="E143" s="1" cm="1">
        <f t="array" aca="1" ref="E143" ca="1">IF(ISBLANK(INDIRECT(CONCATENATE("Input!",RSE_Setup!$B$25,ROW()+1))),"",INDIRECT(CONCATENATE("Input!",RSE_Setup!$B$25,ROW()+1)))</f>
        <v>385.55840799999999</v>
      </c>
      <c r="F143" s="1">
        <f ca="1"/>
        <v>385.78240350221427</v>
      </c>
    </row>
    <row r="144" spans="1:6" x14ac:dyDescent="0.3">
      <c r="A144" s="1" cm="1">
        <f t="array" aca="1" ref="A144" ca="1">IF(ISBLANK(INDIRECT(CONCATENATE("Input!",RSE_Setup!$B$16,ROW()+1))),"",INDIRECT(CONCATENATE("Input!",RSE_Setup!$B$16,ROW()+1)))</f>
        <v>7.5000000000000002E-4</v>
      </c>
      <c r="B144" s="1" cm="1">
        <f t="array" aca="1" ref="B144" ca="1">IF(ISBLANK(INDIRECT(CONCATENATE("Input!",RSE_Setup!$B$17,ROW()+1))),"",INDIRECT(CONCATENATE("Input!",RSE_Setup!$B$17,ROW()+1)))</f>
        <v>6.0000000000000001E-3</v>
      </c>
      <c r="C144" s="1" cm="1">
        <f t="array" aca="1" ref="C144" ca="1">IF(ISBLANK(INDIRECT(CONCATENATE("Input!",RSE_Setup!$B$18,ROW()+1))),"",INDIRECT(CONCATENATE("Input!",RSE_Setup!$B$18,ROW()+1)))</f>
        <v>0.111111</v>
      </c>
      <c r="D144" s="1" cm="1">
        <f t="array" aca="1" ref="D144" ca="1">IF(ISBLANK(INDIRECT(CONCATENATE("Input!",RSE_Setup!$B$19,ROW()+1))),"",INDIRECT(CONCATENATE("Input!",RSE_Setup!$B$19,ROW()+1)))</f>
        <v>3750</v>
      </c>
      <c r="E144" s="1" cm="1">
        <f t="array" aca="1" ref="E144" ca="1">IF(ISBLANK(INDIRECT(CONCATENATE("Input!",RSE_Setup!$B$25,ROW()+1))),"",INDIRECT(CONCATENATE("Input!",RSE_Setup!$B$25,ROW()+1)))</f>
        <v>336.33798100000001</v>
      </c>
      <c r="F144" s="1">
        <f ca="1"/>
        <v>338.96517506595217</v>
      </c>
    </row>
    <row r="145" spans="1:6" x14ac:dyDescent="0.3">
      <c r="A145" s="1" cm="1">
        <f t="array" aca="1" ref="A145" ca="1">IF(ISBLANK(INDIRECT(CONCATENATE("Input!",RSE_Setup!$B$16,ROW()+1))),"",INDIRECT(CONCATENATE("Input!",RSE_Setup!$B$16,ROW()+1)))</f>
        <v>7.5000000000000002E-4</v>
      </c>
      <c r="B145" s="1" cm="1">
        <f t="array" aca="1" ref="B145" ca="1">IF(ISBLANK(INDIRECT(CONCATENATE("Input!",RSE_Setup!$B$17,ROW()+1))),"",INDIRECT(CONCATENATE("Input!",RSE_Setup!$B$17,ROW()+1)))</f>
        <v>6.0000000000000001E-3</v>
      </c>
      <c r="C145" s="1" cm="1">
        <f t="array" aca="1" ref="C145" ca="1">IF(ISBLANK(INDIRECT(CONCATENATE("Input!",RSE_Setup!$B$18,ROW()+1))),"",INDIRECT(CONCATENATE("Input!",RSE_Setup!$B$18,ROW()+1)))</f>
        <v>0.111111</v>
      </c>
      <c r="D145" s="1" cm="1">
        <f t="array" aca="1" ref="D145" ca="1">IF(ISBLANK(INDIRECT(CONCATENATE("Input!",RSE_Setup!$B$19,ROW()+1))),"",INDIRECT(CONCATENATE("Input!",RSE_Setup!$B$19,ROW()+1)))</f>
        <v>4750</v>
      </c>
      <c r="E145" s="1" cm="1">
        <f t="array" aca="1" ref="E145" ca="1">IF(ISBLANK(INDIRECT(CONCATENATE("Input!",RSE_Setup!$B$25,ROW()+1))),"",INDIRECT(CONCATENATE("Input!",RSE_Setup!$B$25,ROW()+1)))</f>
        <v>426.36528900000002</v>
      </c>
      <c r="F145" s="1">
        <f ca="1"/>
        <v>422.09576755518304</v>
      </c>
    </row>
    <row r="146" spans="1:6" x14ac:dyDescent="0.3">
      <c r="A146" s="1" cm="1">
        <f t="array" aca="1" ref="A146" ca="1">IF(ISBLANK(INDIRECT(CONCATENATE("Input!",RSE_Setup!$B$16,ROW()+1))),"",INDIRECT(CONCATENATE("Input!",RSE_Setup!$B$16,ROW()+1)))</f>
        <v>7.5000000000000002E-4</v>
      </c>
      <c r="B146" s="1" cm="1">
        <f t="array" aca="1" ref="B146" ca="1">IF(ISBLANK(INDIRECT(CONCATENATE("Input!",RSE_Setup!$B$17,ROW()+1))),"",INDIRECT(CONCATENATE("Input!",RSE_Setup!$B$17,ROW()+1)))</f>
        <v>6.0000000000000001E-3</v>
      </c>
      <c r="C146" s="1" cm="1">
        <f t="array" aca="1" ref="C146" ca="1">IF(ISBLANK(INDIRECT(CONCATENATE("Input!",RSE_Setup!$B$18,ROW()+1))),"",INDIRECT(CONCATENATE("Input!",RSE_Setup!$B$18,ROW()+1)))</f>
        <v>5.5556000000000001E-2</v>
      </c>
      <c r="D146" s="1" cm="1">
        <f t="array" aca="1" ref="D146" ca="1">IF(ISBLANK(INDIRECT(CONCATENATE("Input!",RSE_Setup!$B$19,ROW()+1))),"",INDIRECT(CONCATENATE("Input!",RSE_Setup!$B$19,ROW()+1)))</f>
        <v>5500</v>
      </c>
      <c r="E146" s="1" cm="1">
        <f t="array" aca="1" ref="E146" ca="1">IF(ISBLANK(INDIRECT(CONCATENATE("Input!",RSE_Setup!$B$25,ROW()+1))),"",INDIRECT(CONCATENATE("Input!",RSE_Setup!$B$25,ROW()+1)))</f>
        <v>416.785774</v>
      </c>
      <c r="F146" s="1">
        <f ca="1"/>
        <v>410.85797655156711</v>
      </c>
    </row>
    <row r="147" spans="1:6" x14ac:dyDescent="0.3">
      <c r="A147" s="1" cm="1">
        <f t="array" aca="1" ref="A147" ca="1">IF(ISBLANK(INDIRECT(CONCATENATE("Input!",RSE_Setup!$B$16,ROW()+1))),"",INDIRECT(CONCATENATE("Input!",RSE_Setup!$B$16,ROW()+1)))</f>
        <v>7.5000000000000002E-4</v>
      </c>
      <c r="B147" s="1" cm="1">
        <f t="array" aca="1" ref="B147" ca="1">IF(ISBLANK(INDIRECT(CONCATENATE("Input!",RSE_Setup!$B$17,ROW()+1))),"",INDIRECT(CONCATENATE("Input!",RSE_Setup!$B$17,ROW()+1)))</f>
        <v>8.0000000000000002E-3</v>
      </c>
      <c r="C147" s="1" cm="1">
        <f t="array" aca="1" ref="C147" ca="1">IF(ISBLANK(INDIRECT(CONCATENATE("Input!",RSE_Setup!$B$18,ROW()+1))),"",INDIRECT(CONCATENATE("Input!",RSE_Setup!$B$18,ROW()+1)))</f>
        <v>0.111111</v>
      </c>
      <c r="D147" s="1" cm="1">
        <f t="array" aca="1" ref="D147" ca="1">IF(ISBLANK(INDIRECT(CONCATENATE("Input!",RSE_Setup!$B$19,ROW()+1))),"",INDIRECT(CONCATENATE("Input!",RSE_Setup!$B$19,ROW()+1)))</f>
        <v>4750</v>
      </c>
      <c r="E147" s="1" cm="1">
        <f t="array" aca="1" ref="E147" ca="1">IF(ISBLANK(INDIRECT(CONCATENATE("Input!",RSE_Setup!$B$25,ROW()+1))),"",INDIRECT(CONCATENATE("Input!",RSE_Setup!$B$25,ROW()+1)))</f>
        <v>457.19116200000002</v>
      </c>
      <c r="F147" s="1">
        <f ca="1"/>
        <v>457.15841667050347</v>
      </c>
    </row>
    <row r="148" spans="1:6" x14ac:dyDescent="0.3">
      <c r="A148" s="1" cm="1">
        <f t="array" aca="1" ref="A148" ca="1">IF(ISBLANK(INDIRECT(CONCATENATE("Input!",RSE_Setup!$B$16,ROW()+1))),"",INDIRECT(CONCATENATE("Input!",RSE_Setup!$B$16,ROW()+1)))</f>
        <v>7.5000000000000002E-4</v>
      </c>
      <c r="B148" s="1" cm="1">
        <f t="array" aca="1" ref="B148" ca="1">IF(ISBLANK(INDIRECT(CONCATENATE("Input!",RSE_Setup!$B$17,ROW()+1))),"",INDIRECT(CONCATENATE("Input!",RSE_Setup!$B$17,ROW()+1)))</f>
        <v>8.0000000000000002E-3</v>
      </c>
      <c r="C148" s="1" cm="1">
        <f t="array" aca="1" ref="C148" ca="1">IF(ISBLANK(INDIRECT(CONCATENATE("Input!",RSE_Setup!$B$18,ROW()+1))),"",INDIRECT(CONCATENATE("Input!",RSE_Setup!$B$18,ROW()+1)))</f>
        <v>5.5556000000000001E-2</v>
      </c>
      <c r="D148" s="1" cm="1">
        <f t="array" aca="1" ref="D148" ca="1">IF(ISBLANK(INDIRECT(CONCATENATE("Input!",RSE_Setup!$B$19,ROW()+1))),"",INDIRECT(CONCATENATE("Input!",RSE_Setup!$B$19,ROW()+1)))</f>
        <v>5500</v>
      </c>
      <c r="E148" s="1" cm="1">
        <f t="array" aca="1" ref="E148" ca="1">IF(ISBLANK(INDIRECT(CONCATENATE("Input!",RSE_Setup!$B$25,ROW()+1))),"",INDIRECT(CONCATENATE("Input!",RSE_Setup!$B$25,ROW()+1)))</f>
        <v>456.66071199999999</v>
      </c>
      <c r="F148" s="1">
        <f ca="1"/>
        <v>453.39743863095481</v>
      </c>
    </row>
    <row r="149" spans="1:6" x14ac:dyDescent="0.3">
      <c r="A149" s="1" cm="1">
        <f t="array" aca="1" ref="A149" ca="1">IF(ISBLANK(INDIRECT(CONCATENATE("Input!",RSE_Setup!$B$16,ROW()+1))),"",INDIRECT(CONCATENATE("Input!",RSE_Setup!$B$16,ROW()+1)))</f>
        <v>1E-3</v>
      </c>
      <c r="B149" s="1" cm="1">
        <f t="array" aca="1" ref="B149" ca="1">IF(ISBLANK(INDIRECT(CONCATENATE("Input!",RSE_Setup!$B$17,ROW()+1))),"",INDIRECT(CONCATENATE("Input!",RSE_Setup!$B$17,ROW()+1)))</f>
        <v>5.0000000000000001E-3</v>
      </c>
      <c r="C149" s="1" cm="1">
        <f t="array" aca="1" ref="C149" ca="1">IF(ISBLANK(INDIRECT(CONCATENATE("Input!",RSE_Setup!$B$18,ROW()+1))),"",INDIRECT(CONCATENATE("Input!",RSE_Setup!$B$18,ROW()+1)))</f>
        <v>0.13333300000000001</v>
      </c>
      <c r="D149" s="1" cm="1">
        <f t="array" aca="1" ref="D149" ca="1">IF(ISBLANK(INDIRECT(CONCATENATE("Input!",RSE_Setup!$B$19,ROW()+1))),"",INDIRECT(CONCATENATE("Input!",RSE_Setup!$B$19,ROW()+1)))</f>
        <v>4000</v>
      </c>
      <c r="E149" s="1" cm="1">
        <f t="array" aca="1" ref="E149" ca="1">IF(ISBLANK(INDIRECT(CONCATENATE("Input!",RSE_Setup!$B$25,ROW()+1))),"",INDIRECT(CONCATENATE("Input!",RSE_Setup!$B$25,ROW()+1)))</f>
        <v>387.053158</v>
      </c>
      <c r="F149" s="1">
        <f ca="1"/>
        <v>387.19419722018705</v>
      </c>
    </row>
    <row r="150" spans="1:6" x14ac:dyDescent="0.3">
      <c r="A150" s="1" cm="1">
        <f t="array" aca="1" ref="A150" ca="1">IF(ISBLANK(INDIRECT(CONCATENATE("Input!",RSE_Setup!$B$16,ROW()+1))),"",INDIRECT(CONCATENATE("Input!",RSE_Setup!$B$16,ROW()+1)))</f>
        <v>1E-3</v>
      </c>
      <c r="B150" s="1" cm="1">
        <f t="array" aca="1" ref="B150" ca="1">IF(ISBLANK(INDIRECT(CONCATENATE("Input!",RSE_Setup!$B$17,ROW()+1))),"",INDIRECT(CONCATENATE("Input!",RSE_Setup!$B$17,ROW()+1)))</f>
        <v>5.0000000000000001E-3</v>
      </c>
      <c r="C150" s="1" cm="1">
        <f t="array" aca="1" ref="C150" ca="1">IF(ISBLANK(INDIRECT(CONCATENATE("Input!",RSE_Setup!$B$18,ROW()+1))),"",INDIRECT(CONCATENATE("Input!",RSE_Setup!$B$18,ROW()+1)))</f>
        <v>0.111111</v>
      </c>
      <c r="D150" s="1" cm="1">
        <f t="array" aca="1" ref="D150" ca="1">IF(ISBLANK(INDIRECT(CONCATENATE("Input!",RSE_Setup!$B$19,ROW()+1))),"",INDIRECT(CONCATENATE("Input!",RSE_Setup!$B$19,ROW()+1)))</f>
        <v>3750</v>
      </c>
      <c r="E150" s="1" cm="1">
        <f t="array" aca="1" ref="E150" ca="1">IF(ISBLANK(INDIRECT(CONCATENATE("Input!",RSE_Setup!$B$25,ROW()+1))),"",INDIRECT(CONCATENATE("Input!",RSE_Setup!$B$25,ROW()+1)))</f>
        <v>337.348659</v>
      </c>
      <c r="F150" s="1">
        <f ca="1"/>
        <v>340.00666695498052</v>
      </c>
    </row>
    <row r="151" spans="1:6" x14ac:dyDescent="0.3">
      <c r="A151" s="1" cm="1">
        <f t="array" aca="1" ref="A151" ca="1">IF(ISBLANK(INDIRECT(CONCATENATE("Input!",RSE_Setup!$B$16,ROW()+1))),"",INDIRECT(CONCATENATE("Input!",RSE_Setup!$B$16,ROW()+1)))</f>
        <v>1E-3</v>
      </c>
      <c r="B151" s="1" cm="1">
        <f t="array" aca="1" ref="B151" ca="1">IF(ISBLANK(INDIRECT(CONCATENATE("Input!",RSE_Setup!$B$17,ROW()+1))),"",INDIRECT(CONCATENATE("Input!",RSE_Setup!$B$17,ROW()+1)))</f>
        <v>5.0000000000000001E-3</v>
      </c>
      <c r="C151" s="1" cm="1">
        <f t="array" aca="1" ref="C151" ca="1">IF(ISBLANK(INDIRECT(CONCATENATE("Input!",RSE_Setup!$B$18,ROW()+1))),"",INDIRECT(CONCATENATE("Input!",RSE_Setup!$B$18,ROW()+1)))</f>
        <v>0.111111</v>
      </c>
      <c r="D151" s="1" cm="1">
        <f t="array" aca="1" ref="D151" ca="1">IF(ISBLANK(INDIRECT(CONCATENATE("Input!",RSE_Setup!$B$19,ROW()+1))),"",INDIRECT(CONCATENATE("Input!",RSE_Setup!$B$19,ROW()+1)))</f>
        <v>4750</v>
      </c>
      <c r="E151" s="1" cm="1">
        <f t="array" aca="1" ref="E151" ca="1">IF(ISBLANK(INDIRECT(CONCATENATE("Input!",RSE_Setup!$B$25,ROW()+1))),"",INDIRECT(CONCATENATE("Input!",RSE_Setup!$B$25,ROW()+1)))</f>
        <v>427.83891899999998</v>
      </c>
      <c r="F151" s="1">
        <f ca="1"/>
        <v>423.27968675849712</v>
      </c>
    </row>
    <row r="152" spans="1:6" x14ac:dyDescent="0.3">
      <c r="A152" s="1" cm="1">
        <f t="array" aca="1" ref="A152" ca="1">IF(ISBLANK(INDIRECT(CONCATENATE("Input!",RSE_Setup!$B$16,ROW()+1))),"",INDIRECT(CONCATENATE("Input!",RSE_Setup!$B$16,ROW()+1)))</f>
        <v>1E-3</v>
      </c>
      <c r="B152" s="1" cm="1">
        <f t="array" aca="1" ref="B152" ca="1">IF(ISBLANK(INDIRECT(CONCATENATE("Input!",RSE_Setup!$B$17,ROW()+1))),"",INDIRECT(CONCATENATE("Input!",RSE_Setup!$B$17,ROW()+1)))</f>
        <v>5.0000000000000001E-3</v>
      </c>
      <c r="C152" s="1" cm="1">
        <f t="array" aca="1" ref="C152" ca="1">IF(ISBLANK(INDIRECT(CONCATENATE("Input!",RSE_Setup!$B$18,ROW()+1))),"",INDIRECT(CONCATENATE("Input!",RSE_Setup!$B$18,ROW()+1)))</f>
        <v>5.5556000000000001E-2</v>
      </c>
      <c r="D152" s="1" cm="1">
        <f t="array" aca="1" ref="D152" ca="1">IF(ISBLANK(INDIRECT(CONCATENATE("Input!",RSE_Setup!$B$19,ROW()+1))),"",INDIRECT(CONCATENATE("Input!",RSE_Setup!$B$19,ROW()+1)))</f>
        <v>5500</v>
      </c>
      <c r="E152" s="1" cm="1">
        <f t="array" aca="1" ref="E152" ca="1">IF(ISBLANK(INDIRECT(CONCATENATE("Input!",RSE_Setup!$B$25,ROW()+1))),"",INDIRECT(CONCATENATE("Input!",RSE_Setup!$B$25,ROW()+1)))</f>
        <v>416.63242000000002</v>
      </c>
      <c r="F152" s="1">
        <f ca="1"/>
        <v>411.31197873966318</v>
      </c>
    </row>
    <row r="153" spans="1:6" x14ac:dyDescent="0.3">
      <c r="A153" s="1" cm="1">
        <f t="array" aca="1" ref="A153" ca="1">IF(ISBLANK(INDIRECT(CONCATENATE("Input!",RSE_Setup!$B$16,ROW()+1))),"",INDIRECT(CONCATENATE("Input!",RSE_Setup!$B$16,ROW()+1)))</f>
        <v>1E-3</v>
      </c>
      <c r="B153" s="1" cm="1">
        <f t="array" aca="1" ref="B153" ca="1">IF(ISBLANK(INDIRECT(CONCATENATE("Input!",RSE_Setup!$B$17,ROW()+1))),"",INDIRECT(CONCATENATE("Input!",RSE_Setup!$B$17,ROW()+1)))</f>
        <v>6.4999999999999997E-3</v>
      </c>
      <c r="C153" s="1" cm="1">
        <f t="array" aca="1" ref="C153" ca="1">IF(ISBLANK(INDIRECT(CONCATENATE("Input!",RSE_Setup!$B$18,ROW()+1))),"",INDIRECT(CONCATENATE("Input!",RSE_Setup!$B$18,ROW()+1)))</f>
        <v>0.13333300000000001</v>
      </c>
      <c r="D153" s="1" cm="1">
        <f t="array" aca="1" ref="D153" ca="1">IF(ISBLANK(INDIRECT(CONCATENATE("Input!",RSE_Setup!$B$19,ROW()+1))),"",INDIRECT(CONCATENATE("Input!",RSE_Setup!$B$19,ROW()+1)))</f>
        <v>4000</v>
      </c>
      <c r="E153" s="1" cm="1">
        <f t="array" aca="1" ref="E153" ca="1">IF(ISBLANK(INDIRECT(CONCATENATE("Input!",RSE_Setup!$B$25,ROW()+1))),"",INDIRECT(CONCATENATE("Input!",RSE_Setup!$B$25,ROW()+1)))</f>
        <v>406.88026400000001</v>
      </c>
      <c r="F153" s="1">
        <f ca="1"/>
        <v>407.56751910275148</v>
      </c>
    </row>
    <row r="154" spans="1:6" x14ac:dyDescent="0.3">
      <c r="A154" s="1" cm="1">
        <f t="array" aca="1" ref="A154" ca="1">IF(ISBLANK(INDIRECT(CONCATENATE("Input!",RSE_Setup!$B$16,ROW()+1))),"",INDIRECT(CONCATENATE("Input!",RSE_Setup!$B$16,ROW()+1)))</f>
        <v>1E-3</v>
      </c>
      <c r="B154" s="1" cm="1">
        <f t="array" aca="1" ref="B154" ca="1">IF(ISBLANK(INDIRECT(CONCATENATE("Input!",RSE_Setup!$B$17,ROW()+1))),"",INDIRECT(CONCATENATE("Input!",RSE_Setup!$B$17,ROW()+1)))</f>
        <v>6.4999999999999997E-3</v>
      </c>
      <c r="C154" s="1" cm="1">
        <f t="array" aca="1" ref="C154" ca="1">IF(ISBLANK(INDIRECT(CONCATENATE("Input!",RSE_Setup!$B$18,ROW()+1))),"",INDIRECT(CONCATENATE("Input!",RSE_Setup!$B$18,ROW()+1)))</f>
        <v>0.111111</v>
      </c>
      <c r="D154" s="1" cm="1">
        <f t="array" aca="1" ref="D154" ca="1">IF(ISBLANK(INDIRECT(CONCATENATE("Input!",RSE_Setup!$B$19,ROW()+1))),"",INDIRECT(CONCATENATE("Input!",RSE_Setup!$B$19,ROW()+1)))</f>
        <v>3750</v>
      </c>
      <c r="E154" s="1" cm="1">
        <f t="array" aca="1" ref="E154" ca="1">IF(ISBLANK(INDIRECT(CONCATENATE("Input!",RSE_Setup!$B$25,ROW()+1))),"",INDIRECT(CONCATENATE("Input!",RSE_Setup!$B$25,ROW()+1)))</f>
        <v>356.56077399999998</v>
      </c>
      <c r="F154" s="1">
        <f ca="1"/>
        <v>359.81367447881047</v>
      </c>
    </row>
    <row r="155" spans="1:6" x14ac:dyDescent="0.3">
      <c r="A155" s="1" cm="1">
        <f t="array" aca="1" ref="A155" ca="1">IF(ISBLANK(INDIRECT(CONCATENATE("Input!",RSE_Setup!$B$16,ROW()+1))),"",INDIRECT(CONCATENATE("Input!",RSE_Setup!$B$16,ROW()+1)))</f>
        <v>1E-3</v>
      </c>
      <c r="B155" s="1" cm="1">
        <f t="array" aca="1" ref="B155" ca="1">IF(ISBLANK(INDIRECT(CONCATENATE("Input!",RSE_Setup!$B$17,ROW()+1))),"",INDIRECT(CONCATENATE("Input!",RSE_Setup!$B$17,ROW()+1)))</f>
        <v>6.4999999999999997E-3</v>
      </c>
      <c r="C155" s="1" cm="1">
        <f t="array" aca="1" ref="C155" ca="1">IF(ISBLANK(INDIRECT(CONCATENATE("Input!",RSE_Setup!$B$18,ROW()+1))),"",INDIRECT(CONCATENATE("Input!",RSE_Setup!$B$18,ROW()+1)))</f>
        <v>0.111111</v>
      </c>
      <c r="D155" s="1" cm="1">
        <f t="array" aca="1" ref="D155" ca="1">IF(ISBLANK(INDIRECT(CONCATENATE("Input!",RSE_Setup!$B$19,ROW()+1))),"",INDIRECT(CONCATENATE("Input!",RSE_Setup!$B$19,ROW()+1)))</f>
        <v>4750</v>
      </c>
      <c r="E155" s="1" cm="1">
        <f t="array" aca="1" ref="E155" ca="1">IF(ISBLANK(INDIRECT(CONCATENATE("Input!",RSE_Setup!$B$25,ROW()+1))),"",INDIRECT(CONCATENATE("Input!",RSE_Setup!$B$25,ROW()+1)))</f>
        <v>451.331323</v>
      </c>
      <c r="F155" s="1">
        <f ca="1"/>
        <v>448.1946183695174</v>
      </c>
    </row>
    <row r="156" spans="1:6" x14ac:dyDescent="0.3">
      <c r="A156" s="1" cm="1">
        <f t="array" aca="1" ref="A156" ca="1">IF(ISBLANK(INDIRECT(CONCATENATE("Input!",RSE_Setup!$B$16,ROW()+1))),"",INDIRECT(CONCATENATE("Input!",RSE_Setup!$B$16,ROW()+1)))</f>
        <v>1E-3</v>
      </c>
      <c r="B156" s="1" cm="1">
        <f t="array" aca="1" ref="B156" ca="1">IF(ISBLANK(INDIRECT(CONCATENATE("Input!",RSE_Setup!$B$17,ROW()+1))),"",INDIRECT(CONCATENATE("Input!",RSE_Setup!$B$17,ROW()+1)))</f>
        <v>6.4999999999999997E-3</v>
      </c>
      <c r="C156" s="1" cm="1">
        <f t="array" aca="1" ref="C156" ca="1">IF(ISBLANK(INDIRECT(CONCATENATE("Input!",RSE_Setup!$B$18,ROW()+1))),"",INDIRECT(CONCATENATE("Input!",RSE_Setup!$B$18,ROW()+1)))</f>
        <v>5.5556000000000001E-2</v>
      </c>
      <c r="D156" s="1" cm="1">
        <f t="array" aca="1" ref="D156" ca="1">IF(ISBLANK(INDIRECT(CONCATENATE("Input!",RSE_Setup!$B$19,ROW()+1))),"",INDIRECT(CONCATENATE("Input!",RSE_Setup!$B$19,ROW()+1)))</f>
        <v>5500</v>
      </c>
      <c r="E156" s="1" cm="1">
        <f t="array" aca="1" ref="E156" ca="1">IF(ISBLANK(INDIRECT(CONCATENATE("Input!",RSE_Setup!$B$25,ROW()+1))),"",INDIRECT(CONCATENATE("Input!",RSE_Setup!$B$25,ROW()+1)))</f>
        <v>446.95052600000002</v>
      </c>
      <c r="F156" s="1">
        <f ca="1"/>
        <v>441.83452007373381</v>
      </c>
    </row>
    <row r="157" spans="1:6" x14ac:dyDescent="0.3">
      <c r="A157" s="1" cm="1">
        <f t="array" aca="1" ref="A157" ca="1">IF(ISBLANK(INDIRECT(CONCATENATE("Input!",RSE_Setup!$B$16,ROW()+1))),"",INDIRECT(CONCATENATE("Input!",RSE_Setup!$B$16,ROW()+1)))</f>
        <v>1E-3</v>
      </c>
      <c r="B157" s="1" cm="1">
        <f t="array" aca="1" ref="B157" ca="1">IF(ISBLANK(INDIRECT(CONCATENATE("Input!",RSE_Setup!$B$17,ROW()+1))),"",INDIRECT(CONCATENATE("Input!",RSE_Setup!$B$17,ROW()+1)))</f>
        <v>8.0000000000000002E-3</v>
      </c>
      <c r="C157" s="1" cm="1">
        <f t="array" aca="1" ref="C157" ca="1">IF(ISBLANK(INDIRECT(CONCATENATE("Input!",RSE_Setup!$B$18,ROW()+1))),"",INDIRECT(CONCATENATE("Input!",RSE_Setup!$B$18,ROW()+1)))</f>
        <v>0.111111</v>
      </c>
      <c r="D157" s="1" cm="1">
        <f t="array" aca="1" ref="D157" ca="1">IF(ISBLANK(INDIRECT(CONCATENATE("Input!",RSE_Setup!$B$19,ROW()+1))),"",INDIRECT(CONCATENATE("Input!",RSE_Setup!$B$19,ROW()+1)))</f>
        <v>4750</v>
      </c>
      <c r="E157" s="1" cm="1">
        <f t="array" aca="1" ref="E157" ca="1">IF(ISBLANK(INDIRECT(CONCATENATE("Input!",RSE_Setup!$B$25,ROW()+1))),"",INDIRECT(CONCATENATE("Input!",RSE_Setup!$B$25,ROW()+1)))</f>
        <v>474.49339099999997</v>
      </c>
      <c r="F157" s="1">
        <f ca="1"/>
        <v>474.97358706292641</v>
      </c>
    </row>
    <row r="158" spans="1:6" x14ac:dyDescent="0.3">
      <c r="A158" s="1" cm="1">
        <f t="array" aca="1" ref="A158" ca="1">IF(ISBLANK(INDIRECT(CONCATENATE("Input!",RSE_Setup!$B$16,ROW()+1))),"",INDIRECT(CONCATENATE("Input!",RSE_Setup!$B$16,ROW()+1)))</f>
        <v>1E-3</v>
      </c>
      <c r="B158" s="1" cm="1">
        <f t="array" aca="1" ref="B158" ca="1">IF(ISBLANK(INDIRECT(CONCATENATE("Input!",RSE_Setup!$B$17,ROW()+1))),"",INDIRECT(CONCATENATE("Input!",RSE_Setup!$B$17,ROW()+1)))</f>
        <v>8.0000000000000002E-3</v>
      </c>
      <c r="C158" s="1" cm="1">
        <f t="array" aca="1" ref="C158" ca="1">IF(ISBLANK(INDIRECT(CONCATENATE("Input!",RSE_Setup!$B$18,ROW()+1))),"",INDIRECT(CONCATENATE("Input!",RSE_Setup!$B$18,ROW()+1)))</f>
        <v>5.5556000000000001E-2</v>
      </c>
      <c r="D158" s="1" cm="1">
        <f t="array" aca="1" ref="D158" ca="1">IF(ISBLANK(INDIRECT(CONCATENATE("Input!",RSE_Setup!$B$19,ROW()+1))),"",INDIRECT(CONCATENATE("Input!",RSE_Setup!$B$19,ROW()+1)))</f>
        <v>5500</v>
      </c>
      <c r="E158" s="1" cm="1">
        <f t="array" aca="1" ref="E158" ca="1">IF(ISBLANK(INDIRECT(CONCATENATE("Input!",RSE_Setup!$B$25,ROW()+1))),"",INDIRECT(CONCATENATE("Input!",RSE_Setup!$B$25,ROW()+1)))</f>
        <v>477.53289599999999</v>
      </c>
      <c r="F158" s="1">
        <f ca="1"/>
        <v>474.22109849019324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B808C-530F-48A4-B534-32951F44D30C}">
  <sheetPr codeName="Sheet6"/>
  <dimension ref="A1:G158"/>
  <sheetViews>
    <sheetView workbookViewId="0"/>
  </sheetViews>
  <sheetFormatPr defaultRowHeight="14.4" x14ac:dyDescent="0.3"/>
  <cols>
    <col min="1" max="2" width="8" style="1" bestFit="1" customWidth="1"/>
    <col min="3" max="3" width="9" style="1" bestFit="1" customWidth="1"/>
    <col min="4" max="4" width="6" style="1" bestFit="1" customWidth="1"/>
    <col min="5" max="5" width="11" style="1" bestFit="1" customWidth="1"/>
    <col min="6" max="6" width="12" style="1" bestFit="1" customWidth="1"/>
  </cols>
  <sheetData>
    <row r="1" spans="1:7" x14ac:dyDescent="0.3">
      <c r="A1" s="1" t="s">
        <v>32</v>
      </c>
      <c r="B1" s="1" t="s">
        <v>33</v>
      </c>
      <c r="C1" s="1" t="s">
        <v>34</v>
      </c>
      <c r="D1" s="1" t="s">
        <v>35</v>
      </c>
      <c r="E1" s="1" t="s">
        <v>36</v>
      </c>
      <c r="F1" s="1" t="s">
        <v>298</v>
      </c>
      <c r="G1" t="s">
        <v>16</v>
      </c>
    </row>
    <row r="2" spans="1:7" x14ac:dyDescent="0.3">
      <c r="A2" s="1" cm="1">
        <f t="array" aca="1" ref="A2" ca="1">IF(ISBLANK(INDIRECT(CONCATENATE("Input!",RSE_Setup!$B$16,ROW()+1))),"",INDIRECT(CONCATENATE("Input!",RSE_Setup!$B$16,ROW()+1)))</f>
        <v>5.0000000000000001E-4</v>
      </c>
      <c r="B2" s="1" cm="1">
        <f t="array" aca="1" ref="B2" ca="1">IF(ISBLANK(INDIRECT(CONCATENATE("Input!",RSE_Setup!$B$17,ROW()+1))),"",INDIRECT(CONCATENATE("Input!",RSE_Setup!$B$17,ROW()+1)))</f>
        <v>3.0000000000000001E-3</v>
      </c>
      <c r="C2" s="1" cm="1">
        <f t="array" aca="1" ref="C2" ca="1">IF(ISBLANK(INDIRECT(CONCATENATE("Input!",RSE_Setup!$B$18,ROW()+1))),"",INDIRECT(CONCATENATE("Input!",RSE_Setup!$B$18,ROW()+1)))</f>
        <v>3.2258000000000002E-2</v>
      </c>
      <c r="D2" s="1" cm="1">
        <f t="array" aca="1" ref="D2" ca="1">IF(ISBLANK(INDIRECT(CONCATENATE("Input!",RSE_Setup!$B$19,ROW()+1))),"",INDIRECT(CONCATENATE("Input!",RSE_Setup!$B$19,ROW()+1)))</f>
        <v>3250</v>
      </c>
      <c r="E2" s="1" cm="1">
        <f t="array" aca="1" ref="E2" ca="1">IF(ISBLANK(INDIRECT(CONCATENATE("Input!",RSE_Setup!$B$26,ROW()+1))),"",INDIRECT(CONCATENATE("Input!",RSE_Setup!$B$26,ROW()+1)))</f>
        <v>128.52475200000001</v>
      </c>
      <c r="F2" s="1" cm="1">
        <f t="array" aca="1" ref="F2:F158" ca="1">(14.525611009544 + 0 * 1 + -6131.42956726413 * RLHP20 + -3945.25537027095 * RLHP60 + 204.159974457051 * HP_ETW + 0.00967575663549691 * ETW + 3573552.62201996 * RLHP20^2 + 640175.17643138 * RLHP20 * RLHP60 + -64337.3980018177 * RLHP20 * HP_ETW + 8.80018787358251 * RLHP20 * ETW + 596290.251956314 * RLHP60^2 + -56603.5718691447 * RLHP60 * HP_ETW + 6.46432530071076 * RLHP60 * ETW + 2856.04489976731 * HP_ETW^2 + 0.0926416324749088 * HP_ETW * ETW + -3.11383701045997E-08 * ETW^2)</f>
        <v>128.04386969683432</v>
      </c>
      <c r="G2" t="s">
        <v>305</v>
      </c>
    </row>
    <row r="3" spans="1:7" x14ac:dyDescent="0.3">
      <c r="A3" s="1" cm="1">
        <f t="array" aca="1" ref="A3" ca="1">IF(ISBLANK(INDIRECT(CONCATENATE("Input!",RSE_Setup!$B$16,ROW()+1))),"",INDIRECT(CONCATENATE("Input!",RSE_Setup!$B$16,ROW()+1)))</f>
        <v>5.0000000000000001E-4</v>
      </c>
      <c r="B3" s="1" cm="1">
        <f t="array" aca="1" ref="B3" ca="1">IF(ISBLANK(INDIRECT(CONCATENATE("Input!",RSE_Setup!$B$17,ROW()+1))),"",INDIRECT(CONCATENATE("Input!",RSE_Setup!$B$17,ROW()+1)))</f>
        <v>3.0000000000000001E-3</v>
      </c>
      <c r="C3" s="1" cm="1">
        <f t="array" aca="1" ref="C3" ca="1">IF(ISBLANK(INDIRECT(CONCATENATE("Input!",RSE_Setup!$B$18,ROW()+1))),"",INDIRECT(CONCATENATE("Input!",RSE_Setup!$B$18,ROW()+1)))</f>
        <v>3.2258000000000002E-2</v>
      </c>
      <c r="D3" s="1" cm="1">
        <f t="array" aca="1" ref="D3" ca="1">IF(ISBLANK(INDIRECT(CONCATENATE("Input!",RSE_Setup!$B$19,ROW()+1))),"",INDIRECT(CONCATENATE("Input!",RSE_Setup!$B$19,ROW()+1)))</f>
        <v>4250</v>
      </c>
      <c r="E3" s="1" cm="1">
        <f t="array" aca="1" ref="E3" ca="1">IF(ISBLANK(INDIRECT(CONCATENATE("Input!",RSE_Setup!$B$26,ROW()+1))),"",INDIRECT(CONCATENATE("Input!",RSE_Setup!$B$26,ROW()+1)))</f>
        <v>161.75057899999999</v>
      </c>
      <c r="F3" s="1">
        <f ca="1"/>
        <v>164.26759217584589</v>
      </c>
    </row>
    <row r="4" spans="1:7" x14ac:dyDescent="0.3">
      <c r="A4" s="1" cm="1">
        <f t="array" aca="1" ref="A4" ca="1">IF(ISBLANK(INDIRECT(CONCATENATE("Input!",RSE_Setup!$B$16,ROW()+1))),"",INDIRECT(CONCATENATE("Input!",RSE_Setup!$B$16,ROW()+1)))</f>
        <v>5.0000000000000001E-4</v>
      </c>
      <c r="B4" s="1" cm="1">
        <f t="array" aca="1" ref="B4" ca="1">IF(ISBLANK(INDIRECT(CONCATENATE("Input!",RSE_Setup!$B$17,ROW()+1))),"",INDIRECT(CONCATENATE("Input!",RSE_Setup!$B$17,ROW()+1)))</f>
        <v>4.7499999999999999E-3</v>
      </c>
      <c r="C4" s="1" cm="1">
        <f t="array" aca="1" ref="C4" ca="1">IF(ISBLANK(INDIRECT(CONCATENATE("Input!",RSE_Setup!$B$18,ROW()+1))),"",INDIRECT(CONCATENATE("Input!",RSE_Setup!$B$18,ROW()+1)))</f>
        <v>3.2258000000000002E-2</v>
      </c>
      <c r="D4" s="1" cm="1">
        <f t="array" aca="1" ref="D4" ca="1">IF(ISBLANK(INDIRECT(CONCATENATE("Input!",RSE_Setup!$B$19,ROW()+1))),"",INDIRECT(CONCATENATE("Input!",RSE_Setup!$B$19,ROW()+1)))</f>
        <v>3250</v>
      </c>
      <c r="E4" s="1" cm="1">
        <f t="array" aca="1" ref="E4" ca="1">IF(ISBLANK(INDIRECT(CONCATENATE("Input!",RSE_Setup!$B$26,ROW()+1))),"",INDIRECT(CONCATENATE("Input!",RSE_Setup!$B$26,ROW()+1)))</f>
        <v>164.28067100000001</v>
      </c>
      <c r="F4" s="1">
        <f ca="1"/>
        <v>163.35750623081654</v>
      </c>
    </row>
    <row r="5" spans="1:7" x14ac:dyDescent="0.3">
      <c r="A5" s="1" cm="1">
        <f t="array" aca="1" ref="A5" ca="1">IF(ISBLANK(INDIRECT(CONCATENATE("Input!",RSE_Setup!$B$16,ROW()+1))),"",INDIRECT(CONCATENATE("Input!",RSE_Setup!$B$16,ROW()+1)))</f>
        <v>5.0000000000000001E-4</v>
      </c>
      <c r="B5" s="1" cm="1">
        <f t="array" aca="1" ref="B5" ca="1">IF(ISBLANK(INDIRECT(CONCATENATE("Input!",RSE_Setup!$B$17,ROW()+1))),"",INDIRECT(CONCATENATE("Input!",RSE_Setup!$B$17,ROW()+1)))</f>
        <v>4.7499999999999999E-3</v>
      </c>
      <c r="C5" s="1" cm="1">
        <f t="array" aca="1" ref="C5" ca="1">IF(ISBLANK(INDIRECT(CONCATENATE("Input!",RSE_Setup!$B$18,ROW()+1))),"",INDIRECT(CONCATENATE("Input!",RSE_Setup!$B$18,ROW()+1)))</f>
        <v>3.2258000000000002E-2</v>
      </c>
      <c r="D5" s="1" cm="1">
        <f t="array" aca="1" ref="D5" ca="1">IF(ISBLANK(INDIRECT(CONCATENATE("Input!",RSE_Setup!$B$19,ROW()+1))),"",INDIRECT(CONCATENATE("Input!",RSE_Setup!$B$19,ROW()+1)))</f>
        <v>4250</v>
      </c>
      <c r="E5" s="1" cm="1">
        <f t="array" aca="1" ref="E5" ca="1">IF(ISBLANK(INDIRECT(CONCATENATE("Input!",RSE_Setup!$B$26,ROW()+1))),"",INDIRECT(CONCATENATE("Input!",RSE_Setup!$B$26,ROW()+1)))</f>
        <v>208.438524</v>
      </c>
      <c r="F5" s="1">
        <f ca="1"/>
        <v>210.89379798607195</v>
      </c>
    </row>
    <row r="6" spans="1:7" x14ac:dyDescent="0.3">
      <c r="A6" s="1" cm="1">
        <f t="array" aca="1" ref="A6" ca="1">IF(ISBLANK(INDIRECT(CONCATENATE("Input!",RSE_Setup!$B$16,ROW()+1))),"",INDIRECT(CONCATENATE("Input!",RSE_Setup!$B$16,ROW()+1)))</f>
        <v>5.0000000000000001E-4</v>
      </c>
      <c r="B6" s="1" cm="1">
        <f t="array" aca="1" ref="B6" ca="1">IF(ISBLANK(INDIRECT(CONCATENATE("Input!",RSE_Setup!$B$17,ROW()+1))),"",INDIRECT(CONCATENATE("Input!",RSE_Setup!$B$17,ROW()+1)))</f>
        <v>6.4999999999999997E-3</v>
      </c>
      <c r="C6" s="1" cm="1">
        <f t="array" aca="1" ref="C6" ca="1">IF(ISBLANK(INDIRECT(CONCATENATE("Input!",RSE_Setup!$B$18,ROW()+1))),"",INDIRECT(CONCATENATE("Input!",RSE_Setup!$B$18,ROW()+1)))</f>
        <v>3.2258000000000002E-2</v>
      </c>
      <c r="D6" s="1" cm="1">
        <f t="array" aca="1" ref="D6" ca="1">IF(ISBLANK(INDIRECT(CONCATENATE("Input!",RSE_Setup!$B$19,ROW()+1))),"",INDIRECT(CONCATENATE("Input!",RSE_Setup!$B$19,ROW()+1)))</f>
        <v>3250</v>
      </c>
      <c r="E6" s="1" cm="1">
        <f t="array" aca="1" ref="E6" ca="1">IF(ISBLANK(INDIRECT(CONCATENATE("Input!",RSE_Setup!$B$26,ROW()+1))),"",INDIRECT(CONCATENATE("Input!",RSE_Setup!$B$26,ROW()+1)))</f>
        <v>200.94833800000001</v>
      </c>
      <c r="F6" s="1">
        <f ca="1"/>
        <v>202.32342055803119</v>
      </c>
    </row>
    <row r="7" spans="1:7" x14ac:dyDescent="0.3">
      <c r="A7" s="1" cm="1">
        <f t="array" aca="1" ref="A7" ca="1">IF(ISBLANK(INDIRECT(CONCATENATE("Input!",RSE_Setup!$B$16,ROW()+1))),"",INDIRECT(CONCATENATE("Input!",RSE_Setup!$B$16,ROW()+1)))</f>
        <v>5.0000000000000001E-4</v>
      </c>
      <c r="B7" s="1" cm="1">
        <f t="array" aca="1" ref="B7" ca="1">IF(ISBLANK(INDIRECT(CONCATENATE("Input!",RSE_Setup!$B$17,ROW()+1))),"",INDIRECT(CONCATENATE("Input!",RSE_Setup!$B$17,ROW()+1)))</f>
        <v>6.4999999999999997E-3</v>
      </c>
      <c r="C7" s="1" cm="1">
        <f t="array" aca="1" ref="C7" ca="1">IF(ISBLANK(INDIRECT(CONCATENATE("Input!",RSE_Setup!$B$18,ROW()+1))),"",INDIRECT(CONCATENATE("Input!",RSE_Setup!$B$18,ROW()+1)))</f>
        <v>3.2258000000000002E-2</v>
      </c>
      <c r="D7" s="1" cm="1">
        <f t="array" aca="1" ref="D7" ca="1">IF(ISBLANK(INDIRECT(CONCATENATE("Input!",RSE_Setup!$B$19,ROW()+1))),"",INDIRECT(CONCATENATE("Input!",RSE_Setup!$B$19,ROW()+1)))</f>
        <v>4250</v>
      </c>
      <c r="E7" s="1" cm="1">
        <f t="array" aca="1" ref="E7" ca="1">IF(ISBLANK(INDIRECT(CONCATENATE("Input!",RSE_Setup!$B$26,ROW()+1))),"",INDIRECT(CONCATENATE("Input!",RSE_Setup!$B$26,ROW()+1)))</f>
        <v>259.045886</v>
      </c>
      <c r="F7" s="1">
        <f ca="1"/>
        <v>261.17228158953043</v>
      </c>
    </row>
    <row r="8" spans="1:7" x14ac:dyDescent="0.3">
      <c r="A8" s="1" cm="1">
        <f t="array" aca="1" ref="A8" ca="1">IF(ISBLANK(INDIRECT(CONCATENATE("Input!",RSE_Setup!$B$16,ROW()+1))),"",INDIRECT(CONCATENATE("Input!",RSE_Setup!$B$16,ROW()+1)))</f>
        <v>7.5000000000000002E-4</v>
      </c>
      <c r="B8" s="1" cm="1">
        <f t="array" aca="1" ref="B8" ca="1">IF(ISBLANK(INDIRECT(CONCATENATE("Input!",RSE_Setup!$B$17,ROW()+1))),"",INDIRECT(CONCATENATE("Input!",RSE_Setup!$B$17,ROW()+1)))</f>
        <v>4.0000000000000001E-3</v>
      </c>
      <c r="C8" s="1" cm="1">
        <f t="array" aca="1" ref="C8" ca="1">IF(ISBLANK(INDIRECT(CONCATENATE("Input!",RSE_Setup!$B$18,ROW()+1))),"",INDIRECT(CONCATENATE("Input!",RSE_Setup!$B$18,ROW()+1)))</f>
        <v>3.2258000000000002E-2</v>
      </c>
      <c r="D8" s="1" cm="1">
        <f t="array" aca="1" ref="D8" ca="1">IF(ISBLANK(INDIRECT(CONCATENATE("Input!",RSE_Setup!$B$19,ROW()+1))),"",INDIRECT(CONCATENATE("Input!",RSE_Setup!$B$19,ROW()+1)))</f>
        <v>3250</v>
      </c>
      <c r="E8" s="1" cm="1">
        <f t="array" aca="1" ref="E8" ca="1">IF(ISBLANK(INDIRECT(CONCATENATE("Input!",RSE_Setup!$B$26,ROW()+1))),"",INDIRECT(CONCATENATE("Input!",RSE_Setup!$B$26,ROW()+1)))</f>
        <v>155.65169900000001</v>
      </c>
      <c r="F8" s="1">
        <f ca="1"/>
        <v>154.63122956452509</v>
      </c>
    </row>
    <row r="9" spans="1:7" x14ac:dyDescent="0.3">
      <c r="A9" s="1" cm="1">
        <f t="array" aca="1" ref="A9" ca="1">IF(ISBLANK(INDIRECT(CONCATENATE("Input!",RSE_Setup!$B$16,ROW()+1))),"",INDIRECT(CONCATENATE("Input!",RSE_Setup!$B$16,ROW()+1)))</f>
        <v>7.5000000000000002E-4</v>
      </c>
      <c r="B9" s="1" cm="1">
        <f t="array" aca="1" ref="B9" ca="1">IF(ISBLANK(INDIRECT(CONCATENATE("Input!",RSE_Setup!$B$17,ROW()+1))),"",INDIRECT(CONCATENATE("Input!",RSE_Setup!$B$17,ROW()+1)))</f>
        <v>4.0000000000000001E-3</v>
      </c>
      <c r="C9" s="1" cm="1">
        <f t="array" aca="1" ref="C9" ca="1">IF(ISBLANK(INDIRECT(CONCATENATE("Input!",RSE_Setup!$B$18,ROW()+1))),"",INDIRECT(CONCATENATE("Input!",RSE_Setup!$B$18,ROW()+1)))</f>
        <v>3.2258000000000002E-2</v>
      </c>
      <c r="D9" s="1" cm="1">
        <f t="array" aca="1" ref="D9" ca="1">IF(ISBLANK(INDIRECT(CONCATENATE("Input!",RSE_Setup!$B$19,ROW()+1))),"",INDIRECT(CONCATENATE("Input!",RSE_Setup!$B$19,ROW()+1)))</f>
        <v>4250</v>
      </c>
      <c r="E9" s="1" cm="1">
        <f t="array" aca="1" ref="E9" ca="1">IF(ISBLANK(INDIRECT(CONCATENATE("Input!",RSE_Setup!$B$26,ROW()+1))),"",INDIRECT(CONCATENATE("Input!",RSE_Setup!$B$26,ROW()+1)))</f>
        <v>197.131067</v>
      </c>
      <c r="F9" s="1">
        <f ca="1"/>
        <v>199.51932431264299</v>
      </c>
    </row>
    <row r="10" spans="1:7" x14ac:dyDescent="0.3">
      <c r="A10" s="1" cm="1">
        <f t="array" aca="1" ref="A10" ca="1">IF(ISBLANK(INDIRECT(CONCATENATE("Input!",RSE_Setup!$B$16,ROW()+1))),"",INDIRECT(CONCATENATE("Input!",RSE_Setup!$B$16,ROW()+1)))</f>
        <v>7.5000000000000002E-4</v>
      </c>
      <c r="B10" s="1" cm="1">
        <f t="array" aca="1" ref="B10" ca="1">IF(ISBLANK(INDIRECT(CONCATENATE("Input!",RSE_Setup!$B$17,ROW()+1))),"",INDIRECT(CONCATENATE("Input!",RSE_Setup!$B$17,ROW()+1)))</f>
        <v>6.0000000000000001E-3</v>
      </c>
      <c r="C10" s="1" cm="1">
        <f t="array" aca="1" ref="C10" ca="1">IF(ISBLANK(INDIRECT(CONCATENATE("Input!",RSE_Setup!$B$18,ROW()+1))),"",INDIRECT(CONCATENATE("Input!",RSE_Setup!$B$18,ROW()+1)))</f>
        <v>3.2258000000000002E-2</v>
      </c>
      <c r="D10" s="1" cm="1">
        <f t="array" aca="1" ref="D10" ca="1">IF(ISBLANK(INDIRECT(CONCATENATE("Input!",RSE_Setup!$B$19,ROW()+1))),"",INDIRECT(CONCATENATE("Input!",RSE_Setup!$B$19,ROW()+1)))</f>
        <v>3250</v>
      </c>
      <c r="E10" s="1" cm="1">
        <f t="array" aca="1" ref="E10" ca="1">IF(ISBLANK(INDIRECT(CONCATENATE("Input!",RSE_Setup!$B$26,ROW()+1))),"",INDIRECT(CONCATENATE("Input!",RSE_Setup!$B$26,ROW()+1)))</f>
        <v>197.384783</v>
      </c>
      <c r="F10" s="1">
        <f ca="1"/>
        <v>197.99306503966673</v>
      </c>
    </row>
    <row r="11" spans="1:7" x14ac:dyDescent="0.3">
      <c r="A11" s="1" cm="1">
        <f t="array" aca="1" ref="A11" ca="1">IF(ISBLANK(INDIRECT(CONCATENATE("Input!",RSE_Setup!$B$16,ROW()+1))),"",INDIRECT(CONCATENATE("Input!",RSE_Setup!$B$16,ROW()+1)))</f>
        <v>7.5000000000000002E-4</v>
      </c>
      <c r="B11" s="1" cm="1">
        <f t="array" aca="1" ref="B11" ca="1">IF(ISBLANK(INDIRECT(CONCATENATE("Input!",RSE_Setup!$B$17,ROW()+1))),"",INDIRECT(CONCATENATE("Input!",RSE_Setup!$B$17,ROW()+1)))</f>
        <v>6.0000000000000001E-3</v>
      </c>
      <c r="C11" s="1" cm="1">
        <f t="array" aca="1" ref="C11" ca="1">IF(ISBLANK(INDIRECT(CONCATENATE("Input!",RSE_Setup!$B$18,ROW()+1))),"",INDIRECT(CONCATENATE("Input!",RSE_Setup!$B$18,ROW()+1)))</f>
        <v>3.2258000000000002E-2</v>
      </c>
      <c r="D11" s="1" cm="1">
        <f t="array" aca="1" ref="D11" ca="1">IF(ISBLANK(INDIRECT(CONCATENATE("Input!",RSE_Setup!$B$19,ROW()+1))),"",INDIRECT(CONCATENATE("Input!",RSE_Setup!$B$19,ROW()+1)))</f>
        <v>4250</v>
      </c>
      <c r="E11" s="1" cm="1">
        <f t="array" aca="1" ref="E11" ca="1">IF(ISBLANK(INDIRECT(CONCATENATE("Input!",RSE_Setup!$B$26,ROW()+1))),"",INDIRECT(CONCATENATE("Input!",RSE_Setup!$B$26,ROW()+1)))</f>
        <v>253.560078</v>
      </c>
      <c r="F11" s="1">
        <f ca="1"/>
        <v>255.80981038920618</v>
      </c>
    </row>
    <row r="12" spans="1:7" x14ac:dyDescent="0.3">
      <c r="A12" s="1" cm="1">
        <f t="array" aca="1" ref="A12" ca="1">IF(ISBLANK(INDIRECT(CONCATENATE("Input!",RSE_Setup!$B$16,ROW()+1))),"",INDIRECT(CONCATENATE("Input!",RSE_Setup!$B$16,ROW()+1)))</f>
        <v>7.5000000000000002E-4</v>
      </c>
      <c r="B12" s="1" cm="1">
        <f t="array" aca="1" ref="B12" ca="1">IF(ISBLANK(INDIRECT(CONCATENATE("Input!",RSE_Setup!$B$17,ROW()+1))),"",INDIRECT(CONCATENATE("Input!",RSE_Setup!$B$17,ROW()+1)))</f>
        <v>8.0000000000000002E-3</v>
      </c>
      <c r="C12" s="1" cm="1">
        <f t="array" aca="1" ref="C12" ca="1">IF(ISBLANK(INDIRECT(CONCATENATE("Input!",RSE_Setup!$B$18,ROW()+1))),"",INDIRECT(CONCATENATE("Input!",RSE_Setup!$B$18,ROW()+1)))</f>
        <v>3.2258000000000002E-2</v>
      </c>
      <c r="D12" s="1" cm="1">
        <f t="array" aca="1" ref="D12" ca="1">IF(ISBLANK(INDIRECT(CONCATENATE("Input!",RSE_Setup!$B$19,ROW()+1))),"",INDIRECT(CONCATENATE("Input!",RSE_Setup!$B$19,ROW()+1)))</f>
        <v>4250</v>
      </c>
      <c r="E12" s="1" cm="1">
        <f t="array" aca="1" ref="E12" ca="1">IF(ISBLANK(INDIRECT(CONCATENATE("Input!",RSE_Setup!$B$26,ROW()+1))),"",INDIRECT(CONCATENATE("Input!",RSE_Setup!$B$26,ROW()+1)))</f>
        <v>311.494371</v>
      </c>
      <c r="F12" s="1">
        <f ca="1"/>
        <v>316.87061848141985</v>
      </c>
    </row>
    <row r="13" spans="1:7" x14ac:dyDescent="0.3">
      <c r="A13" s="1" cm="1">
        <f t="array" aca="1" ref="A13" ca="1">IF(ISBLANK(INDIRECT(CONCATENATE("Input!",RSE_Setup!$B$16,ROW()+1))),"",INDIRECT(CONCATENATE("Input!",RSE_Setup!$B$16,ROW()+1)))</f>
        <v>1E-3</v>
      </c>
      <c r="B13" s="1" cm="1">
        <f t="array" aca="1" ref="B13" ca="1">IF(ISBLANK(INDIRECT(CONCATENATE("Input!",RSE_Setup!$B$17,ROW()+1))),"",INDIRECT(CONCATENATE("Input!",RSE_Setup!$B$17,ROW()+1)))</f>
        <v>5.0000000000000001E-3</v>
      </c>
      <c r="C13" s="1" cm="1">
        <f t="array" aca="1" ref="C13" ca="1">IF(ISBLANK(INDIRECT(CONCATENATE("Input!",RSE_Setup!$B$18,ROW()+1))),"",INDIRECT(CONCATENATE("Input!",RSE_Setup!$B$18,ROW()+1)))</f>
        <v>3.2258000000000002E-2</v>
      </c>
      <c r="D13" s="1" cm="1">
        <f t="array" aca="1" ref="D13" ca="1">IF(ISBLANK(INDIRECT(CONCATENATE("Input!",RSE_Setup!$B$19,ROW()+1))),"",INDIRECT(CONCATENATE("Input!",RSE_Setup!$B$19,ROW()+1)))</f>
        <v>3250</v>
      </c>
      <c r="E13" s="1" cm="1">
        <f t="array" aca="1" ref="E13" ca="1">IF(ISBLANK(INDIRECT(CONCATENATE("Input!",RSE_Setup!$B$26,ROW()+1))),"",INDIRECT(CONCATENATE("Input!",RSE_Setup!$B$26,ROW()+1)))</f>
        <v>183.58108899999999</v>
      </c>
      <c r="F13" s="1">
        <f ca="1"/>
        <v>183.17795160209664</v>
      </c>
    </row>
    <row r="14" spans="1:7" x14ac:dyDescent="0.3">
      <c r="A14" s="1" cm="1">
        <f t="array" aca="1" ref="A14" ca="1">IF(ISBLANK(INDIRECT(CONCATENATE("Input!",RSE_Setup!$B$16,ROW()+1))),"",INDIRECT(CONCATENATE("Input!",RSE_Setup!$B$16,ROW()+1)))</f>
        <v>1E-3</v>
      </c>
      <c r="B14" s="1" cm="1">
        <f t="array" aca="1" ref="B14" ca="1">IF(ISBLANK(INDIRECT(CONCATENATE("Input!",RSE_Setup!$B$17,ROW()+1))),"",INDIRECT(CONCATENATE("Input!",RSE_Setup!$B$17,ROW()+1)))</f>
        <v>5.0000000000000001E-3</v>
      </c>
      <c r="C14" s="1" cm="1">
        <f t="array" aca="1" ref="C14" ca="1">IF(ISBLANK(INDIRECT(CONCATENATE("Input!",RSE_Setup!$B$18,ROW()+1))),"",INDIRECT(CONCATENATE("Input!",RSE_Setup!$B$18,ROW()+1)))</f>
        <v>3.2258000000000002E-2</v>
      </c>
      <c r="D14" s="1" cm="1">
        <f t="array" aca="1" ref="D14" ca="1">IF(ISBLANK(INDIRECT(CONCATENATE("Input!",RSE_Setup!$B$19,ROW()+1))),"",INDIRECT(CONCATENATE("Input!",RSE_Setup!$B$19,ROW()+1)))</f>
        <v>4250</v>
      </c>
      <c r="E14" s="1" cm="1">
        <f t="array" aca="1" ref="E14" ca="1">IF(ISBLANK(INDIRECT(CONCATENATE("Input!",RSE_Setup!$B$26,ROW()+1))),"",INDIRECT(CONCATENATE("Input!",RSE_Setup!$B$26,ROW()+1)))</f>
        <v>233.16001199999999</v>
      </c>
      <c r="F14" s="1">
        <f ca="1"/>
        <v>236.73041861932097</v>
      </c>
    </row>
    <row r="15" spans="1:7" x14ac:dyDescent="0.3">
      <c r="A15" s="1" cm="1">
        <f t="array" aca="1" ref="A15" ca="1">IF(ISBLANK(INDIRECT(CONCATENATE("Input!",RSE_Setup!$B$16,ROW()+1))),"",INDIRECT(CONCATENATE("Input!",RSE_Setup!$B$16,ROW()+1)))</f>
        <v>1E-3</v>
      </c>
      <c r="B15" s="1" cm="1">
        <f t="array" aca="1" ref="B15" ca="1">IF(ISBLANK(INDIRECT(CONCATENATE("Input!",RSE_Setup!$B$17,ROW()+1))),"",INDIRECT(CONCATENATE("Input!",RSE_Setup!$B$17,ROW()+1)))</f>
        <v>6.4999999999999997E-3</v>
      </c>
      <c r="C15" s="1" cm="1">
        <f t="array" aca="1" ref="C15" ca="1">IF(ISBLANK(INDIRECT(CONCATENATE("Input!",RSE_Setup!$B$18,ROW()+1))),"",INDIRECT(CONCATENATE("Input!",RSE_Setup!$B$18,ROW()+1)))</f>
        <v>3.2258000000000002E-2</v>
      </c>
      <c r="D15" s="1" cm="1">
        <f t="array" aca="1" ref="D15" ca="1">IF(ISBLANK(INDIRECT(CONCATENATE("Input!",RSE_Setup!$B$19,ROW()+1))),"",INDIRECT(CONCATENATE("Input!",RSE_Setup!$B$19,ROW()+1)))</f>
        <v>3250</v>
      </c>
      <c r="E15" s="1" cm="1">
        <f t="array" aca="1" ref="E15" ca="1">IF(ISBLANK(INDIRECT(CONCATENATE("Input!",RSE_Setup!$B$26,ROW()+1))),"",INDIRECT(CONCATENATE("Input!",RSE_Setup!$B$26,ROW()+1)))</f>
        <v>214.829702</v>
      </c>
      <c r="F15" s="1">
        <f ca="1"/>
        <v>217.28104696651633</v>
      </c>
    </row>
    <row r="16" spans="1:7" x14ac:dyDescent="0.3">
      <c r="A16" s="1" cm="1">
        <f t="array" aca="1" ref="A16" ca="1">IF(ISBLANK(INDIRECT(CONCATENATE("Input!",RSE_Setup!$B$16,ROW()+1))),"",INDIRECT(CONCATENATE("Input!",RSE_Setup!$B$16,ROW()+1)))</f>
        <v>1E-3</v>
      </c>
      <c r="B16" s="1" cm="1">
        <f t="array" aca="1" ref="B16" ca="1">IF(ISBLANK(INDIRECT(CONCATENATE("Input!",RSE_Setup!$B$17,ROW()+1))),"",INDIRECT(CONCATENATE("Input!",RSE_Setup!$B$17,ROW()+1)))</f>
        <v>6.4999999999999997E-3</v>
      </c>
      <c r="C16" s="1" cm="1">
        <f t="array" aca="1" ref="C16" ca="1">IF(ISBLANK(INDIRECT(CONCATENATE("Input!",RSE_Setup!$B$18,ROW()+1))),"",INDIRECT(CONCATENATE("Input!",RSE_Setup!$B$18,ROW()+1)))</f>
        <v>3.2258000000000002E-2</v>
      </c>
      <c r="D16" s="1" cm="1">
        <f t="array" aca="1" ref="D16" ca="1">IF(ISBLANK(INDIRECT(CONCATENATE("Input!",RSE_Setup!$B$19,ROW()+1))),"",INDIRECT(CONCATENATE("Input!",RSE_Setup!$B$19,ROW()+1)))</f>
        <v>4250</v>
      </c>
      <c r="E16" s="1" cm="1">
        <f t="array" aca="1" ref="E16" ca="1">IF(ISBLANK(INDIRECT(CONCATENATE("Input!",RSE_Setup!$B$26,ROW()+1))),"",INDIRECT(CONCATENATE("Input!",RSE_Setup!$B$26,ROW()+1)))</f>
        <v>278.19412899999998</v>
      </c>
      <c r="F16" s="1">
        <f ca="1"/>
        <v>280.53000193480682</v>
      </c>
    </row>
    <row r="17" spans="1:6" x14ac:dyDescent="0.3">
      <c r="A17" s="1" cm="1">
        <f t="array" aca="1" ref="A17" ca="1">IF(ISBLANK(INDIRECT(CONCATENATE("Input!",RSE_Setup!$B$16,ROW()+1))),"",INDIRECT(CONCATENATE("Input!",RSE_Setup!$B$16,ROW()+1)))</f>
        <v>1E-3</v>
      </c>
      <c r="B17" s="1" cm="1">
        <f t="array" aca="1" ref="B17" ca="1">IF(ISBLANK(INDIRECT(CONCATENATE("Input!",RSE_Setup!$B$17,ROW()+1))),"",INDIRECT(CONCATENATE("Input!",RSE_Setup!$B$17,ROW()+1)))</f>
        <v>8.0000000000000002E-3</v>
      </c>
      <c r="C17" s="1" cm="1">
        <f t="array" aca="1" ref="C17" ca="1">IF(ISBLANK(INDIRECT(CONCATENATE("Input!",RSE_Setup!$B$18,ROW()+1))),"",INDIRECT(CONCATENATE("Input!",RSE_Setup!$B$18,ROW()+1)))</f>
        <v>3.2258000000000002E-2</v>
      </c>
      <c r="D17" s="1" cm="1">
        <f t="array" aca="1" ref="D17" ca="1">IF(ISBLANK(INDIRECT(CONCATENATE("Input!",RSE_Setup!$B$19,ROW()+1))),"",INDIRECT(CONCATENATE("Input!",RSE_Setup!$B$19,ROW()+1)))</f>
        <v>4250</v>
      </c>
      <c r="E17" s="1" cm="1">
        <f t="array" aca="1" ref="E17" ca="1">IF(ISBLANK(INDIRECT(CONCATENATE("Input!",RSE_Setup!$B$26,ROW()+1))),"",INDIRECT(CONCATENATE("Input!",RSE_Setup!$B$26,ROW()+1)))</f>
        <v>321.33183000000002</v>
      </c>
      <c r="F17" s="1">
        <f ca="1"/>
        <v>327.01289138409606</v>
      </c>
    </row>
    <row r="18" spans="1:6" x14ac:dyDescent="0.3">
      <c r="A18" s="1" cm="1">
        <f t="array" aca="1" ref="A18" ca="1">IF(ISBLANK(INDIRECT(CONCATENATE("Input!",RSE_Setup!$B$16,ROW()+1))),"",INDIRECT(CONCATENATE("Input!",RSE_Setup!$B$16,ROW()+1)))</f>
        <v>2.9999999999999997E-4</v>
      </c>
      <c r="B18" s="1" cm="1">
        <f t="array" aca="1" ref="B18" ca="1">IF(ISBLANK(INDIRECT(CONCATENATE("Input!",RSE_Setup!$B$17,ROW()+1))),"",INDIRECT(CONCATENATE("Input!",RSE_Setup!$B$17,ROW()+1)))</f>
        <v>2E-3</v>
      </c>
      <c r="C18" s="1" cm="1">
        <f t="array" aca="1" ref="C18" ca="1">IF(ISBLANK(INDIRECT(CONCATENATE("Input!",RSE_Setup!$B$18,ROW()+1))),"",INDIRECT(CONCATENATE("Input!",RSE_Setup!$B$18,ROW()+1)))</f>
        <v>3.2258000000000002E-2</v>
      </c>
      <c r="D18" s="1" cm="1">
        <f t="array" aca="1" ref="D18" ca="1">IF(ISBLANK(INDIRECT(CONCATENATE("Input!",RSE_Setup!$B$19,ROW()+1))),"",INDIRECT(CONCATENATE("Input!",RSE_Setup!$B$19,ROW()+1)))</f>
        <v>5250</v>
      </c>
      <c r="E18" s="1" cm="1">
        <f t="array" aca="1" ref="E18" ca="1">IF(ISBLANK(INDIRECT(CONCATENATE("Input!",RSE_Setup!$B$26,ROW()+1))),"",INDIRECT(CONCATENATE("Input!",RSE_Setup!$B$26,ROW()+1)))</f>
        <v>158.25915900000001</v>
      </c>
      <c r="F18" s="1">
        <f ca="1"/>
        <v>160.53429394258927</v>
      </c>
    </row>
    <row r="19" spans="1:6" x14ac:dyDescent="0.3">
      <c r="A19" s="1" cm="1">
        <f t="array" aca="1" ref="A19" ca="1">IF(ISBLANK(INDIRECT(CONCATENATE("Input!",RSE_Setup!$B$16,ROW()+1))),"",INDIRECT(CONCATENATE("Input!",RSE_Setup!$B$16,ROW()+1)))</f>
        <v>2.9999999999999997E-4</v>
      </c>
      <c r="B19" s="1" cm="1">
        <f t="array" aca="1" ref="B19" ca="1">IF(ISBLANK(INDIRECT(CONCATENATE("Input!",RSE_Setup!$B$17,ROW()+1))),"",INDIRECT(CONCATENATE("Input!",RSE_Setup!$B$17,ROW()+1)))</f>
        <v>2E-3</v>
      </c>
      <c r="C19" s="1" cm="1">
        <f t="array" aca="1" ref="C19" ca="1">IF(ISBLANK(INDIRECT(CONCATENATE("Input!",RSE_Setup!$B$18,ROW()+1))),"",INDIRECT(CONCATENATE("Input!",RSE_Setup!$B$18,ROW()+1)))</f>
        <v>3.2258000000000002E-2</v>
      </c>
      <c r="D19" s="1" cm="1">
        <f t="array" aca="1" ref="D19" ca="1">IF(ISBLANK(INDIRECT(CONCATENATE("Input!",RSE_Setup!$B$19,ROW()+1))),"",INDIRECT(CONCATENATE("Input!",RSE_Setup!$B$19,ROW()+1)))</f>
        <v>6500</v>
      </c>
      <c r="E19" s="1" cm="1">
        <f t="array" aca="1" ref="E19" ca="1">IF(ISBLANK(INDIRECT(CONCATENATE("Input!",RSE_Setup!$B$26,ROW()+1))),"",INDIRECT(CONCATENATE("Input!",RSE_Setup!$B$26,ROW()+1)))</f>
        <v>192.04311200000001</v>
      </c>
      <c r="F19" s="1">
        <f ca="1"/>
        <v>195.36807085588896</v>
      </c>
    </row>
    <row r="20" spans="1:6" x14ac:dyDescent="0.3">
      <c r="A20" s="1" cm="1">
        <f t="array" aca="1" ref="A20" ca="1">IF(ISBLANK(INDIRECT(CONCATENATE("Input!",RSE_Setup!$B$16,ROW()+1))),"",INDIRECT(CONCATENATE("Input!",RSE_Setup!$B$16,ROW()+1)))</f>
        <v>2.9999999999999997E-4</v>
      </c>
      <c r="B20" s="1" cm="1">
        <f t="array" aca="1" ref="B20" ca="1">IF(ISBLANK(INDIRECT(CONCATENATE("Input!",RSE_Setup!$B$17,ROW()+1))),"",INDIRECT(CONCATENATE("Input!",RSE_Setup!$B$17,ROW()+1)))</f>
        <v>3.0000000000000001E-3</v>
      </c>
      <c r="C20" s="1" cm="1">
        <f t="array" aca="1" ref="C20" ca="1">IF(ISBLANK(INDIRECT(CONCATENATE("Input!",RSE_Setup!$B$18,ROW()+1))),"",INDIRECT(CONCATENATE("Input!",RSE_Setup!$B$18,ROW()+1)))</f>
        <v>3.2258000000000002E-2</v>
      </c>
      <c r="D20" s="1" cm="1">
        <f t="array" aca="1" ref="D20" ca="1">IF(ISBLANK(INDIRECT(CONCATENATE("Input!",RSE_Setup!$B$19,ROW()+1))),"",INDIRECT(CONCATENATE("Input!",RSE_Setup!$B$19,ROW()+1)))</f>
        <v>5250</v>
      </c>
      <c r="E20" s="1" cm="1">
        <f t="array" aca="1" ref="E20" ca="1">IF(ISBLANK(INDIRECT(CONCATENATE("Input!",RSE_Setup!$B$26,ROW()+1))),"",INDIRECT(CONCATENATE("Input!",RSE_Setup!$B$26,ROW()+1)))</f>
        <v>189.88665700000001</v>
      </c>
      <c r="F20" s="1">
        <f ca="1"/>
        <v>191.87433219240594</v>
      </c>
    </row>
    <row r="21" spans="1:6" x14ac:dyDescent="0.3">
      <c r="A21" s="1" cm="1">
        <f t="array" aca="1" ref="A21" ca="1">IF(ISBLANK(INDIRECT(CONCATENATE("Input!",RSE_Setup!$B$16,ROW()+1))),"",INDIRECT(CONCATENATE("Input!",RSE_Setup!$B$16,ROW()+1)))</f>
        <v>2.9999999999999997E-4</v>
      </c>
      <c r="B21" s="1" cm="1">
        <f t="array" aca="1" ref="B21" ca="1">IF(ISBLANK(INDIRECT(CONCATENATE("Input!",RSE_Setup!$B$17,ROW()+1))),"",INDIRECT(CONCATENATE("Input!",RSE_Setup!$B$17,ROW()+1)))</f>
        <v>3.0000000000000001E-3</v>
      </c>
      <c r="C21" s="1" cm="1">
        <f t="array" aca="1" ref="C21" ca="1">IF(ISBLANK(INDIRECT(CONCATENATE("Input!",RSE_Setup!$B$18,ROW()+1))),"",INDIRECT(CONCATENATE("Input!",RSE_Setup!$B$18,ROW()+1)))</f>
        <v>3.2258000000000002E-2</v>
      </c>
      <c r="D21" s="1" cm="1">
        <f t="array" aca="1" ref="D21" ca="1">IF(ISBLANK(INDIRECT(CONCATENATE("Input!",RSE_Setup!$B$19,ROW()+1))),"",INDIRECT(CONCATENATE("Input!",RSE_Setup!$B$19,ROW()+1)))</f>
        <v>6500</v>
      </c>
      <c r="E21" s="1" cm="1">
        <f t="array" aca="1" ref="E21" ca="1">IF(ISBLANK(INDIRECT(CONCATENATE("Input!",RSE_Setup!$B$26,ROW()+1))),"",INDIRECT(CONCATENATE("Input!",RSE_Setup!$B$26,ROW()+1)))</f>
        <v>230.41570100000001</v>
      </c>
      <c r="F21" s="1">
        <f ca="1"/>
        <v>234.78851573159409</v>
      </c>
    </row>
    <row r="22" spans="1:6" x14ac:dyDescent="0.3">
      <c r="A22" s="1" cm="1">
        <f t="array" aca="1" ref="A22" ca="1">IF(ISBLANK(INDIRECT(CONCATENATE("Input!",RSE_Setup!$B$16,ROW()+1))),"",INDIRECT(CONCATENATE("Input!",RSE_Setup!$B$16,ROW()+1)))</f>
        <v>2.9999999999999997E-4</v>
      </c>
      <c r="B22" s="1" cm="1">
        <f t="array" aca="1" ref="B22" ca="1">IF(ISBLANK(INDIRECT(CONCATENATE("Input!",RSE_Setup!$B$17,ROW()+1))),"",INDIRECT(CONCATENATE("Input!",RSE_Setup!$B$17,ROW()+1)))</f>
        <v>4.0000000000000001E-3</v>
      </c>
      <c r="C22" s="1" cm="1">
        <f t="array" aca="1" ref="C22" ca="1">IF(ISBLANK(INDIRECT(CONCATENATE("Input!",RSE_Setup!$B$18,ROW()+1))),"",INDIRECT(CONCATENATE("Input!",RSE_Setup!$B$18,ROW()+1)))</f>
        <v>3.2258000000000002E-2</v>
      </c>
      <c r="D22" s="1" cm="1">
        <f t="array" aca="1" ref="D22" ca="1">IF(ISBLANK(INDIRECT(CONCATENATE("Input!",RSE_Setup!$B$19,ROW()+1))),"",INDIRECT(CONCATENATE("Input!",RSE_Setup!$B$19,ROW()+1)))</f>
        <v>5250</v>
      </c>
      <c r="E22" s="1" cm="1">
        <f t="array" aca="1" ref="E22" ca="1">IF(ISBLANK(INDIRECT(CONCATENATE("Input!",RSE_Setup!$B$26,ROW()+1))),"",INDIRECT(CONCATENATE("Input!",RSE_Setup!$B$26,ROW()+1)))</f>
        <v>222.90867299999999</v>
      </c>
      <c r="F22" s="1">
        <f ca="1"/>
        <v>224.40695094613523</v>
      </c>
    </row>
    <row r="23" spans="1:6" x14ac:dyDescent="0.3">
      <c r="A23" s="1" cm="1">
        <f t="array" aca="1" ref="A23" ca="1">IF(ISBLANK(INDIRECT(CONCATENATE("Input!",RSE_Setup!$B$16,ROW()+1))),"",INDIRECT(CONCATENATE("Input!",RSE_Setup!$B$16,ROW()+1)))</f>
        <v>2.9999999999999997E-4</v>
      </c>
      <c r="B23" s="1" cm="1">
        <f t="array" aca="1" ref="B23" ca="1">IF(ISBLANK(INDIRECT(CONCATENATE("Input!",RSE_Setup!$B$17,ROW()+1))),"",INDIRECT(CONCATENATE("Input!",RSE_Setup!$B$17,ROW()+1)))</f>
        <v>4.0000000000000001E-3</v>
      </c>
      <c r="C23" s="1" cm="1">
        <f t="array" aca="1" ref="C23" ca="1">IF(ISBLANK(INDIRECT(CONCATENATE("Input!",RSE_Setup!$B$18,ROW()+1))),"",INDIRECT(CONCATENATE("Input!",RSE_Setup!$B$18,ROW()+1)))</f>
        <v>3.2258000000000002E-2</v>
      </c>
      <c r="D23" s="1" cm="1">
        <f t="array" aca="1" ref="D23" ca="1">IF(ISBLANK(INDIRECT(CONCATENATE("Input!",RSE_Setup!$B$19,ROW()+1))),"",INDIRECT(CONCATENATE("Input!",RSE_Setup!$B$19,ROW()+1)))</f>
        <v>6500</v>
      </c>
      <c r="E23" s="1" cm="1">
        <f t="array" aca="1" ref="E23" ca="1">IF(ISBLANK(INDIRECT(CONCATENATE("Input!",RSE_Setup!$B$26,ROW()+1))),"",INDIRECT(CONCATENATE("Input!",RSE_Setup!$B$26,ROW()+1)))</f>
        <v>270.066192</v>
      </c>
      <c r="F23" s="1">
        <f ca="1"/>
        <v>275.40154111121177</v>
      </c>
    </row>
    <row r="24" spans="1:6" x14ac:dyDescent="0.3">
      <c r="A24" s="1" cm="1">
        <f t="array" aca="1" ref="A24" ca="1">IF(ISBLANK(INDIRECT(CONCATENATE("Input!",RSE_Setup!$B$16,ROW()+1))),"",INDIRECT(CONCATENATE("Input!",RSE_Setup!$B$16,ROW()+1)))</f>
        <v>5.0000000000000001E-4</v>
      </c>
      <c r="B24" s="1" cm="1">
        <f t="array" aca="1" ref="B24" ca="1">IF(ISBLANK(INDIRECT(CONCATENATE("Input!",RSE_Setup!$B$17,ROW()+1))),"",INDIRECT(CONCATENATE("Input!",RSE_Setup!$B$17,ROW()+1)))</f>
        <v>3.0000000000000001E-3</v>
      </c>
      <c r="C24" s="1" cm="1">
        <f t="array" aca="1" ref="C24" ca="1">IF(ISBLANK(INDIRECT(CONCATENATE("Input!",RSE_Setup!$B$18,ROW()+1))),"",INDIRECT(CONCATENATE("Input!",RSE_Setup!$B$18,ROW()+1)))</f>
        <v>5.5556000000000001E-2</v>
      </c>
      <c r="D24" s="1" cm="1">
        <f t="array" aca="1" ref="D24" ca="1">IF(ISBLANK(INDIRECT(CONCATENATE("Input!",RSE_Setup!$B$19,ROW()+1))),"",INDIRECT(CONCATENATE("Input!",RSE_Setup!$B$19,ROW()+1)))</f>
        <v>3750</v>
      </c>
      <c r="E24" s="1" cm="1">
        <f t="array" aca="1" ref="E24" ca="1">IF(ISBLANK(INDIRECT(CONCATENATE("Input!",RSE_Setup!$B$26,ROW()+1))),"",INDIRECT(CONCATENATE("Input!",RSE_Setup!$B$26,ROW()+1)))</f>
        <v>157.34275500000001</v>
      </c>
      <c r="F24" s="1">
        <f ca="1"/>
        <v>160.15134137111568</v>
      </c>
    </row>
    <row r="25" spans="1:6" x14ac:dyDescent="0.3">
      <c r="A25" s="1" cm="1">
        <f t="array" aca="1" ref="A25" ca="1">IF(ISBLANK(INDIRECT(CONCATENATE("Input!",RSE_Setup!$B$16,ROW()+1))),"",INDIRECT(CONCATENATE("Input!",RSE_Setup!$B$16,ROW()+1)))</f>
        <v>5.0000000000000001E-4</v>
      </c>
      <c r="B25" s="1" cm="1">
        <f t="array" aca="1" ref="B25" ca="1">IF(ISBLANK(INDIRECT(CONCATENATE("Input!",RSE_Setup!$B$17,ROW()+1))),"",INDIRECT(CONCATENATE("Input!",RSE_Setup!$B$17,ROW()+1)))</f>
        <v>3.0000000000000001E-3</v>
      </c>
      <c r="C25" s="1" cm="1">
        <f t="array" aca="1" ref="C25" ca="1">IF(ISBLANK(INDIRECT(CONCATENATE("Input!",RSE_Setup!$B$18,ROW()+1))),"",INDIRECT(CONCATENATE("Input!",RSE_Setup!$B$18,ROW()+1)))</f>
        <v>3.2258000000000002E-2</v>
      </c>
      <c r="D25" s="1" cm="1">
        <f t="array" aca="1" ref="D25" ca="1">IF(ISBLANK(INDIRECT(CONCATENATE("Input!",RSE_Setup!$B$19,ROW()+1))),"",INDIRECT(CONCATENATE("Input!",RSE_Setup!$B$19,ROW()+1)))</f>
        <v>3750</v>
      </c>
      <c r="E25" s="1" cm="1">
        <f t="array" aca="1" ref="E25" ca="1">IF(ISBLANK(INDIRECT(CONCATENATE("Input!",RSE_Setup!$B$26,ROW()+1))),"",INDIRECT(CONCATENATE("Input!",RSE_Setup!$B$26,ROW()+1)))</f>
        <v>148.020883</v>
      </c>
      <c r="F25" s="1">
        <f ca="1"/>
        <v>146.16351552886624</v>
      </c>
    </row>
    <row r="26" spans="1:6" x14ac:dyDescent="0.3">
      <c r="A26" s="1" cm="1">
        <f t="array" aca="1" ref="A26" ca="1">IF(ISBLANK(INDIRECT(CONCATENATE("Input!",RSE_Setup!$B$16,ROW()+1))),"",INDIRECT(CONCATENATE("Input!",RSE_Setup!$B$16,ROW()+1)))</f>
        <v>5.0000000000000001E-4</v>
      </c>
      <c r="B26" s="1" cm="1">
        <f t="array" aca="1" ref="B26" ca="1">IF(ISBLANK(INDIRECT(CONCATENATE("Input!",RSE_Setup!$B$17,ROW()+1))),"",INDIRECT(CONCATENATE("Input!",RSE_Setup!$B$17,ROW()+1)))</f>
        <v>3.0000000000000001E-3</v>
      </c>
      <c r="C26" s="1" cm="1">
        <f t="array" aca="1" ref="C26" ca="1">IF(ISBLANK(INDIRECT(CONCATENATE("Input!",RSE_Setup!$B$18,ROW()+1))),"",INDIRECT(CONCATENATE("Input!",RSE_Setup!$B$18,ROW()+1)))</f>
        <v>3.2258000000000002E-2</v>
      </c>
      <c r="D26" s="1" cm="1">
        <f t="array" aca="1" ref="D26" ca="1">IF(ISBLANK(INDIRECT(CONCATENATE("Input!",RSE_Setup!$B$19,ROW()+1))),"",INDIRECT(CONCATENATE("Input!",RSE_Setup!$B$19,ROW()+1)))</f>
        <v>5250</v>
      </c>
      <c r="E26" s="1" cm="1">
        <f t="array" aca="1" ref="E26" ca="1">IF(ISBLANK(INDIRECT(CONCATENATE("Input!",RSE_Setup!$B$26,ROW()+1))),"",INDIRECT(CONCATENATE("Input!",RSE_Setup!$B$26,ROW()+1)))</f>
        <v>198.56678400000001</v>
      </c>
      <c r="F26" s="1">
        <f ca="1"/>
        <v>200.42903791464826</v>
      </c>
    </row>
    <row r="27" spans="1:6" x14ac:dyDescent="0.3">
      <c r="A27" s="1" cm="1">
        <f t="array" aca="1" ref="A27" ca="1">IF(ISBLANK(INDIRECT(CONCATENATE("Input!",RSE_Setup!$B$16,ROW()+1))),"",INDIRECT(CONCATENATE("Input!",RSE_Setup!$B$16,ROW()+1)))</f>
        <v>5.0000000000000001E-4</v>
      </c>
      <c r="B27" s="1" cm="1">
        <f t="array" aca="1" ref="B27" ca="1">IF(ISBLANK(INDIRECT(CONCATENATE("Input!",RSE_Setup!$B$17,ROW()+1))),"",INDIRECT(CONCATENATE("Input!",RSE_Setup!$B$17,ROW()+1)))</f>
        <v>3.0000000000000001E-3</v>
      </c>
      <c r="C27" s="1" cm="1">
        <f t="array" aca="1" ref="C27" ca="1">IF(ISBLANK(INDIRECT(CONCATENATE("Input!",RSE_Setup!$B$18,ROW()+1))),"",INDIRECT(CONCATENATE("Input!",RSE_Setup!$B$18,ROW()+1)))</f>
        <v>3.2258000000000002E-2</v>
      </c>
      <c r="D27" s="1" cm="1">
        <f t="array" aca="1" ref="D27" ca="1">IF(ISBLANK(INDIRECT(CONCATENATE("Input!",RSE_Setup!$B$19,ROW()+1))),"",INDIRECT(CONCATENATE("Input!",RSE_Setup!$B$19,ROW()+1)))</f>
        <v>6500</v>
      </c>
      <c r="E27" s="1" cm="1">
        <f t="array" aca="1" ref="E27" ca="1">IF(ISBLANK(INDIRECT(CONCATENATE("Input!",RSE_Setup!$B$26,ROW()+1))),"",INDIRECT(CONCATENATE("Input!",RSE_Setup!$B$26,ROW()+1)))</f>
        <v>240.79606100000001</v>
      </c>
      <c r="F27" s="1">
        <f ca="1"/>
        <v>245.54326842223202</v>
      </c>
    </row>
    <row r="28" spans="1:6" x14ac:dyDescent="0.3">
      <c r="A28" s="1" cm="1">
        <f t="array" aca="1" ref="A28" ca="1">IF(ISBLANK(INDIRECT(CONCATENATE("Input!",RSE_Setup!$B$16,ROW()+1))),"",INDIRECT(CONCATENATE("Input!",RSE_Setup!$B$16,ROW()+1)))</f>
        <v>5.0000000000000001E-4</v>
      </c>
      <c r="B28" s="1" cm="1">
        <f t="array" aca="1" ref="B28" ca="1">IF(ISBLANK(INDIRECT(CONCATENATE("Input!",RSE_Setup!$B$17,ROW()+1))),"",INDIRECT(CONCATENATE("Input!",RSE_Setup!$B$17,ROW()+1)))</f>
        <v>4.7499999999999999E-3</v>
      </c>
      <c r="C28" s="1" cm="1">
        <f t="array" aca="1" ref="C28" ca="1">IF(ISBLANK(INDIRECT(CONCATENATE("Input!",RSE_Setup!$B$18,ROW()+1))),"",INDIRECT(CONCATENATE("Input!",RSE_Setup!$B$18,ROW()+1)))</f>
        <v>5.5556000000000001E-2</v>
      </c>
      <c r="D28" s="1" cm="1">
        <f t="array" aca="1" ref="D28" ca="1">IF(ISBLANK(INDIRECT(CONCATENATE("Input!",RSE_Setup!$B$19,ROW()+1))),"",INDIRECT(CONCATENATE("Input!",RSE_Setup!$B$19,ROW()+1)))</f>
        <v>3000</v>
      </c>
      <c r="E28" s="1" cm="1">
        <f t="array" aca="1" ref="E28" ca="1">IF(ISBLANK(INDIRECT(CONCATENATE("Input!",RSE_Setup!$B$26,ROW()+1))),"",INDIRECT(CONCATENATE("Input!",RSE_Setup!$B$26,ROW()+1)))</f>
        <v>160.820548</v>
      </c>
      <c r="F28" s="1">
        <f ca="1"/>
        <v>161.52494229808127</v>
      </c>
    </row>
    <row r="29" spans="1:6" x14ac:dyDescent="0.3">
      <c r="A29" s="1" cm="1">
        <f t="array" aca="1" ref="A29" ca="1">IF(ISBLANK(INDIRECT(CONCATENATE("Input!",RSE_Setup!$B$16,ROW()+1))),"",INDIRECT(CONCATENATE("Input!",RSE_Setup!$B$16,ROW()+1)))</f>
        <v>5.0000000000000001E-4</v>
      </c>
      <c r="B29" s="1" cm="1">
        <f t="array" aca="1" ref="B29" ca="1">IF(ISBLANK(INDIRECT(CONCATENATE("Input!",RSE_Setup!$B$17,ROW()+1))),"",INDIRECT(CONCATENATE("Input!",RSE_Setup!$B$17,ROW()+1)))</f>
        <v>4.7499999999999999E-3</v>
      </c>
      <c r="C29" s="1" cm="1">
        <f t="array" aca="1" ref="C29" ca="1">IF(ISBLANK(INDIRECT(CONCATENATE("Input!",RSE_Setup!$B$18,ROW()+1))),"",INDIRECT(CONCATENATE("Input!",RSE_Setup!$B$18,ROW()+1)))</f>
        <v>5.5556000000000001E-2</v>
      </c>
      <c r="D29" s="1" cm="1">
        <f t="array" aca="1" ref="D29" ca="1">IF(ISBLANK(INDIRECT(CONCATENATE("Input!",RSE_Setup!$B$19,ROW()+1))),"",INDIRECT(CONCATENATE("Input!",RSE_Setup!$B$19,ROW()+1)))</f>
        <v>3750</v>
      </c>
      <c r="E29" s="1" cm="1">
        <f t="array" aca="1" ref="E29" ca="1">IF(ISBLANK(INDIRECT(CONCATENATE("Input!",RSE_Setup!$B$26,ROW()+1))),"",INDIRECT(CONCATENATE("Input!",RSE_Setup!$B$26,ROW()+1)))</f>
        <v>196.48507000000001</v>
      </c>
      <c r="F29" s="1">
        <f ca="1"/>
        <v>198.81345001275696</v>
      </c>
    </row>
    <row r="30" spans="1:6" x14ac:dyDescent="0.3">
      <c r="A30" s="1" cm="1">
        <f t="array" aca="1" ref="A30" ca="1">IF(ISBLANK(INDIRECT(CONCATENATE("Input!",RSE_Setup!$B$16,ROW()+1))),"",INDIRECT(CONCATENATE("Input!",RSE_Setup!$B$16,ROW()+1)))</f>
        <v>5.0000000000000001E-4</v>
      </c>
      <c r="B30" s="1" cm="1">
        <f t="array" aca="1" ref="B30" ca="1">IF(ISBLANK(INDIRECT(CONCATENATE("Input!",RSE_Setup!$B$17,ROW()+1))),"",INDIRECT(CONCATENATE("Input!",RSE_Setup!$B$17,ROW()+1)))</f>
        <v>4.7499999999999999E-3</v>
      </c>
      <c r="C30" s="1" cm="1">
        <f t="array" aca="1" ref="C30" ca="1">IF(ISBLANK(INDIRECT(CONCATENATE("Input!",RSE_Setup!$B$18,ROW()+1))),"",INDIRECT(CONCATENATE("Input!",RSE_Setup!$B$18,ROW()+1)))</f>
        <v>3.2258000000000002E-2</v>
      </c>
      <c r="D30" s="1" cm="1">
        <f t="array" aca="1" ref="D30" ca="1">IF(ISBLANK(INDIRECT(CONCATENATE("Input!",RSE_Setup!$B$19,ROW()+1))),"",INDIRECT(CONCATENATE("Input!",RSE_Setup!$B$19,ROW()+1)))</f>
        <v>3750</v>
      </c>
      <c r="E30" s="1" cm="1">
        <f t="array" aca="1" ref="E30" ca="1">IF(ISBLANK(INDIRECT(CONCATENATE("Input!",RSE_Setup!$B$26,ROW()+1))),"",INDIRECT(CONCATENATE("Input!",RSE_Setup!$B$26,ROW()+1)))</f>
        <v>189.91580400000001</v>
      </c>
      <c r="F30" s="1">
        <f ca="1"/>
        <v>187.13343670097038</v>
      </c>
    </row>
    <row r="31" spans="1:6" x14ac:dyDescent="0.3">
      <c r="A31" s="1" cm="1">
        <f t="array" aca="1" ref="A31" ca="1">IF(ISBLANK(INDIRECT(CONCATENATE("Input!",RSE_Setup!$B$16,ROW()+1))),"",INDIRECT(CONCATENATE("Input!",RSE_Setup!$B$16,ROW()+1)))</f>
        <v>5.0000000000000001E-4</v>
      </c>
      <c r="B31" s="1" cm="1">
        <f t="array" aca="1" ref="B31" ca="1">IF(ISBLANK(INDIRECT(CONCATENATE("Input!",RSE_Setup!$B$17,ROW()+1))),"",INDIRECT(CONCATENATE("Input!",RSE_Setup!$B$17,ROW()+1)))</f>
        <v>4.7499999999999999E-3</v>
      </c>
      <c r="C31" s="1" cm="1">
        <f t="array" aca="1" ref="C31" ca="1">IF(ISBLANK(INDIRECT(CONCATENATE("Input!",RSE_Setup!$B$18,ROW()+1))),"",INDIRECT(CONCATENATE("Input!",RSE_Setup!$B$18,ROW()+1)))</f>
        <v>3.2258000000000002E-2</v>
      </c>
      <c r="D31" s="1" cm="1">
        <f t="array" aca="1" ref="D31" ca="1">IF(ISBLANK(INDIRECT(CONCATENATE("Input!",RSE_Setup!$B$19,ROW()+1))),"",INDIRECT(CONCATENATE("Input!",RSE_Setup!$B$19,ROW()+1)))</f>
        <v>5250</v>
      </c>
      <c r="E31" s="1" cm="1">
        <f t="array" aca="1" ref="E31" ca="1">IF(ISBLANK(INDIRECT(CONCATENATE("Input!",RSE_Setup!$B$26,ROW()+1))),"",INDIRECT(CONCATENATE("Input!",RSE_Setup!$B$26,ROW()+1)))</f>
        <v>257.73246699999999</v>
      </c>
      <c r="F31" s="1">
        <f ca="1"/>
        <v>258.36781300111812</v>
      </c>
    </row>
    <row r="32" spans="1:6" x14ac:dyDescent="0.3">
      <c r="A32" s="1" cm="1">
        <f t="array" aca="1" ref="A32" ca="1">IF(ISBLANK(INDIRECT(CONCATENATE("Input!",RSE_Setup!$B$16,ROW()+1))),"",INDIRECT(CONCATENATE("Input!",RSE_Setup!$B$16,ROW()+1)))</f>
        <v>5.0000000000000001E-4</v>
      </c>
      <c r="B32" s="1" cm="1">
        <f t="array" aca="1" ref="B32" ca="1">IF(ISBLANK(INDIRECT(CONCATENATE("Input!",RSE_Setup!$B$17,ROW()+1))),"",INDIRECT(CONCATENATE("Input!",RSE_Setup!$B$17,ROW()+1)))</f>
        <v>4.7499999999999999E-3</v>
      </c>
      <c r="C32" s="1" cm="1">
        <f t="array" aca="1" ref="C32" ca="1">IF(ISBLANK(INDIRECT(CONCATENATE("Input!",RSE_Setup!$B$18,ROW()+1))),"",INDIRECT(CONCATENATE("Input!",RSE_Setup!$B$18,ROW()+1)))</f>
        <v>3.2258000000000002E-2</v>
      </c>
      <c r="D32" s="1" cm="1">
        <f t="array" aca="1" ref="D32" ca="1">IF(ISBLANK(INDIRECT(CONCATENATE("Input!",RSE_Setup!$B$19,ROW()+1))),"",INDIRECT(CONCATENATE("Input!",RSE_Setup!$B$19,ROW()+1)))</f>
        <v>6500</v>
      </c>
      <c r="E32" s="1" cm="1">
        <f t="array" aca="1" ref="E32" ca="1">IF(ISBLANK(INDIRECT(CONCATENATE("Input!",RSE_Setup!$B$26,ROW()+1))),"",INDIRECT(CONCATENATE("Input!",RSE_Setup!$B$26,ROW()+1)))</f>
        <v>312.44264800000002</v>
      </c>
      <c r="F32" s="1">
        <f ca="1"/>
        <v>317.62275510400661</v>
      </c>
    </row>
    <row r="33" spans="1:6" x14ac:dyDescent="0.3">
      <c r="A33" s="1" cm="1">
        <f t="array" aca="1" ref="A33" ca="1">IF(ISBLANK(INDIRECT(CONCATENATE("Input!",RSE_Setup!$B$16,ROW()+1))),"",INDIRECT(CONCATENATE("Input!",RSE_Setup!$B$16,ROW()+1)))</f>
        <v>5.0000000000000001E-4</v>
      </c>
      <c r="B33" s="1" cm="1">
        <f t="array" aca="1" ref="B33" ca="1">IF(ISBLANK(INDIRECT(CONCATENATE("Input!",RSE_Setup!$B$17,ROW()+1))),"",INDIRECT(CONCATENATE("Input!",RSE_Setup!$B$17,ROW()+1)))</f>
        <v>6.4999999999999997E-3</v>
      </c>
      <c r="C33" s="1" cm="1">
        <f t="array" aca="1" ref="C33" ca="1">IF(ISBLANK(INDIRECT(CONCATENATE("Input!",RSE_Setup!$B$18,ROW()+1))),"",INDIRECT(CONCATENATE("Input!",RSE_Setup!$B$18,ROW()+1)))</f>
        <v>5.5556000000000001E-2</v>
      </c>
      <c r="D33" s="1" cm="1">
        <f t="array" aca="1" ref="D33" ca="1">IF(ISBLANK(INDIRECT(CONCATENATE("Input!",RSE_Setup!$B$19,ROW()+1))),"",INDIRECT(CONCATENATE("Input!",RSE_Setup!$B$19,ROW()+1)))</f>
        <v>3000</v>
      </c>
      <c r="E33" s="1" cm="1">
        <f t="array" aca="1" ref="E33" ca="1">IF(ISBLANK(INDIRECT(CONCATENATE("Input!",RSE_Setup!$B$26,ROW()+1))),"",INDIRECT(CONCATENATE("Input!",RSE_Setup!$B$26,ROW()+1)))</f>
        <v>193.70886400000001</v>
      </c>
      <c r="F33" s="1">
        <f ca="1"/>
        <v>195.35490177577216</v>
      </c>
    </row>
    <row r="34" spans="1:6" x14ac:dyDescent="0.3">
      <c r="A34" s="1" cm="1">
        <f t="array" aca="1" ref="A34" ca="1">IF(ISBLANK(INDIRECT(CONCATENATE("Input!",RSE_Setup!$B$16,ROW()+1))),"",INDIRECT(CONCATENATE("Input!",RSE_Setup!$B$16,ROW()+1)))</f>
        <v>5.0000000000000001E-4</v>
      </c>
      <c r="B34" s="1" cm="1">
        <f t="array" aca="1" ref="B34" ca="1">IF(ISBLANK(INDIRECT(CONCATENATE("Input!",RSE_Setup!$B$17,ROW()+1))),"",INDIRECT(CONCATENATE("Input!",RSE_Setup!$B$17,ROW()+1)))</f>
        <v>6.4999999999999997E-3</v>
      </c>
      <c r="C34" s="1" cm="1">
        <f t="array" aca="1" ref="C34" ca="1">IF(ISBLANK(INDIRECT(CONCATENATE("Input!",RSE_Setup!$B$18,ROW()+1))),"",INDIRECT(CONCATENATE("Input!",RSE_Setup!$B$18,ROW()+1)))</f>
        <v>5.5556000000000001E-2</v>
      </c>
      <c r="D34" s="1" cm="1">
        <f t="array" aca="1" ref="D34" ca="1">IF(ISBLANK(INDIRECT(CONCATENATE("Input!",RSE_Setup!$B$19,ROW()+1))),"",INDIRECT(CONCATENATE("Input!",RSE_Setup!$B$19,ROW()+1)))</f>
        <v>3750</v>
      </c>
      <c r="E34" s="1" cm="1">
        <f t="array" aca="1" ref="E34" ca="1">IF(ISBLANK(INDIRECT(CONCATENATE("Input!",RSE_Setup!$B$26,ROW()+1))),"",INDIRECT(CONCATENATE("Input!",RSE_Setup!$B$26,ROW()+1)))</f>
        <v>235.697835</v>
      </c>
      <c r="F34" s="1">
        <f ca="1"/>
        <v>241.12783644763073</v>
      </c>
    </row>
    <row r="35" spans="1:6" x14ac:dyDescent="0.3">
      <c r="A35" s="1" cm="1">
        <f t="array" aca="1" ref="A35" ca="1">IF(ISBLANK(INDIRECT(CONCATENATE("Input!",RSE_Setup!$B$16,ROW()+1))),"",INDIRECT(CONCATENATE("Input!",RSE_Setup!$B$16,ROW()+1)))</f>
        <v>5.0000000000000001E-4</v>
      </c>
      <c r="B35" s="1" cm="1">
        <f t="array" aca="1" ref="B35" ca="1">IF(ISBLANK(INDIRECT(CONCATENATE("Input!",RSE_Setup!$B$17,ROW()+1))),"",INDIRECT(CONCATENATE("Input!",RSE_Setup!$B$17,ROW()+1)))</f>
        <v>6.4999999999999997E-3</v>
      </c>
      <c r="C35" s="1" cm="1">
        <f t="array" aca="1" ref="C35" ca="1">IF(ISBLANK(INDIRECT(CONCATENATE("Input!",RSE_Setup!$B$18,ROW()+1))),"",INDIRECT(CONCATENATE("Input!",RSE_Setup!$B$18,ROW()+1)))</f>
        <v>3.2258000000000002E-2</v>
      </c>
      <c r="D35" s="1" cm="1">
        <f t="array" aca="1" ref="D35" ca="1">IF(ISBLANK(INDIRECT(CONCATENATE("Input!",RSE_Setup!$B$19,ROW()+1))),"",INDIRECT(CONCATENATE("Input!",RSE_Setup!$B$19,ROW()+1)))</f>
        <v>3750</v>
      </c>
      <c r="E35" s="1" cm="1">
        <f t="array" aca="1" ref="E35" ca="1">IF(ISBLANK(INDIRECT(CONCATENATE("Input!",RSE_Setup!$B$26,ROW()+1))),"",INDIRECT(CONCATENATE("Input!",RSE_Setup!$B$26,ROW()+1)))</f>
        <v>233.27391700000001</v>
      </c>
      <c r="F35" s="1">
        <f ca="1"/>
        <v>231.75563566630697</v>
      </c>
    </row>
    <row r="36" spans="1:6" x14ac:dyDescent="0.3">
      <c r="A36" s="1" cm="1">
        <f t="array" aca="1" ref="A36" ca="1">IF(ISBLANK(INDIRECT(CONCATENATE("Input!",RSE_Setup!$B$16,ROW()+1))),"",INDIRECT(CONCATENATE("Input!",RSE_Setup!$B$16,ROW()+1)))</f>
        <v>5.0000000000000001E-4</v>
      </c>
      <c r="B36" s="1" cm="1">
        <f t="array" aca="1" ref="B36" ca="1">IF(ISBLANK(INDIRECT(CONCATENATE("Input!",RSE_Setup!$B$17,ROW()+1))),"",INDIRECT(CONCATENATE("Input!",RSE_Setup!$B$17,ROW()+1)))</f>
        <v>6.4999999999999997E-3</v>
      </c>
      <c r="C36" s="1" cm="1">
        <f t="array" aca="1" ref="C36" ca="1">IF(ISBLANK(INDIRECT(CONCATENATE("Input!",RSE_Setup!$B$18,ROW()+1))),"",INDIRECT(CONCATENATE("Input!",RSE_Setup!$B$18,ROW()+1)))</f>
        <v>3.2258000000000002E-2</v>
      </c>
      <c r="D36" s="1" cm="1">
        <f t="array" aca="1" ref="D36" ca="1">IF(ISBLANK(INDIRECT(CONCATENATE("Input!",RSE_Setup!$B$19,ROW()+1))),"",INDIRECT(CONCATENATE("Input!",RSE_Setup!$B$19,ROW()+1)))</f>
        <v>5250</v>
      </c>
      <c r="E36" s="1" cm="1">
        <f t="array" aca="1" ref="E36" ca="1">IF(ISBLANK(INDIRECT(CONCATENATE("Input!",RSE_Setup!$B$26,ROW()+1))),"",INDIRECT(CONCATENATE("Input!",RSE_Setup!$B$26,ROW()+1)))</f>
        <v>321.85017800000003</v>
      </c>
      <c r="F36" s="1">
        <f ca="1"/>
        <v>319.95886588082044</v>
      </c>
    </row>
    <row r="37" spans="1:6" x14ac:dyDescent="0.3">
      <c r="A37" s="1" cm="1">
        <f t="array" aca="1" ref="A37" ca="1">IF(ISBLANK(INDIRECT(CONCATENATE("Input!",RSE_Setup!$B$16,ROW()+1))),"",INDIRECT(CONCATENATE("Input!",RSE_Setup!$B$16,ROW()+1)))</f>
        <v>5.0000000000000001E-4</v>
      </c>
      <c r="B37" s="1" cm="1">
        <f t="array" aca="1" ref="B37" ca="1">IF(ISBLANK(INDIRECT(CONCATENATE("Input!",RSE_Setup!$B$17,ROW()+1))),"",INDIRECT(CONCATENATE("Input!",RSE_Setup!$B$17,ROW()+1)))</f>
        <v>6.4999999999999997E-3</v>
      </c>
      <c r="C37" s="1" cm="1">
        <f t="array" aca="1" ref="C37" ca="1">IF(ISBLANK(INDIRECT(CONCATENATE("Input!",RSE_Setup!$B$18,ROW()+1))),"",INDIRECT(CONCATENATE("Input!",RSE_Setup!$B$18,ROW()+1)))</f>
        <v>3.2258000000000002E-2</v>
      </c>
      <c r="D37" s="1" cm="1">
        <f t="array" aca="1" ref="D37" ca="1">IF(ISBLANK(INDIRECT(CONCATENATE("Input!",RSE_Setup!$B$19,ROW()+1))),"",INDIRECT(CONCATENATE("Input!",RSE_Setup!$B$19,ROW()+1)))</f>
        <v>6500</v>
      </c>
      <c r="E37" s="1" cm="1">
        <f t="array" aca="1" ref="E37" ca="1">IF(ISBLANK(INDIRECT(CONCATENATE("Input!",RSE_Setup!$B$26,ROW()+1))),"",INDIRECT(CONCATENATE("Input!",RSE_Setup!$B$26,ROW()+1)))</f>
        <v>393.99063799999999</v>
      </c>
      <c r="F37" s="1">
        <f ca="1"/>
        <v>393.3545195790137</v>
      </c>
    </row>
    <row r="38" spans="1:6" x14ac:dyDescent="0.3">
      <c r="A38" s="1" cm="1">
        <f t="array" aca="1" ref="A38" ca="1">IF(ISBLANK(INDIRECT(CONCATENATE("Input!",RSE_Setup!$B$16,ROW()+1))),"",INDIRECT(CONCATENATE("Input!",RSE_Setup!$B$16,ROW()+1)))</f>
        <v>7.5000000000000002E-4</v>
      </c>
      <c r="B38" s="1" cm="1">
        <f t="array" aca="1" ref="B38" ca="1">IF(ISBLANK(INDIRECT(CONCATENATE("Input!",RSE_Setup!$B$17,ROW()+1))),"",INDIRECT(CONCATENATE("Input!",RSE_Setup!$B$17,ROW()+1)))</f>
        <v>4.0000000000000001E-3</v>
      </c>
      <c r="C38" s="1" cm="1">
        <f t="array" aca="1" ref="C38" ca="1">IF(ISBLANK(INDIRECT(CONCATENATE("Input!",RSE_Setup!$B$18,ROW()+1))),"",INDIRECT(CONCATENATE("Input!",RSE_Setup!$B$18,ROW()+1)))</f>
        <v>5.5556000000000001E-2</v>
      </c>
      <c r="D38" s="1" cm="1">
        <f t="array" aca="1" ref="D38" ca="1">IF(ISBLANK(INDIRECT(CONCATENATE("Input!",RSE_Setup!$B$19,ROW()+1))),"",INDIRECT(CONCATENATE("Input!",RSE_Setup!$B$19,ROW()+1)))</f>
        <v>3750</v>
      </c>
      <c r="E38" s="1" cm="1">
        <f t="array" aca="1" ref="E38" ca="1">IF(ISBLANK(INDIRECT(CONCATENATE("Input!",RSE_Setup!$B$26,ROW()+1))),"",INDIRECT(CONCATENATE("Input!",RSE_Setup!$B$26,ROW()+1)))</f>
        <v>186.875641</v>
      </c>
      <c r="F38" s="1">
        <f ca="1"/>
        <v>189.3774041812907</v>
      </c>
    </row>
    <row r="39" spans="1:6" x14ac:dyDescent="0.3">
      <c r="A39" s="1" cm="1">
        <f t="array" aca="1" ref="A39" ca="1">IF(ISBLANK(INDIRECT(CONCATENATE("Input!",RSE_Setup!$B$16,ROW()+1))),"",INDIRECT(CONCATENATE("Input!",RSE_Setup!$B$16,ROW()+1)))</f>
        <v>7.5000000000000002E-4</v>
      </c>
      <c r="B39" s="1" cm="1">
        <f t="array" aca="1" ref="B39" ca="1">IF(ISBLANK(INDIRECT(CONCATENATE("Input!",RSE_Setup!$B$17,ROW()+1))),"",INDIRECT(CONCATENATE("Input!",RSE_Setup!$B$17,ROW()+1)))</f>
        <v>4.0000000000000001E-3</v>
      </c>
      <c r="C39" s="1" cm="1">
        <f t="array" aca="1" ref="C39" ca="1">IF(ISBLANK(INDIRECT(CONCATENATE("Input!",RSE_Setup!$B$18,ROW()+1))),"",INDIRECT(CONCATENATE("Input!",RSE_Setup!$B$18,ROW()+1)))</f>
        <v>3.2258000000000002E-2</v>
      </c>
      <c r="D39" s="1" cm="1">
        <f t="array" aca="1" ref="D39" ca="1">IF(ISBLANK(INDIRECT(CONCATENATE("Input!",RSE_Setup!$B$19,ROW()+1))),"",INDIRECT(CONCATENATE("Input!",RSE_Setup!$B$19,ROW()+1)))</f>
        <v>3750</v>
      </c>
      <c r="E39" s="1" cm="1">
        <f t="array" aca="1" ref="E39" ca="1">IF(ISBLANK(INDIRECT(CONCATENATE("Input!",RSE_Setup!$B$26,ROW()+1))),"",INDIRECT(CONCATENATE("Input!",RSE_Setup!$B$26,ROW()+1)))</f>
        <v>179.895769</v>
      </c>
      <c r="F39" s="1">
        <f ca="1"/>
        <v>177.08306153111019</v>
      </c>
    </row>
    <row r="40" spans="1:6" x14ac:dyDescent="0.3">
      <c r="A40" s="1" cm="1">
        <f t="array" aca="1" ref="A40" ca="1">IF(ISBLANK(INDIRECT(CONCATENATE("Input!",RSE_Setup!$B$16,ROW()+1))),"",INDIRECT(CONCATENATE("Input!",RSE_Setup!$B$16,ROW()+1)))</f>
        <v>7.5000000000000002E-4</v>
      </c>
      <c r="B40" s="1" cm="1">
        <f t="array" aca="1" ref="B40" ca="1">IF(ISBLANK(INDIRECT(CONCATENATE("Input!",RSE_Setup!$B$17,ROW()+1))),"",INDIRECT(CONCATENATE("Input!",RSE_Setup!$B$17,ROW()+1)))</f>
        <v>4.0000000000000001E-3</v>
      </c>
      <c r="C40" s="1" cm="1">
        <f t="array" aca="1" ref="C40" ca="1">IF(ISBLANK(INDIRECT(CONCATENATE("Input!",RSE_Setup!$B$18,ROW()+1))),"",INDIRECT(CONCATENATE("Input!",RSE_Setup!$B$18,ROW()+1)))</f>
        <v>3.2258000000000002E-2</v>
      </c>
      <c r="D40" s="1" cm="1">
        <f t="array" aca="1" ref="D40" ca="1">IF(ISBLANK(INDIRECT(CONCATENATE("Input!",RSE_Setup!$B$19,ROW()+1))),"",INDIRECT(CONCATENATE("Input!",RSE_Setup!$B$19,ROW()+1)))</f>
        <v>5250</v>
      </c>
      <c r="E40" s="1" cm="1">
        <f t="array" aca="1" ref="E40" ca="1">IF(ISBLANK(INDIRECT(CONCATENATE("Input!",RSE_Setup!$B$26,ROW()+1))),"",INDIRECT(CONCATENATE("Input!",RSE_Setup!$B$26,ROW()+1)))</f>
        <v>242.711502</v>
      </c>
      <c r="F40" s="1">
        <f ca="1"/>
        <v>244.34514232055179</v>
      </c>
    </row>
    <row r="41" spans="1:6" x14ac:dyDescent="0.3">
      <c r="A41" s="1" cm="1">
        <f t="array" aca="1" ref="A41" ca="1">IF(ISBLANK(INDIRECT(CONCATENATE("Input!",RSE_Setup!$B$16,ROW()+1))),"",INDIRECT(CONCATENATE("Input!",RSE_Setup!$B$16,ROW()+1)))</f>
        <v>7.5000000000000002E-4</v>
      </c>
      <c r="B41" s="1" cm="1">
        <f t="array" aca="1" ref="B41" ca="1">IF(ISBLANK(INDIRECT(CONCATENATE("Input!",RSE_Setup!$B$17,ROW()+1))),"",INDIRECT(CONCATENATE("Input!",RSE_Setup!$B$17,ROW()+1)))</f>
        <v>4.0000000000000001E-3</v>
      </c>
      <c r="C41" s="1" cm="1">
        <f t="array" aca="1" ref="C41" ca="1">IF(ISBLANK(INDIRECT(CONCATENATE("Input!",RSE_Setup!$B$18,ROW()+1))),"",INDIRECT(CONCATENATE("Input!",RSE_Setup!$B$18,ROW()+1)))</f>
        <v>3.2258000000000002E-2</v>
      </c>
      <c r="D41" s="1" cm="1">
        <f t="array" aca="1" ref="D41" ca="1">IF(ISBLANK(INDIRECT(CONCATENATE("Input!",RSE_Setup!$B$19,ROW()+1))),"",INDIRECT(CONCATENATE("Input!",RSE_Setup!$B$19,ROW()+1)))</f>
        <v>6500</v>
      </c>
      <c r="E41" s="1" cm="1">
        <f t="array" aca="1" ref="E41" ca="1">IF(ISBLANK(INDIRECT(CONCATENATE("Input!",RSE_Setup!$B$26,ROW()+1))),"",INDIRECT(CONCATENATE("Input!",RSE_Setup!$B$26,ROW()+1)))</f>
        <v>294.17684000000003</v>
      </c>
      <c r="F41" s="1">
        <f ca="1"/>
        <v>300.28983816451841</v>
      </c>
    </row>
    <row r="42" spans="1:6" x14ac:dyDescent="0.3">
      <c r="A42" s="1" cm="1">
        <f t="array" aca="1" ref="A42" ca="1">IF(ISBLANK(INDIRECT(CONCATENATE("Input!",RSE_Setup!$B$16,ROW()+1))),"",INDIRECT(CONCATENATE("Input!",RSE_Setup!$B$16,ROW()+1)))</f>
        <v>7.5000000000000002E-4</v>
      </c>
      <c r="B42" s="1" cm="1">
        <f t="array" aca="1" ref="B42" ca="1">IF(ISBLANK(INDIRECT(CONCATENATE("Input!",RSE_Setup!$B$17,ROW()+1))),"",INDIRECT(CONCATENATE("Input!",RSE_Setup!$B$17,ROW()+1)))</f>
        <v>6.0000000000000001E-3</v>
      </c>
      <c r="C42" s="1" cm="1">
        <f t="array" aca="1" ref="C42" ca="1">IF(ISBLANK(INDIRECT(CONCATENATE("Input!",RSE_Setup!$B$18,ROW()+1))),"",INDIRECT(CONCATENATE("Input!",RSE_Setup!$B$18,ROW()+1)))</f>
        <v>5.5556000000000001E-2</v>
      </c>
      <c r="D42" s="1" cm="1">
        <f t="array" aca="1" ref="D42" ca="1">IF(ISBLANK(INDIRECT(CONCATENATE("Input!",RSE_Setup!$B$19,ROW()+1))),"",INDIRECT(CONCATENATE("Input!",RSE_Setup!$B$19,ROW()+1)))</f>
        <v>3000</v>
      </c>
      <c r="E42" s="1" cm="1">
        <f t="array" aca="1" ref="E42" ca="1">IF(ISBLANK(INDIRECT(CONCATENATE("Input!",RSE_Setup!$B$26,ROW()+1))),"",INDIRECT(CONCATENATE("Input!",RSE_Setup!$B$26,ROW()+1)))</f>
        <v>190.28824</v>
      </c>
      <c r="F42" s="1">
        <f ca="1"/>
        <v>191.56721701193968</v>
      </c>
    </row>
    <row r="43" spans="1:6" x14ac:dyDescent="0.3">
      <c r="A43" s="1" cm="1">
        <f t="array" aca="1" ref="A43" ca="1">IF(ISBLANK(INDIRECT(CONCATENATE("Input!",RSE_Setup!$B$16,ROW()+1))),"",INDIRECT(CONCATENATE("Input!",RSE_Setup!$B$16,ROW()+1)))</f>
        <v>7.5000000000000002E-4</v>
      </c>
      <c r="B43" s="1" cm="1">
        <f t="array" aca="1" ref="B43" ca="1">IF(ISBLANK(INDIRECT(CONCATENATE("Input!",RSE_Setup!$B$17,ROW()+1))),"",INDIRECT(CONCATENATE("Input!",RSE_Setup!$B$17,ROW()+1)))</f>
        <v>6.0000000000000001E-3</v>
      </c>
      <c r="C43" s="1" cm="1">
        <f t="array" aca="1" ref="C43" ca="1">IF(ISBLANK(INDIRECT(CONCATENATE("Input!",RSE_Setup!$B$18,ROW()+1))),"",INDIRECT(CONCATENATE("Input!",RSE_Setup!$B$18,ROW()+1)))</f>
        <v>5.5556000000000001E-2</v>
      </c>
      <c r="D43" s="1" cm="1">
        <f t="array" aca="1" ref="D43" ca="1">IF(ISBLANK(INDIRECT(CONCATENATE("Input!",RSE_Setup!$B$19,ROW()+1))),"",INDIRECT(CONCATENATE("Input!",RSE_Setup!$B$19,ROW()+1)))</f>
        <v>3750</v>
      </c>
      <c r="E43" s="1" cm="1">
        <f t="array" aca="1" ref="E43" ca="1">IF(ISBLANK(INDIRECT(CONCATENATE("Input!",RSE_Setup!$B$26,ROW()+1))),"",INDIRECT(CONCATENATE("Input!",RSE_Setup!$B$26,ROW()+1)))</f>
        <v>231.48772199999999</v>
      </c>
      <c r="F43" s="1">
        <f ca="1"/>
        <v>236.56606492232845</v>
      </c>
    </row>
    <row r="44" spans="1:6" x14ac:dyDescent="0.3">
      <c r="A44" s="1" cm="1">
        <f t="array" aca="1" ref="A44" ca="1">IF(ISBLANK(INDIRECT(CONCATENATE("Input!",RSE_Setup!$B$16,ROW()+1))),"",INDIRECT(CONCATENATE("Input!",RSE_Setup!$B$16,ROW()+1)))</f>
        <v>7.5000000000000002E-4</v>
      </c>
      <c r="B44" s="1" cm="1">
        <f t="array" aca="1" ref="B44" ca="1">IF(ISBLANK(INDIRECT(CONCATENATE("Input!",RSE_Setup!$B$17,ROW()+1))),"",INDIRECT(CONCATENATE("Input!",RSE_Setup!$B$17,ROW()+1)))</f>
        <v>6.0000000000000001E-3</v>
      </c>
      <c r="C44" s="1" cm="1">
        <f t="array" aca="1" ref="C44" ca="1">IF(ISBLANK(INDIRECT(CONCATENATE("Input!",RSE_Setup!$B$18,ROW()+1))),"",INDIRECT(CONCATENATE("Input!",RSE_Setup!$B$18,ROW()+1)))</f>
        <v>3.2258000000000002E-2</v>
      </c>
      <c r="D44" s="1" cm="1">
        <f t="array" aca="1" ref="D44" ca="1">IF(ISBLANK(INDIRECT(CONCATENATE("Input!",RSE_Setup!$B$19,ROW()+1))),"",INDIRECT(CONCATENATE("Input!",RSE_Setup!$B$19,ROW()+1)))</f>
        <v>3750</v>
      </c>
      <c r="E44" s="1" cm="1">
        <f t="array" aca="1" ref="E44" ca="1">IF(ISBLANK(INDIRECT(CONCATENATE("Input!",RSE_Setup!$B$26,ROW()+1))),"",INDIRECT(CONCATENATE("Input!",RSE_Setup!$B$26,ROW()+1)))</f>
        <v>228.48577499999999</v>
      </c>
      <c r="F44" s="1">
        <f ca="1"/>
        <v>226.90922230696262</v>
      </c>
    </row>
    <row r="45" spans="1:6" x14ac:dyDescent="0.3">
      <c r="A45" s="1" cm="1">
        <f t="array" aca="1" ref="A45" ca="1">IF(ISBLANK(INDIRECT(CONCATENATE("Input!",RSE_Setup!$B$16,ROW()+1))),"",INDIRECT(CONCATENATE("Input!",RSE_Setup!$B$16,ROW()+1)))</f>
        <v>7.5000000000000002E-4</v>
      </c>
      <c r="B45" s="1" cm="1">
        <f t="array" aca="1" ref="B45" ca="1">IF(ISBLANK(INDIRECT(CONCATENATE("Input!",RSE_Setup!$B$17,ROW()+1))),"",INDIRECT(CONCATENATE("Input!",RSE_Setup!$B$17,ROW()+1)))</f>
        <v>6.0000000000000001E-3</v>
      </c>
      <c r="C45" s="1" cm="1">
        <f t="array" aca="1" ref="C45" ca="1">IF(ISBLANK(INDIRECT(CONCATENATE("Input!",RSE_Setup!$B$18,ROW()+1))),"",INDIRECT(CONCATENATE("Input!",RSE_Setup!$B$18,ROW()+1)))</f>
        <v>3.2258000000000002E-2</v>
      </c>
      <c r="D45" s="1" cm="1">
        <f t="array" aca="1" ref="D45" ca="1">IF(ISBLANK(INDIRECT(CONCATENATE("Input!",RSE_Setup!$B$19,ROW()+1))),"",INDIRECT(CONCATENATE("Input!",RSE_Setup!$B$19,ROW()+1)))</f>
        <v>5250</v>
      </c>
      <c r="E45" s="1" cm="1">
        <f t="array" aca="1" ref="E45" ca="1">IF(ISBLANK(INDIRECT(CONCATENATE("Input!",RSE_Setup!$B$26,ROW()+1))),"",INDIRECT(CONCATENATE("Input!",RSE_Setup!$B$26,ROW()+1)))</f>
        <v>315.34296699999999</v>
      </c>
      <c r="F45" s="1">
        <f ca="1"/>
        <v>313.56427899853645</v>
      </c>
    </row>
    <row r="46" spans="1:6" x14ac:dyDescent="0.3">
      <c r="A46" s="1" cm="1">
        <f t="array" aca="1" ref="A46" ca="1">IF(ISBLANK(INDIRECT(CONCATENATE("Input!",RSE_Setup!$B$16,ROW()+1))),"",INDIRECT(CONCATENATE("Input!",RSE_Setup!$B$16,ROW()+1)))</f>
        <v>7.5000000000000002E-4</v>
      </c>
      <c r="B46" s="1" cm="1">
        <f t="array" aca="1" ref="B46" ca="1">IF(ISBLANK(INDIRECT(CONCATENATE("Input!",RSE_Setup!$B$17,ROW()+1))),"",INDIRECT(CONCATENATE("Input!",RSE_Setup!$B$17,ROW()+1)))</f>
        <v>6.0000000000000001E-3</v>
      </c>
      <c r="C46" s="1" cm="1">
        <f t="array" aca="1" ref="C46" ca="1">IF(ISBLANK(INDIRECT(CONCATENATE("Input!",RSE_Setup!$B$18,ROW()+1))),"",INDIRECT(CONCATENATE("Input!",RSE_Setup!$B$18,ROW()+1)))</f>
        <v>3.2258000000000002E-2</v>
      </c>
      <c r="D46" s="1" cm="1">
        <f t="array" aca="1" ref="D46" ca="1">IF(ISBLANK(INDIRECT(CONCATENATE("Input!",RSE_Setup!$B$19,ROW()+1))),"",INDIRECT(CONCATENATE("Input!",RSE_Setup!$B$19,ROW()+1)))</f>
        <v>6500</v>
      </c>
      <c r="E46" s="1" cm="1">
        <f t="array" aca="1" ref="E46" ca="1">IF(ISBLANK(INDIRECT(CONCATENATE("Input!",RSE_Setup!$B$26,ROW()+1))),"",INDIRECT(CONCATENATE("Input!",RSE_Setup!$B$26,ROW()+1)))</f>
        <v>386.111582</v>
      </c>
      <c r="F46" s="1">
        <f ca="1"/>
        <v>385.66978809428008</v>
      </c>
    </row>
    <row r="47" spans="1:6" x14ac:dyDescent="0.3">
      <c r="A47" s="1" cm="1">
        <f t="array" aca="1" ref="A47" ca="1">IF(ISBLANK(INDIRECT(CONCATENATE("Input!",RSE_Setup!$B$16,ROW()+1))),"",INDIRECT(CONCATENATE("Input!",RSE_Setup!$B$16,ROW()+1)))</f>
        <v>7.5000000000000002E-4</v>
      </c>
      <c r="B47" s="1" cm="1">
        <f t="array" aca="1" ref="B47" ca="1">IF(ISBLANK(INDIRECT(CONCATENATE("Input!",RSE_Setup!$B$17,ROW()+1))),"",INDIRECT(CONCATENATE("Input!",RSE_Setup!$B$17,ROW()+1)))</f>
        <v>8.0000000000000002E-3</v>
      </c>
      <c r="C47" s="1" cm="1">
        <f t="array" aca="1" ref="C47" ca="1">IF(ISBLANK(INDIRECT(CONCATENATE("Input!",RSE_Setup!$B$18,ROW()+1))),"",INDIRECT(CONCATENATE("Input!",RSE_Setup!$B$18,ROW()+1)))</f>
        <v>3.2258000000000002E-2</v>
      </c>
      <c r="D47" s="1" cm="1">
        <f t="array" aca="1" ref="D47" ca="1">IF(ISBLANK(INDIRECT(CONCATENATE("Input!",RSE_Setup!$B$19,ROW()+1))),"",INDIRECT(CONCATENATE("Input!",RSE_Setup!$B$19,ROW()+1)))</f>
        <v>5250</v>
      </c>
      <c r="E47" s="1" cm="1">
        <f t="array" aca="1" ref="E47" ca="1">IF(ISBLANK(INDIRECT(CONCATENATE("Input!",RSE_Setup!$B$26,ROW()+1))),"",INDIRECT(CONCATENATE("Input!",RSE_Setup!$B$26,ROW()+1)))</f>
        <v>387.09198500000002</v>
      </c>
      <c r="F47" s="1">
        <f ca="1"/>
        <v>387.55373769217164</v>
      </c>
    </row>
    <row r="48" spans="1:6" x14ac:dyDescent="0.3">
      <c r="A48" s="1" cm="1">
        <f t="array" aca="1" ref="A48" ca="1">IF(ISBLANK(INDIRECT(CONCATENATE("Input!",RSE_Setup!$B$16,ROW()+1))),"",INDIRECT(CONCATENATE("Input!",RSE_Setup!$B$16,ROW()+1)))</f>
        <v>7.5000000000000002E-4</v>
      </c>
      <c r="B48" s="1" cm="1">
        <f t="array" aca="1" ref="B48" ca="1">IF(ISBLANK(INDIRECT(CONCATENATE("Input!",RSE_Setup!$B$17,ROW()+1))),"",INDIRECT(CONCATENATE("Input!",RSE_Setup!$B$17,ROW()+1)))</f>
        <v>8.0000000000000002E-3</v>
      </c>
      <c r="C48" s="1" cm="1">
        <f t="array" aca="1" ref="C48" ca="1">IF(ISBLANK(INDIRECT(CONCATENATE("Input!",RSE_Setup!$B$18,ROW()+1))),"",INDIRECT(CONCATENATE("Input!",RSE_Setup!$B$18,ROW()+1)))</f>
        <v>3.2258000000000002E-2</v>
      </c>
      <c r="D48" s="1" cm="1">
        <f t="array" aca="1" ref="D48" ca="1">IF(ISBLANK(INDIRECT(CONCATENATE("Input!",RSE_Setup!$B$19,ROW()+1))),"",INDIRECT(CONCATENATE("Input!",RSE_Setup!$B$19,ROW()+1)))</f>
        <v>6500</v>
      </c>
      <c r="E48" s="1" cm="1">
        <f t="array" aca="1" ref="E48" ca="1">IF(ISBLANK(INDIRECT(CONCATENATE("Input!",RSE_Setup!$B$26,ROW()+1))),"",INDIRECT(CONCATENATE("Input!",RSE_Setup!$B$26,ROW()+1)))</f>
        <v>472.67393099999998</v>
      </c>
      <c r="F48" s="1">
        <f ca="1"/>
        <v>475.82006003969218</v>
      </c>
    </row>
    <row r="49" spans="1:6" x14ac:dyDescent="0.3">
      <c r="A49" s="1" cm="1">
        <f t="array" aca="1" ref="A49" ca="1">IF(ISBLANK(INDIRECT(CONCATENATE("Input!",RSE_Setup!$B$16,ROW()+1))),"",INDIRECT(CONCATENATE("Input!",RSE_Setup!$B$16,ROW()+1)))</f>
        <v>1E-3</v>
      </c>
      <c r="B49" s="1" cm="1">
        <f t="array" aca="1" ref="B49" ca="1">IF(ISBLANK(INDIRECT(CONCATENATE("Input!",RSE_Setup!$B$17,ROW()+1))),"",INDIRECT(CONCATENATE("Input!",RSE_Setup!$B$17,ROW()+1)))</f>
        <v>5.0000000000000001E-3</v>
      </c>
      <c r="C49" s="1" cm="1">
        <f t="array" aca="1" ref="C49" ca="1">IF(ISBLANK(INDIRECT(CONCATENATE("Input!",RSE_Setup!$B$18,ROW()+1))),"",INDIRECT(CONCATENATE("Input!",RSE_Setup!$B$18,ROW()+1)))</f>
        <v>5.5556000000000001E-2</v>
      </c>
      <c r="D49" s="1" cm="1">
        <f t="array" aca="1" ref="D49" ca="1">IF(ISBLANK(INDIRECT(CONCATENATE("Input!",RSE_Setup!$B$19,ROW()+1))),"",INDIRECT(CONCATENATE("Input!",RSE_Setup!$B$19,ROW()+1)))</f>
        <v>3750</v>
      </c>
      <c r="E49" s="1" cm="1">
        <f t="array" aca="1" ref="E49" ca="1">IF(ISBLANK(INDIRECT(CONCATENATE("Input!",RSE_Setup!$B$26,ROW()+1))),"",INDIRECT(CONCATENATE("Input!",RSE_Setup!$B$26,ROW()+1)))</f>
        <v>215.77653699999999</v>
      </c>
      <c r="F49" s="1">
        <f ca="1"/>
        <v>220.56282916134654</v>
      </c>
    </row>
    <row r="50" spans="1:6" x14ac:dyDescent="0.3">
      <c r="A50" s="1" cm="1">
        <f t="array" aca="1" ref="A50" ca="1">IF(ISBLANK(INDIRECT(CONCATENATE("Input!",RSE_Setup!$B$16,ROW()+1))),"",INDIRECT(CONCATENATE("Input!",RSE_Setup!$B$16,ROW()+1)))</f>
        <v>1E-3</v>
      </c>
      <c r="B50" s="1" cm="1">
        <f t="array" aca="1" ref="B50" ca="1">IF(ISBLANK(INDIRECT(CONCATENATE("Input!",RSE_Setup!$B$17,ROW()+1))),"",INDIRECT(CONCATENATE("Input!",RSE_Setup!$B$17,ROW()+1)))</f>
        <v>5.0000000000000001E-3</v>
      </c>
      <c r="C50" s="1" cm="1">
        <f t="array" aca="1" ref="C50" ca="1">IF(ISBLANK(INDIRECT(CONCATENATE("Input!",RSE_Setup!$B$18,ROW()+1))),"",INDIRECT(CONCATENATE("Input!",RSE_Setup!$B$18,ROW()+1)))</f>
        <v>3.2258000000000002E-2</v>
      </c>
      <c r="D50" s="1" cm="1">
        <f t="array" aca="1" ref="D50" ca="1">IF(ISBLANK(INDIRECT(CONCATENATE("Input!",RSE_Setup!$B$19,ROW()+1))),"",INDIRECT(CONCATENATE("Input!",RSE_Setup!$B$19,ROW()+1)))</f>
        <v>3750</v>
      </c>
      <c r="E50" s="1" cm="1">
        <f t="array" aca="1" ref="E50" ca="1">IF(ISBLANK(INDIRECT(CONCATENATE("Input!",RSE_Setup!$B$26,ROW()+1))),"",INDIRECT(CONCATENATE("Input!",RSE_Setup!$B$26,ROW()+1)))</f>
        <v>211.91898699999999</v>
      </c>
      <c r="F50" s="1">
        <f ca="1"/>
        <v>209.96196970323496</v>
      </c>
    </row>
    <row r="51" spans="1:6" x14ac:dyDescent="0.3">
      <c r="A51" s="1" cm="1">
        <f t="array" aca="1" ref="A51" ca="1">IF(ISBLANK(INDIRECT(CONCATENATE("Input!",RSE_Setup!$B$16,ROW()+1))),"",INDIRECT(CONCATENATE("Input!",RSE_Setup!$B$16,ROW()+1)))</f>
        <v>1E-3</v>
      </c>
      <c r="B51" s="1" cm="1">
        <f t="array" aca="1" ref="B51" ca="1">IF(ISBLANK(INDIRECT(CONCATENATE("Input!",RSE_Setup!$B$17,ROW()+1))),"",INDIRECT(CONCATENATE("Input!",RSE_Setup!$B$17,ROW()+1)))</f>
        <v>5.0000000000000001E-3</v>
      </c>
      <c r="C51" s="1" cm="1">
        <f t="array" aca="1" ref="C51" ca="1">IF(ISBLANK(INDIRECT(CONCATENATE("Input!",RSE_Setup!$B$18,ROW()+1))),"",INDIRECT(CONCATENATE("Input!",RSE_Setup!$B$18,ROW()+1)))</f>
        <v>3.2258000000000002E-2</v>
      </c>
      <c r="D51" s="1" cm="1">
        <f t="array" aca="1" ref="D51" ca="1">IF(ISBLANK(INDIRECT(CONCATENATE("Input!",RSE_Setup!$B$19,ROW()+1))),"",INDIRECT(CONCATENATE("Input!",RSE_Setup!$B$19,ROW()+1)))</f>
        <v>5250</v>
      </c>
      <c r="E51" s="1" cm="1">
        <f t="array" aca="1" ref="E51" ca="1">IF(ISBLANK(INDIRECT(CONCATENATE("Input!",RSE_Setup!$B$26,ROW()+1))),"",INDIRECT(CONCATENATE("Input!",RSE_Setup!$B$26,ROW()+1)))</f>
        <v>290.28416099999998</v>
      </c>
      <c r="F51" s="1">
        <f ca="1"/>
        <v>290.2206088963361</v>
      </c>
    </row>
    <row r="52" spans="1:6" x14ac:dyDescent="0.3">
      <c r="A52" s="1" cm="1">
        <f t="array" aca="1" ref="A52" ca="1">IF(ISBLANK(INDIRECT(CONCATENATE("Input!",RSE_Setup!$B$16,ROW()+1))),"",INDIRECT(CONCATENATE("Input!",RSE_Setup!$B$16,ROW()+1)))</f>
        <v>1E-3</v>
      </c>
      <c r="B52" s="1" cm="1">
        <f t="array" aca="1" ref="B52" ca="1">IF(ISBLANK(INDIRECT(CONCATENATE("Input!",RSE_Setup!$B$17,ROW()+1))),"",INDIRECT(CONCATENATE("Input!",RSE_Setup!$B$17,ROW()+1)))</f>
        <v>5.0000000000000001E-3</v>
      </c>
      <c r="C52" s="1" cm="1">
        <f t="array" aca="1" ref="C52" ca="1">IF(ISBLANK(INDIRECT(CONCATENATE("Input!",RSE_Setup!$B$18,ROW()+1))),"",INDIRECT(CONCATENATE("Input!",RSE_Setup!$B$18,ROW()+1)))</f>
        <v>3.2258000000000002E-2</v>
      </c>
      <c r="D52" s="1" cm="1">
        <f t="array" aca="1" ref="D52" ca="1">IF(ISBLANK(INDIRECT(CONCATENATE("Input!",RSE_Setup!$B$19,ROW()+1))),"",INDIRECT(CONCATENATE("Input!",RSE_Setup!$B$19,ROW()+1)))</f>
        <v>6500</v>
      </c>
      <c r="E52" s="1" cm="1">
        <f t="array" aca="1" ref="E52" ca="1">IF(ISBLANK(INDIRECT(CONCATENATE("Input!",RSE_Setup!$B$26,ROW()+1))),"",INDIRECT(CONCATENATE("Input!",RSE_Setup!$B$26,ROW()+1)))</f>
        <v>354.91474099999999</v>
      </c>
      <c r="F52" s="1">
        <f ca="1"/>
        <v>356.9957700766858</v>
      </c>
    </row>
    <row r="53" spans="1:6" x14ac:dyDescent="0.3">
      <c r="A53" s="1" cm="1">
        <f t="array" aca="1" ref="A53" ca="1">IF(ISBLANK(INDIRECT(CONCATENATE("Input!",RSE_Setup!$B$16,ROW()+1))),"",INDIRECT(CONCATENATE("Input!",RSE_Setup!$B$16,ROW()+1)))</f>
        <v>1E-3</v>
      </c>
      <c r="B53" s="1" cm="1">
        <f t="array" aca="1" ref="B53" ca="1">IF(ISBLANK(INDIRECT(CONCATENATE("Input!",RSE_Setup!$B$17,ROW()+1))),"",INDIRECT(CONCATENATE("Input!",RSE_Setup!$B$17,ROW()+1)))</f>
        <v>6.4999999999999997E-3</v>
      </c>
      <c r="C53" s="1" cm="1">
        <f t="array" aca="1" ref="C53" ca="1">IF(ISBLANK(INDIRECT(CONCATENATE("Input!",RSE_Setup!$B$18,ROW()+1))),"",INDIRECT(CONCATENATE("Input!",RSE_Setup!$B$18,ROW()+1)))</f>
        <v>5.5556000000000001E-2</v>
      </c>
      <c r="D53" s="1" cm="1">
        <f t="array" aca="1" ref="D53" ca="1">IF(ISBLANK(INDIRECT(CONCATENATE("Input!",RSE_Setup!$B$19,ROW()+1))),"",INDIRECT(CONCATENATE("Input!",RSE_Setup!$B$19,ROW()+1)))</f>
        <v>3750</v>
      </c>
      <c r="E53" s="1" cm="1">
        <f t="array" aca="1" ref="E53" ca="1">IF(ISBLANK(INDIRECT(CONCATENATE("Input!",RSE_Setup!$B$26,ROW()+1))),"",INDIRECT(CONCATENATE("Input!",RSE_Setup!$B$26,ROW()+1)))</f>
        <v>251.411978</v>
      </c>
      <c r="F53" s="1">
        <f ca="1"/>
        <v>257.53604347518831</v>
      </c>
    </row>
    <row r="54" spans="1:6" x14ac:dyDescent="0.3">
      <c r="A54" s="1" cm="1">
        <f t="array" aca="1" ref="A54" ca="1">IF(ISBLANK(INDIRECT(CONCATENATE("Input!",RSE_Setup!$B$16,ROW()+1))),"",INDIRECT(CONCATENATE("Input!",RSE_Setup!$B$16,ROW()+1)))</f>
        <v>1E-3</v>
      </c>
      <c r="B54" s="1" cm="1">
        <f t="array" aca="1" ref="B54" ca="1">IF(ISBLANK(INDIRECT(CONCATENATE("Input!",RSE_Setup!$B$17,ROW()+1))),"",INDIRECT(CONCATENATE("Input!",RSE_Setup!$B$17,ROW()+1)))</f>
        <v>6.4999999999999997E-3</v>
      </c>
      <c r="C54" s="1" cm="1">
        <f t="array" aca="1" ref="C54" ca="1">IF(ISBLANK(INDIRECT(CONCATENATE("Input!",RSE_Setup!$B$18,ROW()+1))),"",INDIRECT(CONCATENATE("Input!",RSE_Setup!$B$18,ROW()+1)))</f>
        <v>3.2258000000000002E-2</v>
      </c>
      <c r="D54" s="1" cm="1">
        <f t="array" aca="1" ref="D54" ca="1">IF(ISBLANK(INDIRECT(CONCATENATE("Input!",RSE_Setup!$B$19,ROW()+1))),"",INDIRECT(CONCATENATE("Input!",RSE_Setup!$B$19,ROW()+1)))</f>
        <v>3750</v>
      </c>
      <c r="E54" s="1" cm="1">
        <f t="array" aca="1" ref="E54" ca="1">IF(ISBLANK(INDIRECT(CONCATENATE("Input!",RSE_Setup!$B$26,ROW()+1))),"",INDIRECT(CONCATENATE("Input!",RSE_Setup!$B$26,ROW()+1)))</f>
        <v>250.85161199999999</v>
      </c>
      <c r="F54" s="1">
        <f ca="1"/>
        <v>248.91330904318775</v>
      </c>
    </row>
    <row r="55" spans="1:6" x14ac:dyDescent="0.3">
      <c r="A55" s="1" cm="1">
        <f t="array" aca="1" ref="A55" ca="1">IF(ISBLANK(INDIRECT(CONCATENATE("Input!",RSE_Setup!$B$16,ROW()+1))),"",INDIRECT(CONCATENATE("Input!",RSE_Setup!$B$16,ROW()+1)))</f>
        <v>1E-3</v>
      </c>
      <c r="B55" s="1" cm="1">
        <f t="array" aca="1" ref="B55" ca="1">IF(ISBLANK(INDIRECT(CONCATENATE("Input!",RSE_Setup!$B$17,ROW()+1))),"",INDIRECT(CONCATENATE("Input!",RSE_Setup!$B$17,ROW()+1)))</f>
        <v>6.4999999999999997E-3</v>
      </c>
      <c r="C55" s="1" cm="1">
        <f t="array" aca="1" ref="C55" ca="1">IF(ISBLANK(INDIRECT(CONCATENATE("Input!",RSE_Setup!$B$18,ROW()+1))),"",INDIRECT(CONCATENATE("Input!",RSE_Setup!$B$18,ROW()+1)))</f>
        <v>3.2258000000000002E-2</v>
      </c>
      <c r="D55" s="1" cm="1">
        <f t="array" aca="1" ref="D55" ca="1">IF(ISBLANK(INDIRECT(CONCATENATE("Input!",RSE_Setup!$B$19,ROW()+1))),"",INDIRECT(CONCATENATE("Input!",RSE_Setup!$B$19,ROW()+1)))</f>
        <v>5250</v>
      </c>
      <c r="E55" s="1" cm="1">
        <f t="array" aca="1" ref="E55" ca="1">IF(ISBLANK(INDIRECT(CONCATENATE("Input!",RSE_Setup!$B$26,ROW()+1))),"",INDIRECT(CONCATENATE("Input!",RSE_Setup!$B$26,ROW()+1)))</f>
        <v>346.19007399999998</v>
      </c>
      <c r="F55" s="1">
        <f ca="1"/>
        <v>343.71668016288805</v>
      </c>
    </row>
    <row r="56" spans="1:6" x14ac:dyDescent="0.3">
      <c r="A56" s="1" cm="1">
        <f t="array" aca="1" ref="A56" ca="1">IF(ISBLANK(INDIRECT(CONCATENATE("Input!",RSE_Setup!$B$16,ROW()+1))),"",INDIRECT(CONCATENATE("Input!",RSE_Setup!$B$16,ROW()+1)))</f>
        <v>1E-3</v>
      </c>
      <c r="B56" s="1" cm="1">
        <f t="array" aca="1" ref="B56" ca="1">IF(ISBLANK(INDIRECT(CONCATENATE("Input!",RSE_Setup!$B$17,ROW()+1))),"",INDIRECT(CONCATENATE("Input!",RSE_Setup!$B$17,ROW()+1)))</f>
        <v>6.4999999999999997E-3</v>
      </c>
      <c r="C56" s="1" cm="1">
        <f t="array" aca="1" ref="C56" ca="1">IF(ISBLANK(INDIRECT(CONCATENATE("Input!",RSE_Setup!$B$18,ROW()+1))),"",INDIRECT(CONCATENATE("Input!",RSE_Setup!$B$18,ROW()+1)))</f>
        <v>3.2258000000000002E-2</v>
      </c>
      <c r="D56" s="1" cm="1">
        <f t="array" aca="1" ref="D56" ca="1">IF(ISBLANK(INDIRECT(CONCATENATE("Input!",RSE_Setup!$B$19,ROW()+1))),"",INDIRECT(CONCATENATE("Input!",RSE_Setup!$B$19,ROW()+1)))</f>
        <v>6500</v>
      </c>
      <c r="E56" s="1" cm="1">
        <f t="array" aca="1" ref="E56" ca="1">IF(ISBLANK(INDIRECT(CONCATENATE("Input!",RSE_Setup!$B$26,ROW()+1))),"",INDIRECT(CONCATENATE("Input!",RSE_Setup!$B$26,ROW()+1)))</f>
        <v>421.666495</v>
      </c>
      <c r="F56" s="1">
        <f ca="1"/>
        <v>422.61245128207042</v>
      </c>
    </row>
    <row r="57" spans="1:6" x14ac:dyDescent="0.3">
      <c r="A57" s="1" cm="1">
        <f t="array" aca="1" ref="A57" ca="1">IF(ISBLANK(INDIRECT(CONCATENATE("Input!",RSE_Setup!$B$16,ROW()+1))),"",INDIRECT(CONCATENATE("Input!",RSE_Setup!$B$16,ROW()+1)))</f>
        <v>1E-3</v>
      </c>
      <c r="B57" s="1" cm="1">
        <f t="array" aca="1" ref="B57" ca="1">IF(ISBLANK(INDIRECT(CONCATENATE("Input!",RSE_Setup!$B$17,ROW()+1))),"",INDIRECT(CONCATENATE("Input!",RSE_Setup!$B$17,ROW()+1)))</f>
        <v>8.0000000000000002E-3</v>
      </c>
      <c r="C57" s="1" cm="1">
        <f t="array" aca="1" ref="C57" ca="1">IF(ISBLANK(INDIRECT(CONCATENATE("Input!",RSE_Setup!$B$18,ROW()+1))),"",INDIRECT(CONCATENATE("Input!",RSE_Setup!$B$18,ROW()+1)))</f>
        <v>3.2258000000000002E-2</v>
      </c>
      <c r="D57" s="1" cm="1">
        <f t="array" aca="1" ref="D57" ca="1">IF(ISBLANK(INDIRECT(CONCATENATE("Input!",RSE_Setup!$B$19,ROW()+1))),"",INDIRECT(CONCATENATE("Input!",RSE_Setup!$B$19,ROW()+1)))</f>
        <v>5250</v>
      </c>
      <c r="E57" s="1" cm="1">
        <f t="array" aca="1" ref="E57" ca="1">IF(ISBLANK(INDIRECT(CONCATENATE("Input!",RSE_Setup!$B$26,ROW()+1))),"",INDIRECT(CONCATENATE("Input!",RSE_Setup!$B$26,ROW()+1)))</f>
        <v>400.43692099999998</v>
      </c>
      <c r="F57" s="1">
        <f ca="1"/>
        <v>399.89605756324346</v>
      </c>
    </row>
    <row r="58" spans="1:6" x14ac:dyDescent="0.3">
      <c r="A58" s="1" cm="1">
        <f t="array" aca="1" ref="A58" ca="1">IF(ISBLANK(INDIRECT(CONCATENATE("Input!",RSE_Setup!$B$16,ROW()+1))),"",INDIRECT(CONCATENATE("Input!",RSE_Setup!$B$16,ROW()+1)))</f>
        <v>1E-3</v>
      </c>
      <c r="B58" s="1" cm="1">
        <f t="array" aca="1" ref="B58" ca="1">IF(ISBLANK(INDIRECT(CONCATENATE("Input!",RSE_Setup!$B$17,ROW()+1))),"",INDIRECT(CONCATENATE("Input!",RSE_Setup!$B$17,ROW()+1)))</f>
        <v>8.0000000000000002E-3</v>
      </c>
      <c r="C58" s="1" cm="1">
        <f t="array" aca="1" ref="C58" ca="1">IF(ISBLANK(INDIRECT(CONCATENATE("Input!",RSE_Setup!$B$18,ROW()+1))),"",INDIRECT(CONCATENATE("Input!",RSE_Setup!$B$18,ROW()+1)))</f>
        <v>3.2258000000000002E-2</v>
      </c>
      <c r="D58" s="1" cm="1">
        <f t="array" aca="1" ref="D58" ca="1">IF(ISBLANK(INDIRECT(CONCATENATE("Input!",RSE_Setup!$B$19,ROW()+1))),"",INDIRECT(CONCATENATE("Input!",RSE_Setup!$B$19,ROW()+1)))</f>
        <v>6500</v>
      </c>
      <c r="E58" s="1" cm="1">
        <f t="array" aca="1" ref="E58" ca="1">IF(ISBLANK(INDIRECT(CONCATENATE("Input!",RSE_Setup!$B$26,ROW()+1))),"",INDIRECT(CONCATENATE("Input!",RSE_Setup!$B$26,ROW()+1)))</f>
        <v>487.00021199999998</v>
      </c>
      <c r="F58" s="1">
        <f ca="1"/>
        <v>490.9124386212585</v>
      </c>
    </row>
    <row r="59" spans="1:6" x14ac:dyDescent="0.3">
      <c r="A59" s="1" cm="1">
        <f t="array" aca="1" ref="A59" ca="1">IF(ISBLANK(INDIRECT(CONCATENATE("Input!",RSE_Setup!$B$16,ROW()+1))),"",INDIRECT(CONCATENATE("Input!",RSE_Setup!$B$16,ROW()+1)))</f>
        <v>2.9999999999999997E-4</v>
      </c>
      <c r="B59" s="1" cm="1">
        <f t="array" aca="1" ref="B59" ca="1">IF(ISBLANK(INDIRECT(CONCATENATE("Input!",RSE_Setup!$B$17,ROW()+1))),"",INDIRECT(CONCATENATE("Input!",RSE_Setup!$B$17,ROW()+1)))</f>
        <v>2E-3</v>
      </c>
      <c r="C59" s="1" cm="1">
        <f t="array" aca="1" ref="C59" ca="1">IF(ISBLANK(INDIRECT(CONCATENATE("Input!",RSE_Setup!$B$18,ROW()+1))),"",INDIRECT(CONCATENATE("Input!",RSE_Setup!$B$18,ROW()+1)))</f>
        <v>5.5556000000000001E-2</v>
      </c>
      <c r="D59" s="1" cm="1">
        <f t="array" aca="1" ref="D59" ca="1">IF(ISBLANK(INDIRECT(CONCATENATE("Input!",RSE_Setup!$B$19,ROW()+1))),"",INDIRECT(CONCATENATE("Input!",RSE_Setup!$B$19,ROW()+1)))</f>
        <v>6000</v>
      </c>
      <c r="E59" s="1" cm="1">
        <f t="array" aca="1" ref="E59" ca="1">IF(ISBLANK(INDIRECT(CONCATENATE("Input!",RSE_Setup!$B$26,ROW()+1))),"",INDIRECT(CONCATENATE("Input!",RSE_Setup!$B$26,ROW()+1)))</f>
        <v>200.899449</v>
      </c>
      <c r="F59" s="1">
        <f ca="1"/>
        <v>201.90892007389527</v>
      </c>
    </row>
    <row r="60" spans="1:6" x14ac:dyDescent="0.3">
      <c r="A60" s="1" cm="1">
        <f t="array" aca="1" ref="A60" ca="1">IF(ISBLANK(INDIRECT(CONCATENATE("Input!",RSE_Setup!$B$16,ROW()+1))),"",INDIRECT(CONCATENATE("Input!",RSE_Setup!$B$16,ROW()+1)))</f>
        <v>2.9999999999999997E-4</v>
      </c>
      <c r="B60" s="1" cm="1">
        <f t="array" aca="1" ref="B60" ca="1">IF(ISBLANK(INDIRECT(CONCATENATE("Input!",RSE_Setup!$B$17,ROW()+1))),"",INDIRECT(CONCATENATE("Input!",RSE_Setup!$B$17,ROW()+1)))</f>
        <v>2E-3</v>
      </c>
      <c r="C60" s="1" cm="1">
        <f t="array" aca="1" ref="C60" ca="1">IF(ISBLANK(INDIRECT(CONCATENATE("Input!",RSE_Setup!$B$18,ROW()+1))),"",INDIRECT(CONCATENATE("Input!",RSE_Setup!$B$18,ROW()+1)))</f>
        <v>3.2258000000000002E-2</v>
      </c>
      <c r="D60" s="1" cm="1">
        <f t="array" aca="1" ref="D60" ca="1">IF(ISBLANK(INDIRECT(CONCATENATE("Input!",RSE_Setup!$B$19,ROW()+1))),"",INDIRECT(CONCATENATE("Input!",RSE_Setup!$B$19,ROW()+1)))</f>
        <v>6000</v>
      </c>
      <c r="E60" s="1" cm="1">
        <f t="array" aca="1" ref="E60" ca="1">IF(ISBLANK(INDIRECT(CONCATENATE("Input!",RSE_Setup!$B$26,ROW()+1))),"",INDIRECT(CONCATENATE("Input!",RSE_Setup!$B$26,ROW()+1)))</f>
        <v>183.54877500000001</v>
      </c>
      <c r="F60" s="1">
        <f ca="1"/>
        <v>181.44623697935828</v>
      </c>
    </row>
    <row r="61" spans="1:6" x14ac:dyDescent="0.3">
      <c r="A61" s="1" cm="1">
        <f t="array" aca="1" ref="A61" ca="1">IF(ISBLANK(INDIRECT(CONCATENATE("Input!",RSE_Setup!$B$16,ROW()+1))),"",INDIRECT(CONCATENATE("Input!",RSE_Setup!$B$16,ROW()+1)))</f>
        <v>2.9999999999999997E-4</v>
      </c>
      <c r="B61" s="1" cm="1">
        <f t="array" aca="1" ref="B61" ca="1">IF(ISBLANK(INDIRECT(CONCATENATE("Input!",RSE_Setup!$B$17,ROW()+1))),"",INDIRECT(CONCATENATE("Input!",RSE_Setup!$B$17,ROW()+1)))</f>
        <v>2E-3</v>
      </c>
      <c r="C61" s="1" cm="1">
        <f t="array" aca="1" ref="C61" ca="1">IF(ISBLANK(INDIRECT(CONCATENATE("Input!",RSE_Setup!$B$18,ROW()+1))),"",INDIRECT(CONCATENATE("Input!",RSE_Setup!$B$18,ROW()+1)))</f>
        <v>3.2258000000000002E-2</v>
      </c>
      <c r="D61" s="1" cm="1">
        <f t="array" aca="1" ref="D61" ca="1">IF(ISBLANK(INDIRECT(CONCATENATE("Input!",RSE_Setup!$B$19,ROW()+1))),"",INDIRECT(CONCATENATE("Input!",RSE_Setup!$B$19,ROW()+1)))</f>
        <v>8000</v>
      </c>
      <c r="E61" s="1" cm="1">
        <f t="array" aca="1" ref="E61" ca="1">IF(ISBLANK(INDIRECT(CONCATENATE("Input!",RSE_Setup!$B$26,ROW()+1))),"",INDIRECT(CONCATENATE("Input!",RSE_Setup!$B$26,ROW()+1)))</f>
        <v>236.92917600000001</v>
      </c>
      <c r="F61" s="1">
        <f ca="1"/>
        <v>237.0401573751671</v>
      </c>
    </row>
    <row r="62" spans="1:6" x14ac:dyDescent="0.3">
      <c r="A62" s="1" cm="1">
        <f t="array" aca="1" ref="A62" ca="1">IF(ISBLANK(INDIRECT(CONCATENATE("Input!",RSE_Setup!$B$16,ROW()+1))),"",INDIRECT(CONCATENATE("Input!",RSE_Setup!$B$16,ROW()+1)))</f>
        <v>2.9999999999999997E-4</v>
      </c>
      <c r="B62" s="1" cm="1">
        <f t="array" aca="1" ref="B62" ca="1">IF(ISBLANK(INDIRECT(CONCATENATE("Input!",RSE_Setup!$B$17,ROW()+1))),"",INDIRECT(CONCATENATE("Input!",RSE_Setup!$B$17,ROW()+1)))</f>
        <v>2E-3</v>
      </c>
      <c r="C62" s="1" cm="1">
        <f t="array" aca="1" ref="C62" ca="1">IF(ISBLANK(INDIRECT(CONCATENATE("Input!",RSE_Setup!$B$18,ROW()+1))),"",INDIRECT(CONCATENATE("Input!",RSE_Setup!$B$18,ROW()+1)))</f>
        <v>3.2258000000000002E-2</v>
      </c>
      <c r="D62" s="1" cm="1">
        <f t="array" aca="1" ref="D62" ca="1">IF(ISBLANK(INDIRECT(CONCATENATE("Input!",RSE_Setup!$B$19,ROW()+1))),"",INDIRECT(CONCATENATE("Input!",RSE_Setup!$B$19,ROW()+1)))</f>
        <v>10000</v>
      </c>
      <c r="E62" s="1" cm="1">
        <f t="array" aca="1" ref="E62" ca="1">IF(ISBLANK(INDIRECT(CONCATENATE("Input!",RSE_Setup!$B$26,ROW()+1))),"",INDIRECT(CONCATENATE("Input!",RSE_Setup!$B$26,ROW()+1)))</f>
        <v>291.93699500000002</v>
      </c>
      <c r="F62" s="1">
        <f ca="1"/>
        <v>292.38497081013907</v>
      </c>
    </row>
    <row r="63" spans="1:6" x14ac:dyDescent="0.3">
      <c r="A63" s="1" cm="1">
        <f t="array" aca="1" ref="A63" ca="1">IF(ISBLANK(INDIRECT(CONCATENATE("Input!",RSE_Setup!$B$16,ROW()+1))),"",INDIRECT(CONCATENATE("Input!",RSE_Setup!$B$16,ROW()+1)))</f>
        <v>2.9999999999999997E-4</v>
      </c>
      <c r="B63" s="1" cm="1">
        <f t="array" aca="1" ref="B63" ca="1">IF(ISBLANK(INDIRECT(CONCATENATE("Input!",RSE_Setup!$B$17,ROW()+1))),"",INDIRECT(CONCATENATE("Input!",RSE_Setup!$B$17,ROW()+1)))</f>
        <v>3.0000000000000001E-3</v>
      </c>
      <c r="C63" s="1" cm="1">
        <f t="array" aca="1" ref="C63" ca="1">IF(ISBLANK(INDIRECT(CONCATENATE("Input!",RSE_Setup!$B$18,ROW()+1))),"",INDIRECT(CONCATENATE("Input!",RSE_Setup!$B$18,ROW()+1)))</f>
        <v>5.5556000000000001E-2</v>
      </c>
      <c r="D63" s="1" cm="1">
        <f t="array" aca="1" ref="D63" ca="1">IF(ISBLANK(INDIRECT(CONCATENATE("Input!",RSE_Setup!$B$19,ROW()+1))),"",INDIRECT(CONCATENATE("Input!",RSE_Setup!$B$19,ROW()+1)))</f>
        <v>6000</v>
      </c>
      <c r="E63" s="1" cm="1">
        <f t="array" aca="1" ref="E63" ca="1">IF(ISBLANK(INDIRECT(CONCATENATE("Input!",RSE_Setup!$B$26,ROW()+1))),"",INDIRECT(CONCATENATE("Input!",RSE_Setup!$B$26,ROW()+1)))</f>
        <v>234.46603300000001</v>
      </c>
      <c r="F63" s="1">
        <f ca="1"/>
        <v>236.7784522818377</v>
      </c>
    </row>
    <row r="64" spans="1:6" x14ac:dyDescent="0.3">
      <c r="A64" s="1" cm="1">
        <f t="array" aca="1" ref="A64" ca="1">IF(ISBLANK(INDIRECT(CONCATENATE("Input!",RSE_Setup!$B$16,ROW()+1))),"",INDIRECT(CONCATENATE("Input!",RSE_Setup!$B$16,ROW()+1)))</f>
        <v>2.9999999999999997E-4</v>
      </c>
      <c r="B64" s="1" cm="1">
        <f t="array" aca="1" ref="B64" ca="1">IF(ISBLANK(INDIRECT(CONCATENATE("Input!",RSE_Setup!$B$17,ROW()+1))),"",INDIRECT(CONCATENATE("Input!",RSE_Setup!$B$17,ROW()+1)))</f>
        <v>3.0000000000000001E-3</v>
      </c>
      <c r="C64" s="1" cm="1">
        <f t="array" aca="1" ref="C64" ca="1">IF(ISBLANK(INDIRECT(CONCATENATE("Input!",RSE_Setup!$B$18,ROW()+1))),"",INDIRECT(CONCATENATE("Input!",RSE_Setup!$B$18,ROW()+1)))</f>
        <v>3.2258000000000002E-2</v>
      </c>
      <c r="D64" s="1" cm="1">
        <f t="array" aca="1" ref="D64" ca="1">IF(ISBLANK(INDIRECT(CONCATENATE("Input!",RSE_Setup!$B$19,ROW()+1))),"",INDIRECT(CONCATENATE("Input!",RSE_Setup!$B$19,ROW()+1)))</f>
        <v>6000</v>
      </c>
      <c r="E64" s="1" cm="1">
        <f t="array" aca="1" ref="E64" ca="1">IF(ISBLANK(INDIRECT(CONCATENATE("Input!",RSE_Setup!$B$26,ROW()+1))),"",INDIRECT(CONCATENATE("Input!",RSE_Setup!$B$26,ROW()+1)))</f>
        <v>220.08562900000001</v>
      </c>
      <c r="F64" s="1">
        <f ca="1"/>
        <v>217.63451920470803</v>
      </c>
    </row>
    <row r="65" spans="1:6" x14ac:dyDescent="0.3">
      <c r="A65" s="1" cm="1">
        <f t="array" aca="1" ref="A65" ca="1">IF(ISBLANK(INDIRECT(CONCATENATE("Input!",RSE_Setup!$B$16,ROW()+1))),"",INDIRECT(CONCATENATE("Input!",RSE_Setup!$B$16,ROW()+1)))</f>
        <v>2.9999999999999997E-4</v>
      </c>
      <c r="B65" s="1" cm="1">
        <f t="array" aca="1" ref="B65" ca="1">IF(ISBLANK(INDIRECT(CONCATENATE("Input!",RSE_Setup!$B$17,ROW()+1))),"",INDIRECT(CONCATENATE("Input!",RSE_Setup!$B$17,ROW()+1)))</f>
        <v>3.0000000000000001E-3</v>
      </c>
      <c r="C65" s="1" cm="1">
        <f t="array" aca="1" ref="C65" ca="1">IF(ISBLANK(INDIRECT(CONCATENATE("Input!",RSE_Setup!$B$18,ROW()+1))),"",INDIRECT(CONCATENATE("Input!",RSE_Setup!$B$18,ROW()+1)))</f>
        <v>3.2258000000000002E-2</v>
      </c>
      <c r="D65" s="1" cm="1">
        <f t="array" aca="1" ref="D65" ca="1">IF(ISBLANK(INDIRECT(CONCATENATE("Input!",RSE_Setup!$B$19,ROW()+1))),"",INDIRECT(CONCATENATE("Input!",RSE_Setup!$B$19,ROW()+1)))</f>
        <v>8000</v>
      </c>
      <c r="E65" s="1" cm="1">
        <f t="array" aca="1" ref="E65" ca="1">IF(ISBLANK(INDIRECT(CONCATENATE("Input!",RSE_Setup!$B$26,ROW()+1))),"",INDIRECT(CONCATENATE("Input!",RSE_Setup!$B$26,ROW()+1)))</f>
        <v>284.59272499999997</v>
      </c>
      <c r="F65" s="1">
        <f ca="1"/>
        <v>286.15709020193833</v>
      </c>
    </row>
    <row r="66" spans="1:6" x14ac:dyDescent="0.3">
      <c r="A66" s="1" cm="1">
        <f t="array" aca="1" ref="A66" ca="1">IF(ISBLANK(INDIRECT(CONCATENATE("Input!",RSE_Setup!$B$16,ROW()+1))),"",INDIRECT(CONCATENATE("Input!",RSE_Setup!$B$16,ROW()+1)))</f>
        <v>2.9999999999999997E-4</v>
      </c>
      <c r="B66" s="1" cm="1">
        <f t="array" aca="1" ref="B66" ca="1">IF(ISBLANK(INDIRECT(CONCATENATE("Input!",RSE_Setup!$B$17,ROW()+1))),"",INDIRECT(CONCATENATE("Input!",RSE_Setup!$B$17,ROW()+1)))</f>
        <v>3.0000000000000001E-3</v>
      </c>
      <c r="C66" s="1" cm="1">
        <f t="array" aca="1" ref="C66" ca="1">IF(ISBLANK(INDIRECT(CONCATENATE("Input!",RSE_Setup!$B$18,ROW()+1))),"",INDIRECT(CONCATENATE("Input!",RSE_Setup!$B$18,ROW()+1)))</f>
        <v>3.2258000000000002E-2</v>
      </c>
      <c r="D66" s="1" cm="1">
        <f t="array" aca="1" ref="D66" ca="1">IF(ISBLANK(INDIRECT(CONCATENATE("Input!",RSE_Setup!$B$19,ROW()+1))),"",INDIRECT(CONCATENATE("Input!",RSE_Setup!$B$19,ROW()+1)))</f>
        <v>10000</v>
      </c>
      <c r="E66" s="1" cm="1">
        <f t="array" aca="1" ref="E66" ca="1">IF(ISBLANK(INDIRECT(CONCATENATE("Input!",RSE_Setup!$B$26,ROW()+1))),"",INDIRECT(CONCATENATE("Input!",RSE_Setup!$B$26,ROW()+1)))</f>
        <v>351.33798899999999</v>
      </c>
      <c r="F66" s="1">
        <f ca="1"/>
        <v>354.43055423833181</v>
      </c>
    </row>
    <row r="67" spans="1:6" x14ac:dyDescent="0.3">
      <c r="A67" s="1" cm="1">
        <f t="array" aca="1" ref="A67" ca="1">IF(ISBLANK(INDIRECT(CONCATENATE("Input!",RSE_Setup!$B$16,ROW()+1))),"",INDIRECT(CONCATENATE("Input!",RSE_Setup!$B$16,ROW()+1)))</f>
        <v>2.9999999999999997E-4</v>
      </c>
      <c r="B67" s="1" cm="1">
        <f t="array" aca="1" ref="B67" ca="1">IF(ISBLANK(INDIRECT(CONCATENATE("Input!",RSE_Setup!$B$17,ROW()+1))),"",INDIRECT(CONCATENATE("Input!",RSE_Setup!$B$17,ROW()+1)))</f>
        <v>4.0000000000000001E-3</v>
      </c>
      <c r="C67" s="1" cm="1">
        <f t="array" aca="1" ref="C67" ca="1">IF(ISBLANK(INDIRECT(CONCATENATE("Input!",RSE_Setup!$B$18,ROW()+1))),"",INDIRECT(CONCATENATE("Input!",RSE_Setup!$B$18,ROW()+1)))</f>
        <v>5.5556000000000001E-2</v>
      </c>
      <c r="D67" s="1" cm="1">
        <f t="array" aca="1" ref="D67" ca="1">IF(ISBLANK(INDIRECT(CONCATENATE("Input!",RSE_Setup!$B$19,ROW()+1))),"",INDIRECT(CONCATENATE("Input!",RSE_Setup!$B$19,ROW()+1)))</f>
        <v>6000</v>
      </c>
      <c r="E67" s="1" cm="1">
        <f t="array" aca="1" ref="E67" ca="1">IF(ISBLANK(INDIRECT(CONCATENATE("Input!",RSE_Setup!$B$26,ROW()+1))),"",INDIRECT(CONCATENATE("Input!",RSE_Setup!$B$26,ROW()+1)))</f>
        <v>268.98066799999998</v>
      </c>
      <c r="F67" s="1">
        <f ca="1"/>
        <v>272.84056499369268</v>
      </c>
    </row>
    <row r="68" spans="1:6" x14ac:dyDescent="0.3">
      <c r="A68" s="1" cm="1">
        <f t="array" aca="1" ref="A68" ca="1">IF(ISBLANK(INDIRECT(CONCATENATE("Input!",RSE_Setup!$B$16,ROW()+1))),"",INDIRECT(CONCATENATE("Input!",RSE_Setup!$B$16,ROW()+1)))</f>
        <v>2.9999999999999997E-4</v>
      </c>
      <c r="B68" s="1" cm="1">
        <f t="array" aca="1" ref="B68" ca="1">IF(ISBLANK(INDIRECT(CONCATENATE("Input!",RSE_Setup!$B$17,ROW()+1))),"",INDIRECT(CONCATENATE("Input!",RSE_Setup!$B$17,ROW()+1)))</f>
        <v>4.0000000000000001E-3</v>
      </c>
      <c r="C68" s="1" cm="1">
        <f t="array" aca="1" ref="C68" ca="1">IF(ISBLANK(INDIRECT(CONCATENATE("Input!",RSE_Setup!$B$18,ROW()+1))),"",INDIRECT(CONCATENATE("Input!",RSE_Setup!$B$18,ROW()+1)))</f>
        <v>3.2258000000000002E-2</v>
      </c>
      <c r="D68" s="1" cm="1">
        <f t="array" aca="1" ref="D68" ca="1">IF(ISBLANK(INDIRECT(CONCATENATE("Input!",RSE_Setup!$B$19,ROW()+1))),"",INDIRECT(CONCATENATE("Input!",RSE_Setup!$B$19,ROW()+1)))</f>
        <v>6000</v>
      </c>
      <c r="E68" s="1" cm="1">
        <f t="array" aca="1" ref="E68" ca="1">IF(ISBLANK(INDIRECT(CONCATENATE("Input!",RSE_Setup!$B$26,ROW()+1))),"",INDIRECT(CONCATENATE("Input!",RSE_Setup!$B$26,ROW()+1)))</f>
        <v>258.34662300000002</v>
      </c>
      <c r="F68" s="1">
        <f ca="1"/>
        <v>255.01538193397039</v>
      </c>
    </row>
    <row r="69" spans="1:6" x14ac:dyDescent="0.3">
      <c r="A69" s="1" cm="1">
        <f t="array" aca="1" ref="A69" ca="1">IF(ISBLANK(INDIRECT(CONCATENATE("Input!",RSE_Setup!$B$16,ROW()+1))),"",INDIRECT(CONCATENATE("Input!",RSE_Setup!$B$16,ROW()+1)))</f>
        <v>2.9999999999999997E-4</v>
      </c>
      <c r="B69" s="1" cm="1">
        <f t="array" aca="1" ref="B69" ca="1">IF(ISBLANK(INDIRECT(CONCATENATE("Input!",RSE_Setup!$B$17,ROW()+1))),"",INDIRECT(CONCATENATE("Input!",RSE_Setup!$B$17,ROW()+1)))</f>
        <v>4.0000000000000001E-3</v>
      </c>
      <c r="C69" s="1" cm="1">
        <f t="array" aca="1" ref="C69" ca="1">IF(ISBLANK(INDIRECT(CONCATENATE("Input!",RSE_Setup!$B$18,ROW()+1))),"",INDIRECT(CONCATENATE("Input!",RSE_Setup!$B$18,ROW()+1)))</f>
        <v>3.2258000000000002E-2</v>
      </c>
      <c r="D69" s="1" cm="1">
        <f t="array" aca="1" ref="D69" ca="1">IF(ISBLANK(INDIRECT(CONCATENATE("Input!",RSE_Setup!$B$19,ROW()+1))),"",INDIRECT(CONCATENATE("Input!",RSE_Setup!$B$19,ROW()+1)))</f>
        <v>8000</v>
      </c>
      <c r="E69" s="1" cm="1">
        <f t="array" aca="1" ref="E69" ca="1">IF(ISBLANK(INDIRECT(CONCATENATE("Input!",RSE_Setup!$B$26,ROW()+1))),"",INDIRECT(CONCATENATE("Input!",RSE_Setup!$B$26,ROW()+1)))</f>
        <v>333.13404100000002</v>
      </c>
      <c r="F69" s="1">
        <f ca="1"/>
        <v>336.46660353262223</v>
      </c>
    </row>
    <row r="70" spans="1:6" x14ac:dyDescent="0.3">
      <c r="A70" s="1" cm="1">
        <f t="array" aca="1" ref="A70" ca="1">IF(ISBLANK(INDIRECT(CONCATENATE("Input!",RSE_Setup!$B$16,ROW()+1))),"",INDIRECT(CONCATENATE("Input!",RSE_Setup!$B$16,ROW()+1)))</f>
        <v>2.9999999999999997E-4</v>
      </c>
      <c r="B70" s="1" cm="1">
        <f t="array" aca="1" ref="B70" ca="1">IF(ISBLANK(INDIRECT(CONCATENATE("Input!",RSE_Setup!$B$17,ROW()+1))),"",INDIRECT(CONCATENATE("Input!",RSE_Setup!$B$17,ROW()+1)))</f>
        <v>4.0000000000000001E-3</v>
      </c>
      <c r="C70" s="1" cm="1">
        <f t="array" aca="1" ref="C70" ca="1">IF(ISBLANK(INDIRECT(CONCATENATE("Input!",RSE_Setup!$B$18,ROW()+1))),"",INDIRECT(CONCATENATE("Input!",RSE_Setup!$B$18,ROW()+1)))</f>
        <v>3.2258000000000002E-2</v>
      </c>
      <c r="D70" s="1" cm="1">
        <f t="array" aca="1" ref="D70" ca="1">IF(ISBLANK(INDIRECT(CONCATENATE("Input!",RSE_Setup!$B$19,ROW()+1))),"",INDIRECT(CONCATENATE("Input!",RSE_Setup!$B$19,ROW()+1)))</f>
        <v>10000</v>
      </c>
      <c r="E70" s="1" cm="1">
        <f t="array" aca="1" ref="E70" ca="1">IF(ISBLANK(INDIRECT(CONCATENATE("Input!",RSE_Setup!$B$26,ROW()+1))),"",INDIRECT(CONCATENATE("Input!",RSE_Setup!$B$26,ROW()+1)))</f>
        <v>413.23882800000001</v>
      </c>
      <c r="F70" s="1">
        <f ca="1"/>
        <v>417.66871817043722</v>
      </c>
    </row>
    <row r="71" spans="1:6" x14ac:dyDescent="0.3">
      <c r="A71" s="1" cm="1">
        <f t="array" aca="1" ref="A71" ca="1">IF(ISBLANK(INDIRECT(CONCATENATE("Input!",RSE_Setup!$B$16,ROW()+1))),"",INDIRECT(CONCATENATE("Input!",RSE_Setup!$B$16,ROW()+1)))</f>
        <v>5.0000000000000001E-4</v>
      </c>
      <c r="B71" s="1" cm="1">
        <f t="array" aca="1" ref="B71" ca="1">IF(ISBLANK(INDIRECT(CONCATENATE("Input!",RSE_Setup!$B$17,ROW()+1))),"",INDIRECT(CONCATENATE("Input!",RSE_Setup!$B$17,ROW()+1)))</f>
        <v>3.0000000000000001E-3</v>
      </c>
      <c r="C71" s="1" cm="1">
        <f t="array" aca="1" ref="C71" ca="1">IF(ISBLANK(INDIRECT(CONCATENATE("Input!",RSE_Setup!$B$18,ROW()+1))),"",INDIRECT(CONCATENATE("Input!",RSE_Setup!$B$18,ROW()+1)))</f>
        <v>5.5556000000000001E-2</v>
      </c>
      <c r="D71" s="1" cm="1">
        <f t="array" aca="1" ref="D71" ca="1">IF(ISBLANK(INDIRECT(CONCATENATE("Input!",RSE_Setup!$B$19,ROW()+1))),"",INDIRECT(CONCATENATE("Input!",RSE_Setup!$B$19,ROW()+1)))</f>
        <v>3375</v>
      </c>
      <c r="E71" s="1" cm="1">
        <f t="array" aca="1" ref="E71" ca="1">IF(ISBLANK(INDIRECT(CONCATENATE("Input!",RSE_Setup!$B$26,ROW()+1))),"",INDIRECT(CONCATENATE("Input!",RSE_Setup!$B$26,ROW()+1)))</f>
        <v>148.374382</v>
      </c>
      <c r="F71" s="1">
        <f ca="1"/>
        <v>145.75367982566522</v>
      </c>
    </row>
    <row r="72" spans="1:6" x14ac:dyDescent="0.3">
      <c r="A72" s="1" cm="1">
        <f t="array" aca="1" ref="A72" ca="1">IF(ISBLANK(INDIRECT(CONCATENATE("Input!",RSE_Setup!$B$16,ROW()+1))),"",INDIRECT(CONCATENATE("Input!",RSE_Setup!$B$16,ROW()+1)))</f>
        <v>5.0000000000000001E-4</v>
      </c>
      <c r="B72" s="1" cm="1">
        <f t="array" aca="1" ref="B72" ca="1">IF(ISBLANK(INDIRECT(CONCATENATE("Input!",RSE_Setup!$B$17,ROW()+1))),"",INDIRECT(CONCATENATE("Input!",RSE_Setup!$B$17,ROW()+1)))</f>
        <v>3.0000000000000001E-3</v>
      </c>
      <c r="C72" s="1" cm="1">
        <f t="array" aca="1" ref="C72" ca="1">IF(ISBLANK(INDIRECT(CONCATENATE("Input!",RSE_Setup!$B$18,ROW()+1))),"",INDIRECT(CONCATENATE("Input!",RSE_Setup!$B$18,ROW()+1)))</f>
        <v>5.5556000000000001E-2</v>
      </c>
      <c r="D72" s="1" cm="1">
        <f t="array" aca="1" ref="D72" ca="1">IF(ISBLANK(INDIRECT(CONCATENATE("Input!",RSE_Setup!$B$19,ROW()+1))),"",INDIRECT(CONCATENATE("Input!",RSE_Setup!$B$19,ROW()+1)))</f>
        <v>4500</v>
      </c>
      <c r="E72" s="1" cm="1">
        <f t="array" aca="1" ref="E72" ca="1">IF(ISBLANK(INDIRECT(CONCATENATE("Input!",RSE_Setup!$B$26,ROW()+1))),"",INDIRECT(CONCATENATE("Input!",RSE_Setup!$B$26,ROW()+1)))</f>
        <v>190.55282500000001</v>
      </c>
      <c r="F72" s="1">
        <f ca="1"/>
        <v>188.92039146224081</v>
      </c>
    </row>
    <row r="73" spans="1:6" x14ac:dyDescent="0.3">
      <c r="A73" s="1" cm="1">
        <f t="array" aca="1" ref="A73" ca="1">IF(ISBLANK(INDIRECT(CONCATENATE("Input!",RSE_Setup!$B$16,ROW()+1))),"",INDIRECT(CONCATENATE("Input!",RSE_Setup!$B$16,ROW()+1)))</f>
        <v>5.0000000000000001E-4</v>
      </c>
      <c r="B73" s="1" cm="1">
        <f t="array" aca="1" ref="B73" ca="1">IF(ISBLANK(INDIRECT(CONCATENATE("Input!",RSE_Setup!$B$17,ROW()+1))),"",INDIRECT(CONCATENATE("Input!",RSE_Setup!$B$17,ROW()+1)))</f>
        <v>3.0000000000000001E-3</v>
      </c>
      <c r="C73" s="1" cm="1">
        <f t="array" aca="1" ref="C73" ca="1">IF(ISBLANK(INDIRECT(CONCATENATE("Input!",RSE_Setup!$B$18,ROW()+1))),"",INDIRECT(CONCATENATE("Input!",RSE_Setup!$B$18,ROW()+1)))</f>
        <v>5.5556000000000001E-2</v>
      </c>
      <c r="D73" s="1" cm="1">
        <f t="array" aca="1" ref="D73" ca="1">IF(ISBLANK(INDIRECT(CONCATENATE("Input!",RSE_Setup!$B$19,ROW()+1))),"",INDIRECT(CONCATENATE("Input!",RSE_Setup!$B$19,ROW()+1)))</f>
        <v>6000</v>
      </c>
      <c r="E73" s="1" cm="1">
        <f t="array" aca="1" ref="E73" ca="1">IF(ISBLANK(INDIRECT(CONCATENATE("Input!",RSE_Setup!$B$26,ROW()+1))),"",INDIRECT(CONCATENATE("Input!",RSE_Setup!$B$26,ROW()+1)))</f>
        <v>242.890016</v>
      </c>
      <c r="F73" s="1">
        <f ca="1"/>
        <v>246.35339964538809</v>
      </c>
    </row>
    <row r="74" spans="1:6" x14ac:dyDescent="0.3">
      <c r="A74" s="1" cm="1">
        <f t="array" aca="1" ref="A74" ca="1">IF(ISBLANK(INDIRECT(CONCATENATE("Input!",RSE_Setup!$B$16,ROW()+1))),"",INDIRECT(CONCATENATE("Input!",RSE_Setup!$B$16,ROW()+1)))</f>
        <v>5.0000000000000001E-4</v>
      </c>
      <c r="B74" s="1" cm="1">
        <f t="array" aca="1" ref="B74" ca="1">IF(ISBLANK(INDIRECT(CONCATENATE("Input!",RSE_Setup!$B$17,ROW()+1))),"",INDIRECT(CONCATENATE("Input!",RSE_Setup!$B$17,ROW()+1)))</f>
        <v>3.0000000000000001E-3</v>
      </c>
      <c r="C74" s="1" cm="1">
        <f t="array" aca="1" ref="C74" ca="1">IF(ISBLANK(INDIRECT(CONCATENATE("Input!",RSE_Setup!$B$18,ROW()+1))),"",INDIRECT(CONCATENATE("Input!",RSE_Setup!$B$18,ROW()+1)))</f>
        <v>3.2258000000000002E-2</v>
      </c>
      <c r="D74" s="1" cm="1">
        <f t="array" aca="1" ref="D74" ca="1">IF(ISBLANK(INDIRECT(CONCATENATE("Input!",RSE_Setup!$B$19,ROW()+1))),"",INDIRECT(CONCATENATE("Input!",RSE_Setup!$B$19,ROW()+1)))</f>
        <v>6000</v>
      </c>
      <c r="E74" s="1" cm="1">
        <f t="array" aca="1" ref="E74" ca="1">IF(ISBLANK(INDIRECT(CONCATENATE("Input!",RSE_Setup!$B$26,ROW()+1))),"",INDIRECT(CONCATENATE("Input!",RSE_Setup!$B$26,ROW()+1)))</f>
        <v>230.03091699999999</v>
      </c>
      <c r="F74" s="1">
        <f ca="1"/>
        <v>227.50925310798772</v>
      </c>
    </row>
    <row r="75" spans="1:6" x14ac:dyDescent="0.3">
      <c r="A75" s="1" cm="1">
        <f t="array" aca="1" ref="A75" ca="1">IF(ISBLANK(INDIRECT(CONCATENATE("Input!",RSE_Setup!$B$16,ROW()+1))),"",INDIRECT(CONCATENATE("Input!",RSE_Setup!$B$16,ROW()+1)))</f>
        <v>5.0000000000000001E-4</v>
      </c>
      <c r="B75" s="1" cm="1">
        <f t="array" aca="1" ref="B75" ca="1">IF(ISBLANK(INDIRECT(CONCATENATE("Input!",RSE_Setup!$B$17,ROW()+1))),"",INDIRECT(CONCATENATE("Input!",RSE_Setup!$B$17,ROW()+1)))</f>
        <v>3.0000000000000001E-3</v>
      </c>
      <c r="C75" s="1" cm="1">
        <f t="array" aca="1" ref="C75" ca="1">IF(ISBLANK(INDIRECT(CONCATENATE("Input!",RSE_Setup!$B$18,ROW()+1))),"",INDIRECT(CONCATENATE("Input!",RSE_Setup!$B$18,ROW()+1)))</f>
        <v>3.2258000000000002E-2</v>
      </c>
      <c r="D75" s="1" cm="1">
        <f t="array" aca="1" ref="D75" ca="1">IF(ISBLANK(INDIRECT(CONCATENATE("Input!",RSE_Setup!$B$19,ROW()+1))),"",INDIRECT(CONCATENATE("Input!",RSE_Setup!$B$19,ROW()+1)))</f>
        <v>8000</v>
      </c>
      <c r="E75" s="1" cm="1">
        <f t="array" aca="1" ref="E75" ca="1">IF(ISBLANK(INDIRECT(CONCATENATE("Input!",RSE_Setup!$B$26,ROW()+1))),"",INDIRECT(CONCATENATE("Input!",RSE_Setup!$B$26,ROW()+1)))</f>
        <v>297.24807099999998</v>
      </c>
      <c r="F75" s="1">
        <f ca="1"/>
        <v>299.55189925465106</v>
      </c>
    </row>
    <row r="76" spans="1:6" x14ac:dyDescent="0.3">
      <c r="A76" s="1" cm="1">
        <f t="array" aca="1" ref="A76" ca="1">IF(ISBLANK(INDIRECT(CONCATENATE("Input!",RSE_Setup!$B$16,ROW()+1))),"",INDIRECT(CONCATENATE("Input!",RSE_Setup!$B$16,ROW()+1)))</f>
        <v>5.0000000000000001E-4</v>
      </c>
      <c r="B76" s="1" cm="1">
        <f t="array" aca="1" ref="B76" ca="1">IF(ISBLANK(INDIRECT(CONCATENATE("Input!",RSE_Setup!$B$17,ROW()+1))),"",INDIRECT(CONCATENATE("Input!",RSE_Setup!$B$17,ROW()+1)))</f>
        <v>3.0000000000000001E-3</v>
      </c>
      <c r="C76" s="1" cm="1">
        <f t="array" aca="1" ref="C76" ca="1">IF(ISBLANK(INDIRECT(CONCATENATE("Input!",RSE_Setup!$B$18,ROW()+1))),"",INDIRECT(CONCATENATE("Input!",RSE_Setup!$B$18,ROW()+1)))</f>
        <v>3.2258000000000002E-2</v>
      </c>
      <c r="D76" s="1" cm="1">
        <f t="array" aca="1" ref="D76" ca="1">IF(ISBLANK(INDIRECT(CONCATENATE("Input!",RSE_Setup!$B$19,ROW()+1))),"",INDIRECT(CONCATENATE("Input!",RSE_Setup!$B$19,ROW()+1)))</f>
        <v>10000</v>
      </c>
      <c r="E76" s="1" cm="1">
        <f t="array" aca="1" ref="E76" ca="1">IF(ISBLANK(INDIRECT(CONCATENATE("Input!",RSE_Setup!$B$26,ROW()+1))),"",INDIRECT(CONCATENATE("Input!",RSE_Setup!$B$26,ROW()+1)))</f>
        <v>366.58099199999998</v>
      </c>
      <c r="F76" s="1">
        <f ca="1"/>
        <v>371.34543844047755</v>
      </c>
    </row>
    <row r="77" spans="1:6" x14ac:dyDescent="0.3">
      <c r="A77" s="1" cm="1">
        <f t="array" aca="1" ref="A77" ca="1">IF(ISBLANK(INDIRECT(CONCATENATE("Input!",RSE_Setup!$B$16,ROW()+1))),"",INDIRECT(CONCATENATE("Input!",RSE_Setup!$B$16,ROW()+1)))</f>
        <v>5.0000000000000001E-4</v>
      </c>
      <c r="B77" s="1" cm="1">
        <f t="array" aca="1" ref="B77" ca="1">IF(ISBLANK(INDIRECT(CONCATENATE("Input!",RSE_Setup!$B$17,ROW()+1))),"",INDIRECT(CONCATENATE("Input!",RSE_Setup!$B$17,ROW()+1)))</f>
        <v>4.7499999999999999E-3</v>
      </c>
      <c r="C77" s="1" cm="1">
        <f t="array" aca="1" ref="C77" ca="1">IF(ISBLANK(INDIRECT(CONCATENATE("Input!",RSE_Setup!$B$18,ROW()+1))),"",INDIRECT(CONCATENATE("Input!",RSE_Setup!$B$18,ROW()+1)))</f>
        <v>5.5556000000000001E-2</v>
      </c>
      <c r="D77" s="1" cm="1">
        <f t="array" aca="1" ref="D77" ca="1">IF(ISBLANK(INDIRECT(CONCATENATE("Input!",RSE_Setup!$B$19,ROW()+1))),"",INDIRECT(CONCATENATE("Input!",RSE_Setup!$B$19,ROW()+1)))</f>
        <v>3375</v>
      </c>
      <c r="E77" s="1" cm="1">
        <f t="array" aca="1" ref="E77" ca="1">IF(ISBLANK(INDIRECT(CONCATENATE("Input!",RSE_Setup!$B$26,ROW()+1))),"",INDIRECT(CONCATENATE("Input!",RSE_Setup!$B$26,ROW()+1)))</f>
        <v>184.59710999999999</v>
      </c>
      <c r="F77" s="1">
        <f ca="1"/>
        <v>180.17357498871505</v>
      </c>
    </row>
    <row r="78" spans="1:6" x14ac:dyDescent="0.3">
      <c r="A78" s="1" cm="1">
        <f t="array" aca="1" ref="A78" ca="1">IF(ISBLANK(INDIRECT(CONCATENATE("Input!",RSE_Setup!$B$16,ROW()+1))),"",INDIRECT(CONCATENATE("Input!",RSE_Setup!$B$16,ROW()+1)))</f>
        <v>5.0000000000000001E-4</v>
      </c>
      <c r="B78" s="1" cm="1">
        <f t="array" aca="1" ref="B78" ca="1">IF(ISBLANK(INDIRECT(CONCATENATE("Input!",RSE_Setup!$B$17,ROW()+1))),"",INDIRECT(CONCATENATE("Input!",RSE_Setup!$B$17,ROW()+1)))</f>
        <v>4.7499999999999999E-3</v>
      </c>
      <c r="C78" s="1" cm="1">
        <f t="array" aca="1" ref="C78" ca="1">IF(ISBLANK(INDIRECT(CONCATENATE("Input!",RSE_Setup!$B$18,ROW()+1))),"",INDIRECT(CONCATENATE("Input!",RSE_Setup!$B$18,ROW()+1)))</f>
        <v>5.5556000000000001E-2</v>
      </c>
      <c r="D78" s="1" cm="1">
        <f t="array" aca="1" ref="D78" ca="1">IF(ISBLANK(INDIRECT(CONCATENATE("Input!",RSE_Setup!$B$19,ROW()+1))),"",INDIRECT(CONCATENATE("Input!",RSE_Setup!$B$19,ROW()+1)))</f>
        <v>4500</v>
      </c>
      <c r="E78" s="1" cm="1">
        <f t="array" aca="1" ref="E78" ca="1">IF(ISBLANK(INDIRECT(CONCATENATE("Input!",RSE_Setup!$B$26,ROW()+1))),"",INDIRECT(CONCATENATE("Input!",RSE_Setup!$B$26,ROW()+1)))</f>
        <v>237.47529599999999</v>
      </c>
      <c r="F78" s="1">
        <f ca="1"/>
        <v>236.066927061065</v>
      </c>
    </row>
    <row r="79" spans="1:6" x14ac:dyDescent="0.3">
      <c r="A79" s="1" cm="1">
        <f t="array" aca="1" ref="A79" ca="1">IF(ISBLANK(INDIRECT(CONCATENATE("Input!",RSE_Setup!$B$16,ROW()+1))),"",INDIRECT(CONCATENATE("Input!",RSE_Setup!$B$16,ROW()+1)))</f>
        <v>5.0000000000000001E-4</v>
      </c>
      <c r="B79" s="1" cm="1">
        <f t="array" aca="1" ref="B79" ca="1">IF(ISBLANK(INDIRECT(CONCATENATE("Input!",RSE_Setup!$B$17,ROW()+1))),"",INDIRECT(CONCATENATE("Input!",RSE_Setup!$B$17,ROW()+1)))</f>
        <v>4.7499999999999999E-3</v>
      </c>
      <c r="C79" s="1" cm="1">
        <f t="array" aca="1" ref="C79" ca="1">IF(ISBLANK(INDIRECT(CONCATENATE("Input!",RSE_Setup!$B$18,ROW()+1))),"",INDIRECT(CONCATENATE("Input!",RSE_Setup!$B$18,ROW()+1)))</f>
        <v>5.5556000000000001E-2</v>
      </c>
      <c r="D79" s="1" cm="1">
        <f t="array" aca="1" ref="D79" ca="1">IF(ISBLANK(INDIRECT(CONCATENATE("Input!",RSE_Setup!$B$19,ROW()+1))),"",INDIRECT(CONCATENATE("Input!",RSE_Setup!$B$19,ROW()+1)))</f>
        <v>6000</v>
      </c>
      <c r="E79" s="1" cm="1">
        <f t="array" aca="1" ref="E79" ca="1">IF(ISBLANK(INDIRECT(CONCATENATE("Input!",RSE_Setup!$B$26,ROW()+1))),"",INDIRECT(CONCATENATE("Input!",RSE_Setup!$B$26,ROW()+1)))</f>
        <v>305.38752699999998</v>
      </c>
      <c r="F79" s="1">
        <f ca="1"/>
        <v>310.46878915857798</v>
      </c>
    </row>
    <row r="80" spans="1:6" x14ac:dyDescent="0.3">
      <c r="A80" s="1" cm="1">
        <f t="array" aca="1" ref="A80" ca="1">IF(ISBLANK(INDIRECT(CONCATENATE("Input!",RSE_Setup!$B$16,ROW()+1))),"",INDIRECT(CONCATENATE("Input!",RSE_Setup!$B$16,ROW()+1)))</f>
        <v>5.0000000000000001E-4</v>
      </c>
      <c r="B80" s="1" cm="1">
        <f t="array" aca="1" ref="B80" ca="1">IF(ISBLANK(INDIRECT(CONCATENATE("Input!",RSE_Setup!$B$17,ROW()+1))),"",INDIRECT(CONCATENATE("Input!",RSE_Setup!$B$17,ROW()+1)))</f>
        <v>4.7499999999999999E-3</v>
      </c>
      <c r="C80" s="1" cm="1">
        <f t="array" aca="1" ref="C80" ca="1">IF(ISBLANK(INDIRECT(CONCATENATE("Input!",RSE_Setup!$B$18,ROW()+1))),"",INDIRECT(CONCATENATE("Input!",RSE_Setup!$B$18,ROW()+1)))</f>
        <v>3.2258000000000002E-2</v>
      </c>
      <c r="D80" s="1" cm="1">
        <f t="array" aca="1" ref="D80" ca="1">IF(ISBLANK(INDIRECT(CONCATENATE("Input!",RSE_Setup!$B$19,ROW()+1))),"",INDIRECT(CONCATENATE("Input!",RSE_Setup!$B$19,ROW()+1)))</f>
        <v>6000</v>
      </c>
      <c r="E80" s="1" cm="1">
        <f t="array" aca="1" ref="E80" ca="1">IF(ISBLANK(INDIRECT(CONCATENATE("Input!",RSE_Setup!$B$26,ROW()+1))),"",INDIRECT(CONCATENATE("Input!",RSE_Setup!$B$26,ROW()+1)))</f>
        <v>298.93420300000002</v>
      </c>
      <c r="F80" s="1">
        <f ca="1"/>
        <v>293.93245515164045</v>
      </c>
    </row>
    <row r="81" spans="1:6" x14ac:dyDescent="0.3">
      <c r="A81" s="1" cm="1">
        <f t="array" aca="1" ref="A81" ca="1">IF(ISBLANK(INDIRECT(CONCATENATE("Input!",RSE_Setup!$B$16,ROW()+1))),"",INDIRECT(CONCATENATE("Input!",RSE_Setup!$B$16,ROW()+1)))</f>
        <v>5.0000000000000001E-4</v>
      </c>
      <c r="B81" s="1" cm="1">
        <f t="array" aca="1" ref="B81" ca="1">IF(ISBLANK(INDIRECT(CONCATENATE("Input!",RSE_Setup!$B$17,ROW()+1))),"",INDIRECT(CONCATENATE("Input!",RSE_Setup!$B$17,ROW()+1)))</f>
        <v>4.7499999999999999E-3</v>
      </c>
      <c r="C81" s="1" cm="1">
        <f t="array" aca="1" ref="C81" ca="1">IF(ISBLANK(INDIRECT(CONCATENATE("Input!",RSE_Setup!$B$18,ROW()+1))),"",INDIRECT(CONCATENATE("Input!",RSE_Setup!$B$18,ROW()+1)))</f>
        <v>3.2258000000000002E-2</v>
      </c>
      <c r="D81" s="1" cm="1">
        <f t="array" aca="1" ref="D81" ca="1">IF(ISBLANK(INDIRECT(CONCATENATE("Input!",RSE_Setup!$B$19,ROW()+1))),"",INDIRECT(CONCATENATE("Input!",RSE_Setup!$B$19,ROW()+1)))</f>
        <v>8000</v>
      </c>
      <c r="E81" s="1" cm="1">
        <f t="array" aca="1" ref="E81" ca="1">IF(ISBLANK(INDIRECT(CONCATENATE("Input!",RSE_Setup!$B$26,ROW()+1))),"",INDIRECT(CONCATENATE("Input!",RSE_Setup!$B$26,ROW()+1)))</f>
        <v>389.42391099999998</v>
      </c>
      <c r="F81" s="1">
        <f ca="1"/>
        <v>388.60023985079147</v>
      </c>
    </row>
    <row r="82" spans="1:6" x14ac:dyDescent="0.3">
      <c r="A82" s="1" cm="1">
        <f t="array" aca="1" ref="A82" ca="1">IF(ISBLANK(INDIRECT(CONCATENATE("Input!",RSE_Setup!$B$16,ROW()+1))),"",INDIRECT(CONCATENATE("Input!",RSE_Setup!$B$16,ROW()+1)))</f>
        <v>5.0000000000000001E-4</v>
      </c>
      <c r="B82" s="1" cm="1">
        <f t="array" aca="1" ref="B82" ca="1">IF(ISBLANK(INDIRECT(CONCATENATE("Input!",RSE_Setup!$B$17,ROW()+1))),"",INDIRECT(CONCATENATE("Input!",RSE_Setup!$B$17,ROW()+1)))</f>
        <v>4.7499999999999999E-3</v>
      </c>
      <c r="C82" s="1" cm="1">
        <f t="array" aca="1" ref="C82" ca="1">IF(ISBLANK(INDIRECT(CONCATENATE("Input!",RSE_Setup!$B$18,ROW()+1))),"",INDIRECT(CONCATENATE("Input!",RSE_Setup!$B$18,ROW()+1)))</f>
        <v>3.2258000000000002E-2</v>
      </c>
      <c r="D82" s="1" cm="1">
        <f t="array" aca="1" ref="D82" ca="1">IF(ISBLANK(INDIRECT(CONCATENATE("Input!",RSE_Setup!$B$19,ROW()+1))),"",INDIRECT(CONCATENATE("Input!",RSE_Setup!$B$19,ROW()+1)))</f>
        <v>10000</v>
      </c>
      <c r="E82" s="1" cm="1">
        <f t="array" aca="1" ref="E82" ca="1">IF(ISBLANK(INDIRECT(CONCATENATE("Input!",RSE_Setup!$B$26,ROW()+1))),"",INDIRECT(CONCATENATE("Input!",RSE_Setup!$B$26,ROW()+1)))</f>
        <v>483.64984900000002</v>
      </c>
      <c r="F82" s="1">
        <f ca="1"/>
        <v>483.01891758910557</v>
      </c>
    </row>
    <row r="83" spans="1:6" x14ac:dyDescent="0.3">
      <c r="A83" s="1" cm="1">
        <f t="array" aca="1" ref="A83" ca="1">IF(ISBLANK(INDIRECT(CONCATENATE("Input!",RSE_Setup!$B$16,ROW()+1))),"",INDIRECT(CONCATENATE("Input!",RSE_Setup!$B$16,ROW()+1)))</f>
        <v>5.0000000000000001E-4</v>
      </c>
      <c r="B83" s="1" cm="1">
        <f t="array" aca="1" ref="B83" ca="1">IF(ISBLANK(INDIRECT(CONCATENATE("Input!",RSE_Setup!$B$17,ROW()+1))),"",INDIRECT(CONCATENATE("Input!",RSE_Setup!$B$17,ROW()+1)))</f>
        <v>6.4999999999999997E-3</v>
      </c>
      <c r="C83" s="1" cm="1">
        <f t="array" aca="1" ref="C83" ca="1">IF(ISBLANK(INDIRECT(CONCATENATE("Input!",RSE_Setup!$B$18,ROW()+1))),"",INDIRECT(CONCATENATE("Input!",RSE_Setup!$B$18,ROW()+1)))</f>
        <v>5.5556000000000001E-2</v>
      </c>
      <c r="D83" s="1" cm="1">
        <f t="array" aca="1" ref="D83" ca="1">IF(ISBLANK(INDIRECT(CONCATENATE("Input!",RSE_Setup!$B$19,ROW()+1))),"",INDIRECT(CONCATENATE("Input!",RSE_Setup!$B$19,ROW()+1)))</f>
        <v>3375</v>
      </c>
      <c r="E83" s="1" cm="1">
        <f t="array" aca="1" ref="E83" ca="1">IF(ISBLANK(INDIRECT(CONCATENATE("Input!",RSE_Setup!$B$26,ROW()+1))),"",INDIRECT(CONCATENATE("Input!",RSE_Setup!$B$26,ROW()+1)))</f>
        <v>222.17059800000001</v>
      </c>
      <c r="F83" s="1">
        <f ca="1"/>
        <v>218.24574794499736</v>
      </c>
    </row>
    <row r="84" spans="1:6" x14ac:dyDescent="0.3">
      <c r="A84" s="1" cm="1">
        <f t="array" aca="1" ref="A84" ca="1">IF(ISBLANK(INDIRECT(CONCATENATE("Input!",RSE_Setup!$B$16,ROW()+1))),"",INDIRECT(CONCATENATE("Input!",RSE_Setup!$B$16,ROW()+1)))</f>
        <v>5.0000000000000001E-4</v>
      </c>
      <c r="B84" s="1" cm="1">
        <f t="array" aca="1" ref="B84" ca="1">IF(ISBLANK(INDIRECT(CONCATENATE("Input!",RSE_Setup!$B$17,ROW()+1))),"",INDIRECT(CONCATENATE("Input!",RSE_Setup!$B$17,ROW()+1)))</f>
        <v>6.4999999999999997E-3</v>
      </c>
      <c r="C84" s="1" cm="1">
        <f t="array" aca="1" ref="C84" ca="1">IF(ISBLANK(INDIRECT(CONCATENATE("Input!",RSE_Setup!$B$18,ROW()+1))),"",INDIRECT(CONCATENATE("Input!",RSE_Setup!$B$18,ROW()+1)))</f>
        <v>5.5556000000000001E-2</v>
      </c>
      <c r="D84" s="1" cm="1">
        <f t="array" aca="1" ref="D84" ca="1">IF(ISBLANK(INDIRECT(CONCATENATE("Input!",RSE_Setup!$B$19,ROW()+1))),"",INDIRECT(CONCATENATE("Input!",RSE_Setup!$B$19,ROW()+1)))</f>
        <v>4500</v>
      </c>
      <c r="E84" s="1" cm="1">
        <f t="array" aca="1" ref="E84" ca="1">IF(ISBLANK(INDIRECT(CONCATENATE("Input!",RSE_Setup!$B$26,ROW()+1))),"",INDIRECT(CONCATENATE("Input!",RSE_Setup!$B$26,ROW()+1)))</f>
        <v>287.404382</v>
      </c>
      <c r="F84" s="1">
        <f ca="1"/>
        <v>286.86574045312159</v>
      </c>
    </row>
    <row r="85" spans="1:6" x14ac:dyDescent="0.3">
      <c r="A85" s="1" cm="1">
        <f t="array" aca="1" ref="A85" ca="1">IF(ISBLANK(INDIRECT(CONCATENATE("Input!",RSE_Setup!$B$16,ROW()+1))),"",INDIRECT(CONCATENATE("Input!",RSE_Setup!$B$16,ROW()+1)))</f>
        <v>5.0000000000000001E-4</v>
      </c>
      <c r="B85" s="1" cm="1">
        <f t="array" aca="1" ref="B85" ca="1">IF(ISBLANK(INDIRECT(CONCATENATE("Input!",RSE_Setup!$B$17,ROW()+1))),"",INDIRECT(CONCATENATE("Input!",RSE_Setup!$B$17,ROW()+1)))</f>
        <v>6.4999999999999997E-3</v>
      </c>
      <c r="C85" s="1" cm="1">
        <f t="array" aca="1" ref="C85" ca="1">IF(ISBLANK(INDIRECT(CONCATENATE("Input!",RSE_Setup!$B$18,ROW()+1))),"",INDIRECT(CONCATENATE("Input!",RSE_Setup!$B$18,ROW()+1)))</f>
        <v>5.5556000000000001E-2</v>
      </c>
      <c r="D85" s="1" cm="1">
        <f t="array" aca="1" ref="D85" ca="1">IF(ISBLANK(INDIRECT(CONCATENATE("Input!",RSE_Setup!$B$19,ROW()+1))),"",INDIRECT(CONCATENATE("Input!",RSE_Setup!$B$19,ROW()+1)))</f>
        <v>6000</v>
      </c>
      <c r="E85" s="1" cm="1">
        <f t="array" aca="1" ref="E85" ca="1">IF(ISBLANK(INDIRECT(CONCATENATE("Input!",RSE_Setup!$B$26,ROW()+1))),"",INDIRECT(CONCATENATE("Input!",RSE_Setup!$B$26,ROW()+1)))</f>
        <v>372.68077199999999</v>
      </c>
      <c r="F85" s="1">
        <f ca="1"/>
        <v>378.2364564650004</v>
      </c>
    </row>
    <row r="86" spans="1:6" x14ac:dyDescent="0.3">
      <c r="A86" s="1" cm="1">
        <f t="array" aca="1" ref="A86" ca="1">IF(ISBLANK(INDIRECT(CONCATENATE("Input!",RSE_Setup!$B$16,ROW()+1))),"",INDIRECT(CONCATENATE("Input!",RSE_Setup!$B$16,ROW()+1)))</f>
        <v>5.0000000000000001E-4</v>
      </c>
      <c r="B86" s="1" cm="1">
        <f t="array" aca="1" ref="B86" ca="1">IF(ISBLANK(INDIRECT(CONCATENATE("Input!",RSE_Setup!$B$17,ROW()+1))),"",INDIRECT(CONCATENATE("Input!",RSE_Setup!$B$17,ROW()+1)))</f>
        <v>6.4999999999999997E-3</v>
      </c>
      <c r="C86" s="1" cm="1">
        <f t="array" aca="1" ref="C86" ca="1">IF(ISBLANK(INDIRECT(CONCATENATE("Input!",RSE_Setup!$B$18,ROW()+1))),"",INDIRECT(CONCATENATE("Input!",RSE_Setup!$B$18,ROW()+1)))</f>
        <v>3.2258000000000002E-2</v>
      </c>
      <c r="D86" s="1" cm="1">
        <f t="array" aca="1" ref="D86" ca="1">IF(ISBLANK(INDIRECT(CONCATENATE("Input!",RSE_Setup!$B$19,ROW()+1))),"",INDIRECT(CONCATENATE("Input!",RSE_Setup!$B$19,ROW()+1)))</f>
        <v>6000</v>
      </c>
      <c r="E86" s="1" cm="1">
        <f t="array" aca="1" ref="E86" ca="1">IF(ISBLANK(INDIRECT(CONCATENATE("Input!",RSE_Setup!$B$26,ROW()+1))),"",INDIRECT(CONCATENATE("Input!",RSE_Setup!$B$26,ROW()+1)))</f>
        <v>373.11322899999999</v>
      </c>
      <c r="F86" s="1">
        <f ca="1"/>
        <v>364.00793498852568</v>
      </c>
    </row>
    <row r="87" spans="1:6" x14ac:dyDescent="0.3">
      <c r="A87" s="1" cm="1">
        <f t="array" aca="1" ref="A87" ca="1">IF(ISBLANK(INDIRECT(CONCATENATE("Input!",RSE_Setup!$B$16,ROW()+1))),"",INDIRECT(CONCATENATE("Input!",RSE_Setup!$B$16,ROW()+1)))</f>
        <v>7.5000000000000002E-4</v>
      </c>
      <c r="B87" s="1" cm="1">
        <f t="array" aca="1" ref="B87" ca="1">IF(ISBLANK(INDIRECT(CONCATENATE("Input!",RSE_Setup!$B$17,ROW()+1))),"",INDIRECT(CONCATENATE("Input!",RSE_Setup!$B$17,ROW()+1)))</f>
        <v>4.0000000000000001E-3</v>
      </c>
      <c r="C87" s="1" cm="1">
        <f t="array" aca="1" ref="C87" ca="1">IF(ISBLANK(INDIRECT(CONCATENATE("Input!",RSE_Setup!$B$18,ROW()+1))),"",INDIRECT(CONCATENATE("Input!",RSE_Setup!$B$18,ROW()+1)))</f>
        <v>5.5556000000000001E-2</v>
      </c>
      <c r="D87" s="1" cm="1">
        <f t="array" aca="1" ref="D87" ca="1">IF(ISBLANK(INDIRECT(CONCATENATE("Input!",RSE_Setup!$B$19,ROW()+1))),"",INDIRECT(CONCATENATE("Input!",RSE_Setup!$B$19,ROW()+1)))</f>
        <v>3375</v>
      </c>
      <c r="E87" s="1" cm="1">
        <f t="array" aca="1" ref="E87" ca="1">IF(ISBLANK(INDIRECT(CONCATENATE("Input!",RSE_Setup!$B$26,ROW()+1))),"",INDIRECT(CONCATENATE("Input!",RSE_Setup!$B$26,ROW()+1)))</f>
        <v>175.81759199999999</v>
      </c>
      <c r="F87" s="1">
        <f ca="1"/>
        <v>171.73060303492534</v>
      </c>
    </row>
    <row r="88" spans="1:6" x14ac:dyDescent="0.3">
      <c r="A88" s="1" cm="1">
        <f t="array" aca="1" ref="A88" ca="1">IF(ISBLANK(INDIRECT(CONCATENATE("Input!",RSE_Setup!$B$16,ROW()+1))),"",INDIRECT(CONCATENATE("Input!",RSE_Setup!$B$16,ROW()+1)))</f>
        <v>7.5000000000000002E-4</v>
      </c>
      <c r="B88" s="1" cm="1">
        <f t="array" aca="1" ref="B88" ca="1">IF(ISBLANK(INDIRECT(CONCATENATE("Input!",RSE_Setup!$B$17,ROW()+1))),"",INDIRECT(CONCATENATE("Input!",RSE_Setup!$B$17,ROW()+1)))</f>
        <v>4.0000000000000001E-3</v>
      </c>
      <c r="C88" s="1" cm="1">
        <f t="array" aca="1" ref="C88" ca="1">IF(ISBLANK(INDIRECT(CONCATENATE("Input!",RSE_Setup!$B$18,ROW()+1))),"",INDIRECT(CONCATENATE("Input!",RSE_Setup!$B$18,ROW()+1)))</f>
        <v>5.5556000000000001E-2</v>
      </c>
      <c r="D88" s="1" cm="1">
        <f t="array" aca="1" ref="D88" ca="1">IF(ISBLANK(INDIRECT(CONCATENATE("Input!",RSE_Setup!$B$19,ROW()+1))),"",INDIRECT(CONCATENATE("Input!",RSE_Setup!$B$19,ROW()+1)))</f>
        <v>4500</v>
      </c>
      <c r="E88" s="1" cm="1">
        <f t="array" aca="1" ref="E88" ca="1">IF(ISBLANK(INDIRECT(CONCATENATE("Input!",RSE_Setup!$B$26,ROW()+1))),"",INDIRECT(CONCATENATE("Input!",RSE_Setup!$B$26,ROW()+1)))</f>
        <v>225.88235</v>
      </c>
      <c r="F88" s="1">
        <f ca="1"/>
        <v>224.64473347424561</v>
      </c>
    </row>
    <row r="89" spans="1:6" x14ac:dyDescent="0.3">
      <c r="A89" s="1" cm="1">
        <f t="array" aca="1" ref="A89" ca="1">IF(ISBLANK(INDIRECT(CONCATENATE("Input!",RSE_Setup!$B$16,ROW()+1))),"",INDIRECT(CONCATENATE("Input!",RSE_Setup!$B$16,ROW()+1)))</f>
        <v>7.5000000000000002E-4</v>
      </c>
      <c r="B89" s="1" cm="1">
        <f t="array" aca="1" ref="B89" ca="1">IF(ISBLANK(INDIRECT(CONCATENATE("Input!",RSE_Setup!$B$17,ROW()+1))),"",INDIRECT(CONCATENATE("Input!",RSE_Setup!$B$17,ROW()+1)))</f>
        <v>4.0000000000000001E-3</v>
      </c>
      <c r="C89" s="1" cm="1">
        <f t="array" aca="1" ref="C89" ca="1">IF(ISBLANK(INDIRECT(CONCATENATE("Input!",RSE_Setup!$B$18,ROW()+1))),"",INDIRECT(CONCATENATE("Input!",RSE_Setup!$B$18,ROW()+1)))</f>
        <v>5.5556000000000001E-2</v>
      </c>
      <c r="D89" s="1" cm="1">
        <f t="array" aca="1" ref="D89" ca="1">IF(ISBLANK(INDIRECT(CONCATENATE("Input!",RSE_Setup!$B$19,ROW()+1))),"",INDIRECT(CONCATENATE("Input!",RSE_Setup!$B$19,ROW()+1)))</f>
        <v>6000</v>
      </c>
      <c r="E89" s="1" cm="1">
        <f t="array" aca="1" ref="E89" ca="1">IF(ISBLANK(INDIRECT(CONCATENATE("Input!",RSE_Setup!$B$26,ROW()+1))),"",INDIRECT(CONCATENATE("Input!",RSE_Setup!$B$26,ROW()+1)))</f>
        <v>289.697138</v>
      </c>
      <c r="F89" s="1">
        <f ca="1"/>
        <v>295.0743000610525</v>
      </c>
    </row>
    <row r="90" spans="1:6" x14ac:dyDescent="0.3">
      <c r="A90" s="1" cm="1">
        <f t="array" aca="1" ref="A90" ca="1">IF(ISBLANK(INDIRECT(CONCATENATE("Input!",RSE_Setup!$B$16,ROW()+1))),"",INDIRECT(CONCATENATE("Input!",RSE_Setup!$B$16,ROW()+1)))</f>
        <v>7.5000000000000002E-4</v>
      </c>
      <c r="B90" s="1" cm="1">
        <f t="array" aca="1" ref="B90" ca="1">IF(ISBLANK(INDIRECT(CONCATENATE("Input!",RSE_Setup!$B$17,ROW()+1))),"",INDIRECT(CONCATENATE("Input!",RSE_Setup!$B$17,ROW()+1)))</f>
        <v>4.0000000000000001E-3</v>
      </c>
      <c r="C90" s="1" cm="1">
        <f t="array" aca="1" ref="C90" ca="1">IF(ISBLANK(INDIRECT(CONCATENATE("Input!",RSE_Setup!$B$18,ROW()+1))),"",INDIRECT(CONCATENATE("Input!",RSE_Setup!$B$18,ROW()+1)))</f>
        <v>3.2258000000000002E-2</v>
      </c>
      <c r="D90" s="1" cm="1">
        <f t="array" aca="1" ref="D90" ca="1">IF(ISBLANK(INDIRECT(CONCATENATE("Input!",RSE_Setup!$B$19,ROW()+1))),"",INDIRECT(CONCATENATE("Input!",RSE_Setup!$B$19,ROW()+1)))</f>
        <v>6000</v>
      </c>
      <c r="E90" s="1" cm="1">
        <f t="array" aca="1" ref="E90" ca="1">IF(ISBLANK(INDIRECT(CONCATENATE("Input!",RSE_Setup!$B$26,ROW()+1))),"",INDIRECT(CONCATENATE("Input!",RSE_Setup!$B$26,ROW()+1)))</f>
        <v>281.30721199999999</v>
      </c>
      <c r="F90" s="1">
        <f ca="1"/>
        <v>277.92363671572105</v>
      </c>
    </row>
    <row r="91" spans="1:6" x14ac:dyDescent="0.3">
      <c r="A91" s="1" cm="1">
        <f t="array" aca="1" ref="A91" ca="1">IF(ISBLANK(INDIRECT(CONCATENATE("Input!",RSE_Setup!$B$16,ROW()+1))),"",INDIRECT(CONCATENATE("Input!",RSE_Setup!$B$16,ROW()+1)))</f>
        <v>7.5000000000000002E-4</v>
      </c>
      <c r="B91" s="1" cm="1">
        <f t="array" aca="1" ref="B91" ca="1">IF(ISBLANK(INDIRECT(CONCATENATE("Input!",RSE_Setup!$B$17,ROW()+1))),"",INDIRECT(CONCATENATE("Input!",RSE_Setup!$B$17,ROW()+1)))</f>
        <v>6.0000000000000001E-3</v>
      </c>
      <c r="C91" s="1" cm="1">
        <f t="array" aca="1" ref="C91" ca="1">IF(ISBLANK(INDIRECT(CONCATENATE("Input!",RSE_Setup!$B$18,ROW()+1))),"",INDIRECT(CONCATENATE("Input!",RSE_Setup!$B$18,ROW()+1)))</f>
        <v>5.5556000000000001E-2</v>
      </c>
      <c r="D91" s="1" cm="1">
        <f t="array" aca="1" ref="D91" ca="1">IF(ISBLANK(INDIRECT(CONCATENATE("Input!",RSE_Setup!$B$19,ROW()+1))),"",INDIRECT(CONCATENATE("Input!",RSE_Setup!$B$19,ROW()+1)))</f>
        <v>3375</v>
      </c>
      <c r="E91" s="1" cm="1">
        <f t="array" aca="1" ref="E91" ca="1">IF(ISBLANK(INDIRECT(CONCATENATE("Input!",RSE_Setup!$B$26,ROW()+1))),"",INDIRECT(CONCATENATE("Input!",RSE_Setup!$B$26,ROW()+1)))</f>
        <v>218.22495599999999</v>
      </c>
      <c r="F91" s="1">
        <f ca="1"/>
        <v>214.07101980043004</v>
      </c>
    </row>
    <row r="92" spans="1:6" x14ac:dyDescent="0.3">
      <c r="A92" s="1" cm="1">
        <f t="array" aca="1" ref="A92" ca="1">IF(ISBLANK(INDIRECT(CONCATENATE("Input!",RSE_Setup!$B$16,ROW()+1))),"",INDIRECT(CONCATENATE("Input!",RSE_Setup!$B$16,ROW()+1)))</f>
        <v>7.5000000000000002E-4</v>
      </c>
      <c r="B92" s="1" cm="1">
        <f t="array" aca="1" ref="B92" ca="1">IF(ISBLANK(INDIRECT(CONCATENATE("Input!",RSE_Setup!$B$17,ROW()+1))),"",INDIRECT(CONCATENATE("Input!",RSE_Setup!$B$17,ROW()+1)))</f>
        <v>6.0000000000000001E-3</v>
      </c>
      <c r="C92" s="1" cm="1">
        <f t="array" aca="1" ref="C92" ca="1">IF(ISBLANK(INDIRECT(CONCATENATE("Input!",RSE_Setup!$B$18,ROW()+1))),"",INDIRECT(CONCATENATE("Input!",RSE_Setup!$B$18,ROW()+1)))</f>
        <v>5.5556000000000001E-2</v>
      </c>
      <c r="D92" s="1" cm="1">
        <f t="array" aca="1" ref="D92" ca="1">IF(ISBLANK(INDIRECT(CONCATENATE("Input!",RSE_Setup!$B$19,ROW()+1))),"",INDIRECT(CONCATENATE("Input!",RSE_Setup!$B$19,ROW()+1)))</f>
        <v>4500</v>
      </c>
      <c r="E92" s="1" cm="1">
        <f t="array" aca="1" ref="E92" ca="1">IF(ISBLANK(INDIRECT(CONCATENATE("Input!",RSE_Setup!$B$26,ROW()+1))),"",INDIRECT(CONCATENATE("Input!",RSE_Setup!$B$26,ROW()+1)))</f>
        <v>282.10280399999999</v>
      </c>
      <c r="F92" s="1">
        <f ca="1"/>
        <v>281.52988216634958</v>
      </c>
    </row>
    <row r="93" spans="1:6" x14ac:dyDescent="0.3">
      <c r="A93" s="1" cm="1">
        <f t="array" aca="1" ref="A93" ca="1">IF(ISBLANK(INDIRECT(CONCATENATE("Input!",RSE_Setup!$B$16,ROW()+1))),"",INDIRECT(CONCATENATE("Input!",RSE_Setup!$B$16,ROW()+1)))</f>
        <v>7.5000000000000002E-4</v>
      </c>
      <c r="B93" s="1" cm="1">
        <f t="array" aca="1" ref="B93" ca="1">IF(ISBLANK(INDIRECT(CONCATENATE("Input!",RSE_Setup!$B$17,ROW()+1))),"",INDIRECT(CONCATENATE("Input!",RSE_Setup!$B$17,ROW()+1)))</f>
        <v>6.0000000000000001E-3</v>
      </c>
      <c r="C93" s="1" cm="1">
        <f t="array" aca="1" ref="C93" ca="1">IF(ISBLANK(INDIRECT(CONCATENATE("Input!",RSE_Setup!$B$18,ROW()+1))),"",INDIRECT(CONCATENATE("Input!",RSE_Setup!$B$18,ROW()+1)))</f>
        <v>5.5556000000000001E-2</v>
      </c>
      <c r="D93" s="1" cm="1">
        <f t="array" aca="1" ref="D93" ca="1">IF(ISBLANK(INDIRECT(CONCATENATE("Input!",RSE_Setup!$B$19,ROW()+1))),"",INDIRECT(CONCATENATE("Input!",RSE_Setup!$B$19,ROW()+1)))</f>
        <v>6000</v>
      </c>
      <c r="E93" s="1" cm="1">
        <f t="array" aca="1" ref="E93" ca="1">IF(ISBLANK(INDIRECT(CONCATENATE("Input!",RSE_Setup!$B$26,ROW()+1))),"",INDIRECT(CONCATENATE("Input!",RSE_Setup!$B$26,ROW()+1)))</f>
        <v>364.621803</v>
      </c>
      <c r="F93" s="1">
        <f ca="1"/>
        <v>371.3524246552887</v>
      </c>
    </row>
    <row r="94" spans="1:6" x14ac:dyDescent="0.3">
      <c r="A94" s="1" cm="1">
        <f t="array" aca="1" ref="A94" ca="1">IF(ISBLANK(INDIRECT(CONCATENATE("Input!",RSE_Setup!$B$16,ROW()+1))),"",INDIRECT(CONCATENATE("Input!",RSE_Setup!$B$16,ROW()+1)))</f>
        <v>7.5000000000000002E-4</v>
      </c>
      <c r="B94" s="1" cm="1">
        <f t="array" aca="1" ref="B94" ca="1">IF(ISBLANK(INDIRECT(CONCATENATE("Input!",RSE_Setup!$B$17,ROW()+1))),"",INDIRECT(CONCATENATE("Input!",RSE_Setup!$B$17,ROW()+1)))</f>
        <v>6.0000000000000001E-3</v>
      </c>
      <c r="C94" s="1" cm="1">
        <f t="array" aca="1" ref="C94" ca="1">IF(ISBLANK(INDIRECT(CONCATENATE("Input!",RSE_Setup!$B$18,ROW()+1))),"",INDIRECT(CONCATENATE("Input!",RSE_Setup!$B$18,ROW()+1)))</f>
        <v>3.2258000000000002E-2</v>
      </c>
      <c r="D94" s="1" cm="1">
        <f t="array" aca="1" ref="D94" ca="1">IF(ISBLANK(INDIRECT(CONCATENATE("Input!",RSE_Setup!$B$19,ROW()+1))),"",INDIRECT(CONCATENATE("Input!",RSE_Setup!$B$19,ROW()+1)))</f>
        <v>6000</v>
      </c>
      <c r="E94" s="1" cm="1">
        <f t="array" aca="1" ref="E94" ca="1">IF(ISBLANK(INDIRECT(CONCATENATE("Input!",RSE_Setup!$B$26,ROW()+1))),"",INDIRECT(CONCATENATE("Input!",RSE_Setup!$B$26,ROW()+1)))</f>
        <v>365.90974699999998</v>
      </c>
      <c r="F94" s="1">
        <f ca="1"/>
        <v>356.8392613447719</v>
      </c>
    </row>
    <row r="95" spans="1:6" x14ac:dyDescent="0.3">
      <c r="A95" s="1" cm="1">
        <f t="array" aca="1" ref="A95" ca="1">IF(ISBLANK(INDIRECT(CONCATENATE("Input!",RSE_Setup!$B$16,ROW()+1))),"",INDIRECT(CONCATENATE("Input!",RSE_Setup!$B$16,ROW()+1)))</f>
        <v>7.5000000000000002E-4</v>
      </c>
      <c r="B95" s="1" cm="1">
        <f t="array" aca="1" ref="B95" ca="1">IF(ISBLANK(INDIRECT(CONCATENATE("Input!",RSE_Setup!$B$17,ROW()+1))),"",INDIRECT(CONCATENATE("Input!",RSE_Setup!$B$17,ROW()+1)))</f>
        <v>8.0000000000000002E-3</v>
      </c>
      <c r="C95" s="1" cm="1">
        <f t="array" aca="1" ref="C95" ca="1">IF(ISBLANK(INDIRECT(CONCATENATE("Input!",RSE_Setup!$B$18,ROW()+1))),"",INDIRECT(CONCATENATE("Input!",RSE_Setup!$B$18,ROW()+1)))</f>
        <v>5.5556000000000001E-2</v>
      </c>
      <c r="D95" s="1" cm="1">
        <f t="array" aca="1" ref="D95" ca="1">IF(ISBLANK(INDIRECT(CONCATENATE("Input!",RSE_Setup!$B$19,ROW()+1))),"",INDIRECT(CONCATENATE("Input!",RSE_Setup!$B$19,ROW()+1)))</f>
        <v>4500</v>
      </c>
      <c r="E95" s="1" cm="1">
        <f t="array" aca="1" ref="E95" ca="1">IF(ISBLANK(INDIRECT(CONCATENATE("Input!",RSE_Setup!$B$26,ROW()+1))),"",INDIRECT(CONCATENATE("Input!",RSE_Setup!$B$26,ROW()+1)))</f>
        <v>340.33077100000003</v>
      </c>
      <c r="F95" s="1">
        <f ca="1"/>
        <v>343.18535287410396</v>
      </c>
    </row>
    <row r="96" spans="1:6" x14ac:dyDescent="0.3">
      <c r="A96" s="1" cm="1">
        <f t="array" aca="1" ref="A96" ca="1">IF(ISBLANK(INDIRECT(CONCATENATE("Input!",RSE_Setup!$B$16,ROW()+1))),"",INDIRECT(CONCATENATE("Input!",RSE_Setup!$B$16,ROW()+1)))</f>
        <v>7.5000000000000002E-4</v>
      </c>
      <c r="B96" s="1" cm="1">
        <f t="array" aca="1" ref="B96" ca="1">IF(ISBLANK(INDIRECT(CONCATENATE("Input!",RSE_Setup!$B$17,ROW()+1))),"",INDIRECT(CONCATENATE("Input!",RSE_Setup!$B$17,ROW()+1)))</f>
        <v>8.0000000000000002E-3</v>
      </c>
      <c r="C96" s="1" cm="1">
        <f t="array" aca="1" ref="C96" ca="1">IF(ISBLANK(INDIRECT(CONCATENATE("Input!",RSE_Setup!$B$18,ROW()+1))),"",INDIRECT(CONCATENATE("Input!",RSE_Setup!$B$18,ROW()+1)))</f>
        <v>5.5556000000000001E-2</v>
      </c>
      <c r="D96" s="1" cm="1">
        <f t="array" aca="1" ref="D96" ca="1">IF(ISBLANK(INDIRECT(CONCATENATE("Input!",RSE_Setup!$B$19,ROW()+1))),"",INDIRECT(CONCATENATE("Input!",RSE_Setup!$B$19,ROW()+1)))</f>
        <v>6000</v>
      </c>
      <c r="E96" s="1" cm="1">
        <f t="array" aca="1" ref="E96" ca="1">IF(ISBLANK(INDIRECT(CONCATENATE("Input!",RSE_Setup!$B$26,ROW()+1))),"",INDIRECT(CONCATENATE("Input!",RSE_Setup!$B$26,ROW()+1)))</f>
        <v>448.21660800000001</v>
      </c>
      <c r="F96" s="1">
        <f ca="1"/>
        <v>452.40087126517534</v>
      </c>
    </row>
    <row r="97" spans="1:6" x14ac:dyDescent="0.3">
      <c r="A97" s="1" cm="1">
        <f t="array" aca="1" ref="A97" ca="1">IF(ISBLANK(INDIRECT(CONCATENATE("Input!",RSE_Setup!$B$16,ROW()+1))),"",INDIRECT(CONCATENATE("Input!",RSE_Setup!$B$16,ROW()+1)))</f>
        <v>7.5000000000000002E-4</v>
      </c>
      <c r="B97" s="1" cm="1">
        <f t="array" aca="1" ref="B97" ca="1">IF(ISBLANK(INDIRECT(CONCATENATE("Input!",RSE_Setup!$B$17,ROW()+1))),"",INDIRECT(CONCATENATE("Input!",RSE_Setup!$B$17,ROW()+1)))</f>
        <v>8.0000000000000002E-3</v>
      </c>
      <c r="C97" s="1" cm="1">
        <f t="array" aca="1" ref="C97" ca="1">IF(ISBLANK(INDIRECT(CONCATENATE("Input!",RSE_Setup!$B$18,ROW()+1))),"",INDIRECT(CONCATENATE("Input!",RSE_Setup!$B$18,ROW()+1)))</f>
        <v>3.2258000000000002E-2</v>
      </c>
      <c r="D97" s="1" cm="1">
        <f t="array" aca="1" ref="D97" ca="1">IF(ISBLANK(INDIRECT(CONCATENATE("Input!",RSE_Setup!$B$19,ROW()+1))),"",INDIRECT(CONCATENATE("Input!",RSE_Setup!$B$19,ROW()+1)))</f>
        <v>6000</v>
      </c>
      <c r="E97" s="1" cm="1">
        <f t="array" aca="1" ref="E97" ca="1">IF(ISBLANK(INDIRECT(CONCATENATE("Input!",RSE_Setup!$B$26,ROW()+1))),"",INDIRECT(CONCATENATE("Input!",RSE_Setup!$B$26,ROW()+1)))</f>
        <v>448.53223000000003</v>
      </c>
      <c r="F97" s="1">
        <f ca="1"/>
        <v>440.52520798947319</v>
      </c>
    </row>
    <row r="98" spans="1:6" x14ac:dyDescent="0.3">
      <c r="A98" s="1" cm="1">
        <f t="array" aca="1" ref="A98" ca="1">IF(ISBLANK(INDIRECT(CONCATENATE("Input!",RSE_Setup!$B$16,ROW()+1))),"",INDIRECT(CONCATENATE("Input!",RSE_Setup!$B$16,ROW()+1)))</f>
        <v>1E-3</v>
      </c>
      <c r="B98" s="1" cm="1">
        <f t="array" aca="1" ref="B98" ca="1">IF(ISBLANK(INDIRECT(CONCATENATE("Input!",RSE_Setup!$B$17,ROW()+1))),"",INDIRECT(CONCATENATE("Input!",RSE_Setup!$B$17,ROW()+1)))</f>
        <v>5.0000000000000001E-3</v>
      </c>
      <c r="C98" s="1" cm="1">
        <f t="array" aca="1" ref="C98" ca="1">IF(ISBLANK(INDIRECT(CONCATENATE("Input!",RSE_Setup!$B$18,ROW()+1))),"",INDIRECT(CONCATENATE("Input!",RSE_Setup!$B$18,ROW()+1)))</f>
        <v>5.5556000000000001E-2</v>
      </c>
      <c r="D98" s="1" cm="1">
        <f t="array" aca="1" ref="D98" ca="1">IF(ISBLANK(INDIRECT(CONCATENATE("Input!",RSE_Setup!$B$19,ROW()+1))),"",INDIRECT(CONCATENATE("Input!",RSE_Setup!$B$19,ROW()+1)))</f>
        <v>3375</v>
      </c>
      <c r="E98" s="1" cm="1">
        <f t="array" aca="1" ref="E98" ca="1">IF(ISBLANK(INDIRECT(CONCATENATE("Input!",RSE_Setup!$B$26,ROW()+1))),"",INDIRECT(CONCATENATE("Input!",RSE_Setup!$B$26,ROW()+1)))</f>
        <v>203.47421800000001</v>
      </c>
      <c r="F98" s="1">
        <f ca="1"/>
        <v>199.66688841406628</v>
      </c>
    </row>
    <row r="99" spans="1:6" x14ac:dyDescent="0.3">
      <c r="A99" s="1" cm="1">
        <f t="array" aca="1" ref="A99" ca="1">IF(ISBLANK(INDIRECT(CONCATENATE("Input!",RSE_Setup!$B$16,ROW()+1))),"",INDIRECT(CONCATENATE("Input!",RSE_Setup!$B$16,ROW()+1)))</f>
        <v>1E-3</v>
      </c>
      <c r="B99" s="1" cm="1">
        <f t="array" aca="1" ref="B99" ca="1">IF(ISBLANK(INDIRECT(CONCATENATE("Input!",RSE_Setup!$B$17,ROW()+1))),"",INDIRECT(CONCATENATE("Input!",RSE_Setup!$B$17,ROW()+1)))</f>
        <v>5.0000000000000001E-3</v>
      </c>
      <c r="C99" s="1" cm="1">
        <f t="array" aca="1" ref="C99" ca="1">IF(ISBLANK(INDIRECT(CONCATENATE("Input!",RSE_Setup!$B$18,ROW()+1))),"",INDIRECT(CONCATENATE("Input!",RSE_Setup!$B$18,ROW()+1)))</f>
        <v>5.5556000000000001E-2</v>
      </c>
      <c r="D99" s="1" cm="1">
        <f t="array" aca="1" ref="D99" ca="1">IF(ISBLANK(INDIRECT(CONCATENATE("Input!",RSE_Setup!$B$19,ROW()+1))),"",INDIRECT(CONCATENATE("Input!",RSE_Setup!$B$19,ROW()+1)))</f>
        <v>4500</v>
      </c>
      <c r="E99" s="1" cm="1">
        <f t="array" aca="1" ref="E99" ca="1">IF(ISBLANK(INDIRECT(CONCATENATE("Input!",RSE_Setup!$B$26,ROW()+1))),"",INDIRECT(CONCATENATE("Input!",RSE_Setup!$B$26,ROW()+1)))</f>
        <v>262.58121599999998</v>
      </c>
      <c r="F99" s="1">
        <f ca="1"/>
        <v>262.32843765613131</v>
      </c>
    </row>
    <row r="100" spans="1:6" x14ac:dyDescent="0.3">
      <c r="A100" s="1" cm="1">
        <f t="array" aca="1" ref="A100" ca="1">IF(ISBLANK(INDIRECT(CONCATENATE("Input!",RSE_Setup!$B$16,ROW()+1))),"",INDIRECT(CONCATENATE("Input!",RSE_Setup!$B$16,ROW()+1)))</f>
        <v>1E-3</v>
      </c>
      <c r="B100" s="1" cm="1">
        <f t="array" aca="1" ref="B100" ca="1">IF(ISBLANK(INDIRECT(CONCATENATE("Input!",RSE_Setup!$B$17,ROW()+1))),"",INDIRECT(CONCATENATE("Input!",RSE_Setup!$B$17,ROW()+1)))</f>
        <v>5.0000000000000001E-3</v>
      </c>
      <c r="C100" s="1" cm="1">
        <f t="array" aca="1" ref="C100" ca="1">IF(ISBLANK(INDIRECT(CONCATENATE("Input!",RSE_Setup!$B$18,ROW()+1))),"",INDIRECT(CONCATENATE("Input!",RSE_Setup!$B$18,ROW()+1)))</f>
        <v>5.5556000000000001E-2</v>
      </c>
      <c r="D100" s="1" cm="1">
        <f t="array" aca="1" ref="D100" ca="1">IF(ISBLANK(INDIRECT(CONCATENATE("Input!",RSE_Setup!$B$19,ROW()+1))),"",INDIRECT(CONCATENATE("Input!",RSE_Setup!$B$19,ROW()+1)))</f>
        <v>6000</v>
      </c>
      <c r="E100" s="1" cm="1">
        <f t="array" aca="1" ref="E100" ca="1">IF(ISBLANK(INDIRECT(CONCATENATE("Input!",RSE_Setup!$B$26,ROW()+1))),"",INDIRECT(CONCATENATE("Input!",RSE_Setup!$B$26,ROW()+1)))</f>
        <v>338.96146599999997</v>
      </c>
      <c r="F100" s="1">
        <f ca="1"/>
        <v>345.75456264659772</v>
      </c>
    </row>
    <row r="101" spans="1:6" x14ac:dyDescent="0.3">
      <c r="A101" s="1" cm="1">
        <f t="array" aca="1" ref="A101" ca="1">IF(ISBLANK(INDIRECT(CONCATENATE("Input!",RSE_Setup!$B$16,ROW()+1))),"",INDIRECT(CONCATENATE("Input!",RSE_Setup!$B$16,ROW()+1)))</f>
        <v>1E-3</v>
      </c>
      <c r="B101" s="1" cm="1">
        <f t="array" aca="1" ref="B101" ca="1">IF(ISBLANK(INDIRECT(CONCATENATE("Input!",RSE_Setup!$B$17,ROW()+1))),"",INDIRECT(CONCATENATE("Input!",RSE_Setup!$B$17,ROW()+1)))</f>
        <v>5.0000000000000001E-3</v>
      </c>
      <c r="C101" s="1" cm="1">
        <f t="array" aca="1" ref="C101" ca="1">IF(ISBLANK(INDIRECT(CONCATENATE("Input!",RSE_Setup!$B$18,ROW()+1))),"",INDIRECT(CONCATENATE("Input!",RSE_Setup!$B$18,ROW()+1)))</f>
        <v>3.2258000000000002E-2</v>
      </c>
      <c r="D101" s="1" cm="1">
        <f t="array" aca="1" ref="D101" ca="1">IF(ISBLANK(INDIRECT(CONCATENATE("Input!",RSE_Setup!$B$19,ROW()+1))),"",INDIRECT(CONCATENATE("Input!",RSE_Setup!$B$19,ROW()+1)))</f>
        <v>6000</v>
      </c>
      <c r="E101" s="1" cm="1">
        <f t="array" aca="1" ref="E101" ca="1">IF(ISBLANK(INDIRECT(CONCATENATE("Input!",RSE_Setup!$B$26,ROW()+1))),"",INDIRECT(CONCATENATE("Input!",RSE_Setup!$B$26,ROW()+1)))</f>
        <v>336.83582799999999</v>
      </c>
      <c r="F101" s="1">
        <f ca="1"/>
        <v>330.29738249333514</v>
      </c>
    </row>
    <row r="102" spans="1:6" x14ac:dyDescent="0.3">
      <c r="A102" s="1" cm="1">
        <f t="array" aca="1" ref="A102" ca="1">IF(ISBLANK(INDIRECT(CONCATENATE("Input!",RSE_Setup!$B$16,ROW()+1))),"",INDIRECT(CONCATENATE("Input!",RSE_Setup!$B$16,ROW()+1)))</f>
        <v>1E-3</v>
      </c>
      <c r="B102" s="1" cm="1">
        <f t="array" aca="1" ref="B102" ca="1">IF(ISBLANK(INDIRECT(CONCATENATE("Input!",RSE_Setup!$B$17,ROW()+1))),"",INDIRECT(CONCATENATE("Input!",RSE_Setup!$B$17,ROW()+1)))</f>
        <v>6.4999999999999997E-3</v>
      </c>
      <c r="C102" s="1" cm="1">
        <f t="array" aca="1" ref="C102" ca="1">IF(ISBLANK(INDIRECT(CONCATENATE("Input!",RSE_Setup!$B$18,ROW()+1))),"",INDIRECT(CONCATENATE("Input!",RSE_Setup!$B$18,ROW()+1)))</f>
        <v>5.5556000000000001E-2</v>
      </c>
      <c r="D102" s="1" cm="1">
        <f t="array" aca="1" ref="D102" ca="1">IF(ISBLANK(INDIRECT(CONCATENATE("Input!",RSE_Setup!$B$19,ROW()+1))),"",INDIRECT(CONCATENATE("Input!",RSE_Setup!$B$19,ROW()+1)))</f>
        <v>3375</v>
      </c>
      <c r="E102" s="1" cm="1">
        <f t="array" aca="1" ref="E102" ca="1">IF(ISBLANK(INDIRECT(CONCATENATE("Input!",RSE_Setup!$B$26,ROW()+1))),"",INDIRECT(CONCATENATE("Input!",RSE_Setup!$B$26,ROW()+1)))</f>
        <v>236.72224700000001</v>
      </c>
      <c r="F102" s="1">
        <f ca="1"/>
        <v>233.00391974625825</v>
      </c>
    </row>
    <row r="103" spans="1:6" x14ac:dyDescent="0.3">
      <c r="A103" s="1" cm="1">
        <f t="array" aca="1" ref="A103" ca="1">IF(ISBLANK(INDIRECT(CONCATENATE("Input!",RSE_Setup!$B$16,ROW()+1))),"",INDIRECT(CONCATENATE("Input!",RSE_Setup!$B$16,ROW()+1)))</f>
        <v>1E-3</v>
      </c>
      <c r="B103" s="1" cm="1">
        <f t="array" aca="1" ref="B103" ca="1">IF(ISBLANK(INDIRECT(CONCATENATE("Input!",RSE_Setup!$B$17,ROW()+1))),"",INDIRECT(CONCATENATE("Input!",RSE_Setup!$B$17,ROW()+1)))</f>
        <v>6.4999999999999997E-3</v>
      </c>
      <c r="C103" s="1" cm="1">
        <f t="array" aca="1" ref="C103" ca="1">IF(ISBLANK(INDIRECT(CONCATENATE("Input!",RSE_Setup!$B$18,ROW()+1))),"",INDIRECT(CONCATENATE("Input!",RSE_Setup!$B$18,ROW()+1)))</f>
        <v>5.5556000000000001E-2</v>
      </c>
      <c r="D103" s="1" cm="1">
        <f t="array" aca="1" ref="D103" ca="1">IF(ISBLANK(INDIRECT(CONCATENATE("Input!",RSE_Setup!$B$19,ROW()+1))),"",INDIRECT(CONCATENATE("Input!",RSE_Setup!$B$19,ROW()+1)))</f>
        <v>4500</v>
      </c>
      <c r="E103" s="1" cm="1">
        <f t="array" aca="1" ref="E103" ca="1">IF(ISBLANK(INDIRECT(CONCATENATE("Input!",RSE_Setup!$B$26,ROW()+1))),"",INDIRECT(CONCATENATE("Input!",RSE_Setup!$B$26,ROW()+1)))</f>
        <v>303.81769700000001</v>
      </c>
      <c r="F103" s="1">
        <f ca="1"/>
        <v>306.57401793327267</v>
      </c>
    </row>
    <row r="104" spans="1:6" x14ac:dyDescent="0.3">
      <c r="A104" s="1" cm="1">
        <f t="array" aca="1" ref="A104" ca="1">IF(ISBLANK(INDIRECT(CONCATENATE("Input!",RSE_Setup!$B$16,ROW()+1))),"",INDIRECT(CONCATENATE("Input!",RSE_Setup!$B$16,ROW()+1)))</f>
        <v>1E-3</v>
      </c>
      <c r="B104" s="1" cm="1">
        <f t="array" aca="1" ref="B104" ca="1">IF(ISBLANK(INDIRECT(CONCATENATE("Input!",RSE_Setup!$B$17,ROW()+1))),"",INDIRECT(CONCATENATE("Input!",RSE_Setup!$B$17,ROW()+1)))</f>
        <v>6.4999999999999997E-3</v>
      </c>
      <c r="C104" s="1" cm="1">
        <f t="array" aca="1" ref="C104" ca="1">IF(ISBLANK(INDIRECT(CONCATENATE("Input!",RSE_Setup!$B$18,ROW()+1))),"",INDIRECT(CONCATENATE("Input!",RSE_Setup!$B$18,ROW()+1)))</f>
        <v>5.5556000000000001E-2</v>
      </c>
      <c r="D104" s="1" cm="1">
        <f t="array" aca="1" ref="D104" ca="1">IF(ISBLANK(INDIRECT(CONCATENATE("Input!",RSE_Setup!$B$19,ROW()+1))),"",INDIRECT(CONCATENATE("Input!",RSE_Setup!$B$19,ROW()+1)))</f>
        <v>6000</v>
      </c>
      <c r="E104" s="1" cm="1">
        <f t="array" aca="1" ref="E104" ca="1">IF(ISBLANK(INDIRECT(CONCATENATE("Input!",RSE_Setup!$B$26,ROW()+1))),"",INDIRECT(CONCATENATE("Input!",RSE_Setup!$B$26,ROW()+1)))</f>
        <v>396.62906600000002</v>
      </c>
      <c r="F104" s="1">
        <f ca="1"/>
        <v>404.54487485033832</v>
      </c>
    </row>
    <row r="105" spans="1:6" x14ac:dyDescent="0.3">
      <c r="A105" s="1" cm="1">
        <f t="array" aca="1" ref="A105" ca="1">IF(ISBLANK(INDIRECT(CONCATENATE("Input!",RSE_Setup!$B$16,ROW()+1))),"",INDIRECT(CONCATENATE("Input!",RSE_Setup!$B$16,ROW()+1)))</f>
        <v>1E-3</v>
      </c>
      <c r="B105" s="1" cm="1">
        <f t="array" aca="1" ref="B105" ca="1">IF(ISBLANK(INDIRECT(CONCATENATE("Input!",RSE_Setup!$B$17,ROW()+1))),"",INDIRECT(CONCATENATE("Input!",RSE_Setup!$B$17,ROW()+1)))</f>
        <v>6.4999999999999997E-3</v>
      </c>
      <c r="C105" s="1" cm="1">
        <f t="array" aca="1" ref="C105" ca="1">IF(ISBLANK(INDIRECT(CONCATENATE("Input!",RSE_Setup!$B$18,ROW()+1))),"",INDIRECT(CONCATENATE("Input!",RSE_Setup!$B$18,ROW()+1)))</f>
        <v>3.2258000000000002E-2</v>
      </c>
      <c r="D105" s="1" cm="1">
        <f t="array" aca="1" ref="D105" ca="1">IF(ISBLANK(INDIRECT(CONCATENATE("Input!",RSE_Setup!$B$19,ROW()+1))),"",INDIRECT(CONCATENATE("Input!",RSE_Setup!$B$19,ROW()+1)))</f>
        <v>6000</v>
      </c>
      <c r="E105" s="1" cm="1">
        <f t="array" aca="1" ref="E105" ca="1">IF(ISBLANK(INDIRECT(CONCATENATE("Input!",RSE_Setup!$B$26,ROW()+1))),"",INDIRECT(CONCATENATE("Input!",RSE_Setup!$B$26,ROW()+1)))</f>
        <v>399.266502</v>
      </c>
      <c r="F105" s="1">
        <f ca="1"/>
        <v>391.06581972318679</v>
      </c>
    </row>
    <row r="106" spans="1:6" x14ac:dyDescent="0.3">
      <c r="A106" s="1" cm="1">
        <f t="array" aca="1" ref="A106" ca="1">IF(ISBLANK(INDIRECT(CONCATENATE("Input!",RSE_Setup!$B$16,ROW()+1))),"",INDIRECT(CONCATENATE("Input!",RSE_Setup!$B$16,ROW()+1)))</f>
        <v>1E-3</v>
      </c>
      <c r="B106" s="1" cm="1">
        <f t="array" aca="1" ref="B106" ca="1">IF(ISBLANK(INDIRECT(CONCATENATE("Input!",RSE_Setup!$B$17,ROW()+1))),"",INDIRECT(CONCATENATE("Input!",RSE_Setup!$B$17,ROW()+1)))</f>
        <v>8.0000000000000002E-3</v>
      </c>
      <c r="C106" s="1" cm="1">
        <f t="array" aca="1" ref="C106" ca="1">IF(ISBLANK(INDIRECT(CONCATENATE("Input!",RSE_Setup!$B$18,ROW()+1))),"",INDIRECT(CONCATENATE("Input!",RSE_Setup!$B$18,ROW()+1)))</f>
        <v>5.5556000000000001E-2</v>
      </c>
      <c r="D106" s="1" cm="1">
        <f t="array" aca="1" ref="D106" ca="1">IF(ISBLANK(INDIRECT(CONCATENATE("Input!",RSE_Setup!$B$19,ROW()+1))),"",INDIRECT(CONCATENATE("Input!",RSE_Setup!$B$19,ROW()+1)))</f>
        <v>4500</v>
      </c>
      <c r="E106" s="1" cm="1">
        <f t="array" aca="1" ref="E106" ca="1">IF(ISBLANK(INDIRECT(CONCATENATE("Input!",RSE_Setup!$B$26,ROW()+1))),"",INDIRECT(CONCATENATE("Input!",RSE_Setup!$B$26,ROW()+1)))</f>
        <v>351.04843099999999</v>
      </c>
      <c r="F106" s="1">
        <f ca="1"/>
        <v>353.50290434421748</v>
      </c>
    </row>
    <row r="107" spans="1:6" x14ac:dyDescent="0.3">
      <c r="A107" s="1" cm="1">
        <f t="array" aca="1" ref="A107" ca="1">IF(ISBLANK(INDIRECT(CONCATENATE("Input!",RSE_Setup!$B$16,ROW()+1))),"",INDIRECT(CONCATENATE("Input!",RSE_Setup!$B$16,ROW()+1)))</f>
        <v>1E-3</v>
      </c>
      <c r="B107" s="1" cm="1">
        <f t="array" aca="1" ref="B107" ca="1">IF(ISBLANK(INDIRECT(CONCATENATE("Input!",RSE_Setup!$B$17,ROW()+1))),"",INDIRECT(CONCATENATE("Input!",RSE_Setup!$B$17,ROW()+1)))</f>
        <v>8.0000000000000002E-3</v>
      </c>
      <c r="C107" s="1" cm="1">
        <f t="array" aca="1" ref="C107" ca="1">IF(ISBLANK(INDIRECT(CONCATENATE("Input!",RSE_Setup!$B$18,ROW()+1))),"",INDIRECT(CONCATENATE("Input!",RSE_Setup!$B$18,ROW()+1)))</f>
        <v>5.5556000000000001E-2</v>
      </c>
      <c r="D107" s="1" cm="1">
        <f t="array" aca="1" ref="D107" ca="1">IF(ISBLANK(INDIRECT(CONCATENATE("Input!",RSE_Setup!$B$19,ROW()+1))),"",INDIRECT(CONCATENATE("Input!",RSE_Setup!$B$19,ROW()+1)))</f>
        <v>6000</v>
      </c>
      <c r="E107" s="1" cm="1">
        <f t="array" aca="1" ref="E107" ca="1">IF(ISBLANK(INDIRECT(CONCATENATE("Input!",RSE_Setup!$B$26,ROW()+1))),"",INDIRECT(CONCATENATE("Input!",RSE_Setup!$B$26,ROW()+1)))</f>
        <v>462.36420099999998</v>
      </c>
      <c r="F107" s="1">
        <f ca="1"/>
        <v>466.01849318788237</v>
      </c>
    </row>
    <row r="108" spans="1:6" x14ac:dyDescent="0.3">
      <c r="A108" s="1" cm="1">
        <f t="array" aca="1" ref="A108" ca="1">IF(ISBLANK(INDIRECT(CONCATENATE("Input!",RSE_Setup!$B$16,ROW()+1))),"",INDIRECT(CONCATENATE("Input!",RSE_Setup!$B$16,ROW()+1)))</f>
        <v>1E-3</v>
      </c>
      <c r="B108" s="1" cm="1">
        <f t="array" aca="1" ref="B108" ca="1">IF(ISBLANK(INDIRECT(CONCATENATE("Input!",RSE_Setup!$B$17,ROW()+1))),"",INDIRECT(CONCATENATE("Input!",RSE_Setup!$B$17,ROW()+1)))</f>
        <v>8.0000000000000002E-3</v>
      </c>
      <c r="C108" s="1" cm="1">
        <f t="array" aca="1" ref="C108" ca="1">IF(ISBLANK(INDIRECT(CONCATENATE("Input!",RSE_Setup!$B$18,ROW()+1))),"",INDIRECT(CONCATENATE("Input!",RSE_Setup!$B$18,ROW()+1)))</f>
        <v>3.2258000000000002E-2</v>
      </c>
      <c r="D108" s="1" cm="1">
        <f t="array" aca="1" ref="D108" ca="1">IF(ISBLANK(INDIRECT(CONCATENATE("Input!",RSE_Setup!$B$19,ROW()+1))),"",INDIRECT(CONCATENATE("Input!",RSE_Setup!$B$19,ROW()+1)))</f>
        <v>6000</v>
      </c>
      <c r="E108" s="1" cm="1">
        <f t="array" aca="1" ref="E108" ca="1">IF(ISBLANK(INDIRECT(CONCATENATE("Input!",RSE_Setup!$B$26,ROW()+1))),"",INDIRECT(CONCATENATE("Input!",RSE_Setup!$B$26,ROW()+1)))</f>
        <v>464.20688200000001</v>
      </c>
      <c r="F108" s="1">
        <f ca="1"/>
        <v>454.51756308684179</v>
      </c>
    </row>
    <row r="109" spans="1:6" x14ac:dyDescent="0.3">
      <c r="A109" s="1" cm="1">
        <f t="array" aca="1" ref="A109" ca="1">IF(ISBLANK(INDIRECT(CONCATENATE("Input!",RSE_Setup!$B$16,ROW()+1))),"",INDIRECT(CONCATENATE("Input!",RSE_Setup!$B$16,ROW()+1)))</f>
        <v>2.9999999999999997E-4</v>
      </c>
      <c r="B109" s="1" cm="1">
        <f t="array" aca="1" ref="B109" ca="1">IF(ISBLANK(INDIRECT(CONCATENATE("Input!",RSE_Setup!$B$17,ROW()+1))),"",INDIRECT(CONCATENATE("Input!",RSE_Setup!$B$17,ROW()+1)))</f>
        <v>2E-3</v>
      </c>
      <c r="C109" s="1" cm="1">
        <f t="array" aca="1" ref="C109" ca="1">IF(ISBLANK(INDIRECT(CONCATENATE("Input!",RSE_Setup!$B$18,ROW()+1))),"",INDIRECT(CONCATENATE("Input!",RSE_Setup!$B$18,ROW()+1)))</f>
        <v>5.5556000000000001E-2</v>
      </c>
      <c r="D109" s="1" cm="1">
        <f t="array" aca="1" ref="D109" ca="1">IF(ISBLANK(INDIRECT(CONCATENATE("Input!",RSE_Setup!$B$19,ROW()+1))),"",INDIRECT(CONCATENATE("Input!",RSE_Setup!$B$19,ROW()+1)))</f>
        <v>5500</v>
      </c>
      <c r="E109" s="1" cm="1">
        <f t="array" aca="1" ref="E109" ca="1">IF(ISBLANK(INDIRECT(CONCATENATE("Input!",RSE_Setup!$B$26,ROW()+1))),"",INDIRECT(CONCATENATE("Input!",RSE_Setup!$B$26,ROW()+1)))</f>
        <v>191.17066299999999</v>
      </c>
      <c r="F109" s="1">
        <f ca="1"/>
        <v>186.89233463561209</v>
      </c>
    </row>
    <row r="110" spans="1:6" x14ac:dyDescent="0.3">
      <c r="A110" s="1" cm="1">
        <f t="array" aca="1" ref="A110" ca="1">IF(ISBLANK(INDIRECT(CONCATENATE("Input!",RSE_Setup!$B$16,ROW()+1))),"",INDIRECT(CONCATENATE("Input!",RSE_Setup!$B$16,ROW()+1)))</f>
        <v>2.9999999999999997E-4</v>
      </c>
      <c r="B110" s="1" cm="1">
        <f t="array" aca="1" ref="B110" ca="1">IF(ISBLANK(INDIRECT(CONCATENATE("Input!",RSE_Setup!$B$17,ROW()+1))),"",INDIRECT(CONCATENATE("Input!",RSE_Setup!$B$17,ROW()+1)))</f>
        <v>2E-3</v>
      </c>
      <c r="C110" s="1" cm="1">
        <f t="array" aca="1" ref="C110" ca="1">IF(ISBLANK(INDIRECT(CONCATENATE("Input!",RSE_Setup!$B$18,ROW()+1))),"",INDIRECT(CONCATENATE("Input!",RSE_Setup!$B$18,ROW()+1)))</f>
        <v>5.5556000000000001E-2</v>
      </c>
      <c r="D110" s="1" cm="1">
        <f t="array" aca="1" ref="D110" ca="1">IF(ISBLANK(INDIRECT(CONCATENATE("Input!",RSE_Setup!$B$19,ROW()+1))),"",INDIRECT(CONCATENATE("Input!",RSE_Setup!$B$19,ROW()+1)))</f>
        <v>7500</v>
      </c>
      <c r="E110" s="1" cm="1">
        <f t="array" aca="1" ref="E110" ca="1">IF(ISBLANK(INDIRECT(CONCATENATE("Input!",RSE_Setup!$B$26,ROW()+1))),"",INDIRECT(CONCATENATE("Input!",RSE_Setup!$B$26,ROW()+1)))</f>
        <v>249.90749600000001</v>
      </c>
      <c r="F110" s="1">
        <f ca="1"/>
        <v>246.86526127843095</v>
      </c>
    </row>
    <row r="111" spans="1:6" x14ac:dyDescent="0.3">
      <c r="A111" s="1" cm="1">
        <f t="array" aca="1" ref="A111" ca="1">IF(ISBLANK(INDIRECT(CONCATENATE("Input!",RSE_Setup!$B$16,ROW()+1))),"",INDIRECT(CONCATENATE("Input!",RSE_Setup!$B$16,ROW()+1)))</f>
        <v>2.9999999999999997E-4</v>
      </c>
      <c r="B111" s="1" cm="1">
        <f t="array" aca="1" ref="B111" ca="1">IF(ISBLANK(INDIRECT(CONCATENATE("Input!",RSE_Setup!$B$17,ROW()+1))),"",INDIRECT(CONCATENATE("Input!",RSE_Setup!$B$17,ROW()+1)))</f>
        <v>2E-3</v>
      </c>
      <c r="C111" s="1" cm="1">
        <f t="array" aca="1" ref="C111" ca="1">IF(ISBLANK(INDIRECT(CONCATENATE("Input!",RSE_Setup!$B$18,ROW()+1))),"",INDIRECT(CONCATENATE("Input!",RSE_Setup!$B$18,ROW()+1)))</f>
        <v>5.5556000000000001E-2</v>
      </c>
      <c r="D111" s="1" cm="1">
        <f t="array" aca="1" ref="D111" ca="1">IF(ISBLANK(INDIRECT(CONCATENATE("Input!",RSE_Setup!$B$19,ROW()+1))),"",INDIRECT(CONCATENATE("Input!",RSE_Setup!$B$19,ROW()+1)))</f>
        <v>9500</v>
      </c>
      <c r="E111" s="1" cm="1">
        <f t="array" aca="1" ref="E111" ca="1">IF(ISBLANK(INDIRECT(CONCATENATE("Input!",RSE_Setup!$B$26,ROW()+1))),"",INDIRECT(CONCATENATE("Input!",RSE_Setup!$B$26,ROW()+1)))</f>
        <v>313.63924100000003</v>
      </c>
      <c r="F111" s="1">
        <f ca="1"/>
        <v>306.58908096041296</v>
      </c>
    </row>
    <row r="112" spans="1:6" x14ac:dyDescent="0.3">
      <c r="A112" s="1" cm="1">
        <f t="array" aca="1" ref="A112" ca="1">IF(ISBLANK(INDIRECT(CONCATENATE("Input!",RSE_Setup!$B$16,ROW()+1))),"",INDIRECT(CONCATENATE("Input!",RSE_Setup!$B$16,ROW()+1)))</f>
        <v>2.9999999999999997E-4</v>
      </c>
      <c r="B112" s="1" cm="1">
        <f t="array" aca="1" ref="B112" ca="1">IF(ISBLANK(INDIRECT(CONCATENATE("Input!",RSE_Setup!$B$17,ROW()+1))),"",INDIRECT(CONCATENATE("Input!",RSE_Setup!$B$17,ROW()+1)))</f>
        <v>2E-3</v>
      </c>
      <c r="C112" s="1" cm="1">
        <f t="array" aca="1" ref="C112" ca="1">IF(ISBLANK(INDIRECT(CONCATENATE("Input!",RSE_Setup!$B$18,ROW()+1))),"",INDIRECT(CONCATENATE("Input!",RSE_Setup!$B$18,ROW()+1)))</f>
        <v>3.2258000000000002E-2</v>
      </c>
      <c r="D112" s="1" cm="1">
        <f t="array" aca="1" ref="D112" ca="1">IF(ISBLANK(INDIRECT(CONCATENATE("Input!",RSE_Setup!$B$19,ROW()+1))),"",INDIRECT(CONCATENATE("Input!",RSE_Setup!$B$19,ROW()+1)))</f>
        <v>9500</v>
      </c>
      <c r="E112" s="1" cm="1">
        <f t="array" aca="1" ref="E112" ca="1">IF(ISBLANK(INDIRECT(CONCATENATE("Input!",RSE_Setup!$B$26,ROW()+1))),"",INDIRECT(CONCATENATE("Input!",RSE_Setup!$B$26,ROW()+1)))</f>
        <v>283.301875</v>
      </c>
      <c r="F112" s="1">
        <f ca="1"/>
        <v>278.57212122897454</v>
      </c>
    </row>
    <row r="113" spans="1:6" x14ac:dyDescent="0.3">
      <c r="A113" s="1" cm="1">
        <f t="array" aca="1" ref="A113" ca="1">IF(ISBLANK(INDIRECT(CONCATENATE("Input!",RSE_Setup!$B$16,ROW()+1))),"",INDIRECT(CONCATENATE("Input!",RSE_Setup!$B$16,ROW()+1)))</f>
        <v>2.9999999999999997E-4</v>
      </c>
      <c r="B113" s="1" cm="1">
        <f t="array" aca="1" ref="B113" ca="1">IF(ISBLANK(INDIRECT(CONCATENATE("Input!",RSE_Setup!$B$17,ROW()+1))),"",INDIRECT(CONCATENATE("Input!",RSE_Setup!$B$17,ROW()+1)))</f>
        <v>3.0000000000000001E-3</v>
      </c>
      <c r="C113" s="1" cm="1">
        <f t="array" aca="1" ref="C113" ca="1">IF(ISBLANK(INDIRECT(CONCATENATE("Input!",RSE_Setup!$B$18,ROW()+1))),"",INDIRECT(CONCATENATE("Input!",RSE_Setup!$B$18,ROW()+1)))</f>
        <v>5.5556000000000001E-2</v>
      </c>
      <c r="D113" s="1" cm="1">
        <f t="array" aca="1" ref="D113" ca="1">IF(ISBLANK(INDIRECT(CONCATENATE("Input!",RSE_Setup!$B$19,ROW()+1))),"",INDIRECT(CONCATENATE("Input!",RSE_Setup!$B$19,ROW()+1)))</f>
        <v>5500</v>
      </c>
      <c r="E113" s="1" cm="1">
        <f t="array" aca="1" ref="E113" ca="1">IF(ISBLANK(INDIRECT(CONCATENATE("Input!",RSE_Setup!$B$26,ROW()+1))),"",INDIRECT(CONCATENATE("Input!",RSE_Setup!$B$26,ROW()+1)))</f>
        <v>223.17193900000001</v>
      </c>
      <c r="F113" s="1">
        <f ca="1"/>
        <v>218.52970419319917</v>
      </c>
    </row>
    <row r="114" spans="1:6" x14ac:dyDescent="0.3">
      <c r="A114" s="1" cm="1">
        <f t="array" aca="1" ref="A114" ca="1">IF(ISBLANK(INDIRECT(CONCATENATE("Input!",RSE_Setup!$B$16,ROW()+1))),"",INDIRECT(CONCATENATE("Input!",RSE_Setup!$B$16,ROW()+1)))</f>
        <v>2.9999999999999997E-4</v>
      </c>
      <c r="B114" s="1" cm="1">
        <f t="array" aca="1" ref="B114" ca="1">IF(ISBLANK(INDIRECT(CONCATENATE("Input!",RSE_Setup!$B$17,ROW()+1))),"",INDIRECT(CONCATENATE("Input!",RSE_Setup!$B$17,ROW()+1)))</f>
        <v>3.0000000000000001E-3</v>
      </c>
      <c r="C114" s="1" cm="1">
        <f t="array" aca="1" ref="C114" ca="1">IF(ISBLANK(INDIRECT(CONCATENATE("Input!",RSE_Setup!$B$18,ROW()+1))),"",INDIRECT(CONCATENATE("Input!",RSE_Setup!$B$18,ROW()+1)))</f>
        <v>5.5556000000000001E-2</v>
      </c>
      <c r="D114" s="1" cm="1">
        <f t="array" aca="1" ref="D114" ca="1">IF(ISBLANK(INDIRECT(CONCATENATE("Input!",RSE_Setup!$B$19,ROW()+1))),"",INDIRECT(CONCATENATE("Input!",RSE_Setup!$B$19,ROW()+1)))</f>
        <v>7500</v>
      </c>
      <c r="E114" s="1" cm="1">
        <f t="array" aca="1" ref="E114" ca="1">IF(ISBLANK(INDIRECT(CONCATENATE("Input!",RSE_Setup!$B$26,ROW()+1))),"",INDIRECT(CONCATENATE("Input!",RSE_Setup!$B$26,ROW()+1)))</f>
        <v>291.966793</v>
      </c>
      <c r="F114" s="1">
        <f ca="1"/>
        <v>291.43128143743951</v>
      </c>
    </row>
    <row r="115" spans="1:6" x14ac:dyDescent="0.3">
      <c r="A115" s="1" cm="1">
        <f t="array" aca="1" ref="A115" ca="1">IF(ISBLANK(INDIRECT(CONCATENATE("Input!",RSE_Setup!$B$16,ROW()+1))),"",INDIRECT(CONCATENATE("Input!",RSE_Setup!$B$16,ROW()+1)))</f>
        <v>2.9999999999999997E-4</v>
      </c>
      <c r="B115" s="1" cm="1">
        <f t="array" aca="1" ref="B115" ca="1">IF(ISBLANK(INDIRECT(CONCATENATE("Input!",RSE_Setup!$B$17,ROW()+1))),"",INDIRECT(CONCATENATE("Input!",RSE_Setup!$B$17,ROW()+1)))</f>
        <v>3.0000000000000001E-3</v>
      </c>
      <c r="C115" s="1" cm="1">
        <f t="array" aca="1" ref="C115" ca="1">IF(ISBLANK(INDIRECT(CONCATENATE("Input!",RSE_Setup!$B$18,ROW()+1))),"",INDIRECT(CONCATENATE("Input!",RSE_Setup!$B$18,ROW()+1)))</f>
        <v>5.5556000000000001E-2</v>
      </c>
      <c r="D115" s="1" cm="1">
        <f t="array" aca="1" ref="D115" ca="1">IF(ISBLANK(INDIRECT(CONCATENATE("Input!",RSE_Setup!$B$19,ROW()+1))),"",INDIRECT(CONCATENATE("Input!",RSE_Setup!$B$19,ROW()+1)))</f>
        <v>9500</v>
      </c>
      <c r="E115" s="1" cm="1">
        <f t="array" aca="1" ref="E115" ca="1">IF(ISBLANK(INDIRECT(CONCATENATE("Input!",RSE_Setup!$B$26,ROW()+1))),"",INDIRECT(CONCATENATE("Input!",RSE_Setup!$B$26,ROW()+1)))</f>
        <v>366.42584299999999</v>
      </c>
      <c r="F115" s="1">
        <f ca="1"/>
        <v>364.08375172084305</v>
      </c>
    </row>
    <row r="116" spans="1:6" x14ac:dyDescent="0.3">
      <c r="A116" s="1" cm="1">
        <f t="array" aca="1" ref="A116" ca="1">IF(ISBLANK(INDIRECT(CONCATENATE("Input!",RSE_Setup!$B$16,ROW()+1))),"",INDIRECT(CONCATENATE("Input!",RSE_Setup!$B$16,ROW()+1)))</f>
        <v>2.9999999999999997E-4</v>
      </c>
      <c r="B116" s="1" cm="1">
        <f t="array" aca="1" ref="B116" ca="1">IF(ISBLANK(INDIRECT(CONCATENATE("Input!",RSE_Setup!$B$17,ROW()+1))),"",INDIRECT(CONCATENATE("Input!",RSE_Setup!$B$17,ROW()+1)))</f>
        <v>3.0000000000000001E-3</v>
      </c>
      <c r="C116" s="1" cm="1">
        <f t="array" aca="1" ref="C116" ca="1">IF(ISBLANK(INDIRECT(CONCATENATE("Input!",RSE_Setup!$B$18,ROW()+1))),"",INDIRECT(CONCATENATE("Input!",RSE_Setup!$B$18,ROW()+1)))</f>
        <v>3.2258000000000002E-2</v>
      </c>
      <c r="D116" s="1" cm="1">
        <f t="array" aca="1" ref="D116" ca="1">IF(ISBLANK(INDIRECT(CONCATENATE("Input!",RSE_Setup!$B$19,ROW()+1))),"",INDIRECT(CONCATENATE("Input!",RSE_Setup!$B$19,ROW()+1)))</f>
        <v>9500</v>
      </c>
      <c r="E116" s="1" cm="1">
        <f t="array" aca="1" ref="E116" ca="1">IF(ISBLANK(INDIRECT(CONCATENATE("Input!",RSE_Setup!$B$26,ROW()+1))),"",INDIRECT(CONCATENATE("Input!",RSE_Setup!$B$26,ROW()+1)))</f>
        <v>339.94617699999998</v>
      </c>
      <c r="F116" s="1">
        <f ca="1"/>
        <v>337.38554200681193</v>
      </c>
    </row>
    <row r="117" spans="1:6" x14ac:dyDescent="0.3">
      <c r="A117" s="1" cm="1">
        <f t="array" aca="1" ref="A117" ca="1">IF(ISBLANK(INDIRECT(CONCATENATE("Input!",RSE_Setup!$B$16,ROW()+1))),"",INDIRECT(CONCATENATE("Input!",RSE_Setup!$B$16,ROW()+1)))</f>
        <v>2.9999999999999997E-4</v>
      </c>
      <c r="B117" s="1" cm="1">
        <f t="array" aca="1" ref="B117" ca="1">IF(ISBLANK(INDIRECT(CONCATENATE("Input!",RSE_Setup!$B$17,ROW()+1))),"",INDIRECT(CONCATENATE("Input!",RSE_Setup!$B$17,ROW()+1)))</f>
        <v>4.0000000000000001E-3</v>
      </c>
      <c r="C117" s="1" cm="1">
        <f t="array" aca="1" ref="C117" ca="1">IF(ISBLANK(INDIRECT(CONCATENATE("Input!",RSE_Setup!$B$18,ROW()+1))),"",INDIRECT(CONCATENATE("Input!",RSE_Setup!$B$18,ROW()+1)))</f>
        <v>5.5556000000000001E-2</v>
      </c>
      <c r="D117" s="1" cm="1">
        <f t="array" aca="1" ref="D117" ca="1">IF(ISBLANK(INDIRECT(CONCATENATE("Input!",RSE_Setup!$B$19,ROW()+1))),"",INDIRECT(CONCATENATE("Input!",RSE_Setup!$B$19,ROW()+1)))</f>
        <v>5500</v>
      </c>
      <c r="E117" s="1" cm="1">
        <f t="array" aca="1" ref="E117" ca="1">IF(ISBLANK(INDIRECT(CONCATENATE("Input!",RSE_Setup!$B$26,ROW()+1))),"",INDIRECT(CONCATENATE("Input!",RSE_Setup!$B$26,ROW()+1)))</f>
        <v>255.09708000000001</v>
      </c>
      <c r="F117" s="1">
        <f ca="1"/>
        <v>251.35965425469877</v>
      </c>
    </row>
    <row r="118" spans="1:6" x14ac:dyDescent="0.3">
      <c r="A118" s="1" cm="1">
        <f t="array" aca="1" ref="A118" ca="1">IF(ISBLANK(INDIRECT(CONCATENATE("Input!",RSE_Setup!$B$16,ROW()+1))),"",INDIRECT(CONCATENATE("Input!",RSE_Setup!$B$16,ROW()+1)))</f>
        <v>2.9999999999999997E-4</v>
      </c>
      <c r="B118" s="1" cm="1">
        <f t="array" aca="1" ref="B118" ca="1">IF(ISBLANK(INDIRECT(CONCATENATE("Input!",RSE_Setup!$B$17,ROW()+1))),"",INDIRECT(CONCATENATE("Input!",RSE_Setup!$B$17,ROW()+1)))</f>
        <v>4.0000000000000001E-3</v>
      </c>
      <c r="C118" s="1" cm="1">
        <f t="array" aca="1" ref="C118" ca="1">IF(ISBLANK(INDIRECT(CONCATENATE("Input!",RSE_Setup!$B$18,ROW()+1))),"",INDIRECT(CONCATENATE("Input!",RSE_Setup!$B$18,ROW()+1)))</f>
        <v>5.5556000000000001E-2</v>
      </c>
      <c r="D118" s="1" cm="1">
        <f t="array" aca="1" ref="D118" ca="1">IF(ISBLANK(INDIRECT(CONCATENATE("Input!",RSE_Setup!$B$19,ROW()+1))),"",INDIRECT(CONCATENATE("Input!",RSE_Setup!$B$19,ROW()+1)))</f>
        <v>7500</v>
      </c>
      <c r="E118" s="1" cm="1">
        <f t="array" aca="1" ref="E118" ca="1">IF(ISBLANK(INDIRECT(CONCATENATE("Input!",RSE_Setup!$B$26,ROW()+1))),"",INDIRECT(CONCATENATE("Input!",RSE_Setup!$B$26,ROW()+1)))</f>
        <v>336.202293</v>
      </c>
      <c r="F118" s="1">
        <f ca="1"/>
        <v>337.18988210036065</v>
      </c>
    </row>
    <row r="119" spans="1:6" x14ac:dyDescent="0.3">
      <c r="A119" s="1" cm="1">
        <f t="array" aca="1" ref="A119" ca="1">IF(ISBLANK(INDIRECT(CONCATENATE("Input!",RSE_Setup!$B$16,ROW()+1))),"",INDIRECT(CONCATENATE("Input!",RSE_Setup!$B$16,ROW()+1)))</f>
        <v>2.9999999999999997E-4</v>
      </c>
      <c r="B119" s="1" cm="1">
        <f t="array" aca="1" ref="B119" ca="1">IF(ISBLANK(INDIRECT(CONCATENATE("Input!",RSE_Setup!$B$17,ROW()+1))),"",INDIRECT(CONCATENATE("Input!",RSE_Setup!$B$17,ROW()+1)))</f>
        <v>4.0000000000000001E-3</v>
      </c>
      <c r="C119" s="1" cm="1">
        <f t="array" aca="1" ref="C119" ca="1">IF(ISBLANK(INDIRECT(CONCATENATE("Input!",RSE_Setup!$B$18,ROW()+1))),"",INDIRECT(CONCATENATE("Input!",RSE_Setup!$B$18,ROW()+1)))</f>
        <v>5.5556000000000001E-2</v>
      </c>
      <c r="D119" s="1" cm="1">
        <f t="array" aca="1" ref="D119" ca="1">IF(ISBLANK(INDIRECT(CONCATENATE("Input!",RSE_Setup!$B$19,ROW()+1))),"",INDIRECT(CONCATENATE("Input!",RSE_Setup!$B$19,ROW()+1)))</f>
        <v>9500</v>
      </c>
      <c r="E119" s="1" cm="1">
        <f t="array" aca="1" ref="E119" ca="1">IF(ISBLANK(INDIRECT(CONCATENATE("Input!",RSE_Setup!$B$26,ROW()+1))),"",INDIRECT(CONCATENATE("Input!",RSE_Setup!$B$26,ROW()+1)))</f>
        <v>420.57215600000001</v>
      </c>
      <c r="F119" s="1">
        <f ca="1"/>
        <v>422.7710029851857</v>
      </c>
    </row>
    <row r="120" spans="1:6" x14ac:dyDescent="0.3">
      <c r="A120" s="1" cm="1">
        <f t="array" aca="1" ref="A120" ca="1">IF(ISBLANK(INDIRECT(CONCATENATE("Input!",RSE_Setup!$B$16,ROW()+1))),"",INDIRECT(CONCATENATE("Input!",RSE_Setup!$B$16,ROW()+1)))</f>
        <v>2.9999999999999997E-4</v>
      </c>
      <c r="B120" s="1" cm="1">
        <f t="array" aca="1" ref="B120" ca="1">IF(ISBLANK(INDIRECT(CONCATENATE("Input!",RSE_Setup!$B$17,ROW()+1))),"",INDIRECT(CONCATENATE("Input!",RSE_Setup!$B$17,ROW()+1)))</f>
        <v>4.0000000000000001E-3</v>
      </c>
      <c r="C120" s="1" cm="1">
        <f t="array" aca="1" ref="C120" ca="1">IF(ISBLANK(INDIRECT(CONCATENATE("Input!",RSE_Setup!$B$18,ROW()+1))),"",INDIRECT(CONCATENATE("Input!",RSE_Setup!$B$18,ROW()+1)))</f>
        <v>3.2258000000000002E-2</v>
      </c>
      <c r="D120" s="1" cm="1">
        <f t="array" aca="1" ref="D120" ca="1">IF(ISBLANK(INDIRECT(CONCATENATE("Input!",RSE_Setup!$B$19,ROW()+1))),"",INDIRECT(CONCATENATE("Input!",RSE_Setup!$B$19,ROW()+1)))</f>
        <v>9500</v>
      </c>
      <c r="E120" s="1" cm="1">
        <f t="array" aca="1" ref="E120" ca="1">IF(ISBLANK(INDIRECT(CONCATENATE("Input!",RSE_Setup!$B$26,ROW()+1))),"",INDIRECT(CONCATENATE("Input!",RSE_Setup!$B$26,ROW()+1)))</f>
        <v>399.85910100000001</v>
      </c>
      <c r="F120" s="1">
        <f ca="1"/>
        <v>397.39154328856193</v>
      </c>
    </row>
    <row r="121" spans="1:6" x14ac:dyDescent="0.3">
      <c r="A121" s="1" cm="1">
        <f t="array" aca="1" ref="A121" ca="1">IF(ISBLANK(INDIRECT(CONCATENATE("Input!",RSE_Setup!$B$16,ROW()+1))),"",INDIRECT(CONCATENATE("Input!",RSE_Setup!$B$16,ROW()+1)))</f>
        <v>5.0000000000000001E-4</v>
      </c>
      <c r="B121" s="1" cm="1">
        <f t="array" aca="1" ref="B121" ca="1">IF(ISBLANK(INDIRECT(CONCATENATE("Input!",RSE_Setup!$B$17,ROW()+1))),"",INDIRECT(CONCATENATE("Input!",RSE_Setup!$B$17,ROW()+1)))</f>
        <v>3.0000000000000001E-3</v>
      </c>
      <c r="C121" s="1" cm="1">
        <f t="array" aca="1" ref="C121" ca="1">IF(ISBLANK(INDIRECT(CONCATENATE("Input!",RSE_Setup!$B$18,ROW()+1))),"",INDIRECT(CONCATENATE("Input!",RSE_Setup!$B$18,ROW()+1)))</f>
        <v>0.13333300000000001</v>
      </c>
      <c r="D121" s="1" cm="1">
        <f t="array" aca="1" ref="D121" ca="1">IF(ISBLANK(INDIRECT(CONCATENATE("Input!",RSE_Setup!$B$19,ROW()+1))),"",INDIRECT(CONCATENATE("Input!",RSE_Setup!$B$19,ROW()+1)))</f>
        <v>4000</v>
      </c>
      <c r="E121" s="1" cm="1">
        <f t="array" aca="1" ref="E121" ca="1">IF(ISBLANK(INDIRECT(CONCATENATE("Input!",RSE_Setup!$B$26,ROW()+1))),"",INDIRECT(CONCATENATE("Input!",RSE_Setup!$B$26,ROW()+1)))</f>
        <v>232.48712800000001</v>
      </c>
      <c r="F121" s="1">
        <f ca="1"/>
        <v>240.69485067736042</v>
      </c>
    </row>
    <row r="122" spans="1:6" x14ac:dyDescent="0.3">
      <c r="A122" s="1" cm="1">
        <f t="array" aca="1" ref="A122" ca="1">IF(ISBLANK(INDIRECT(CONCATENATE("Input!",RSE_Setup!$B$16,ROW()+1))),"",INDIRECT(CONCATENATE("Input!",RSE_Setup!$B$16,ROW()+1)))</f>
        <v>5.0000000000000001E-4</v>
      </c>
      <c r="B122" s="1" cm="1">
        <f t="array" aca="1" ref="B122" ca="1">IF(ISBLANK(INDIRECT(CONCATENATE("Input!",RSE_Setup!$B$17,ROW()+1))),"",INDIRECT(CONCATENATE("Input!",RSE_Setup!$B$17,ROW()+1)))</f>
        <v>3.0000000000000001E-3</v>
      </c>
      <c r="C122" s="1" cm="1">
        <f t="array" aca="1" ref="C122" ca="1">IF(ISBLANK(INDIRECT(CONCATENATE("Input!",RSE_Setup!$B$18,ROW()+1))),"",INDIRECT(CONCATENATE("Input!",RSE_Setup!$B$18,ROW()+1)))</f>
        <v>0.111111</v>
      </c>
      <c r="D122" s="1" cm="1">
        <f t="array" aca="1" ref="D122" ca="1">IF(ISBLANK(INDIRECT(CONCATENATE("Input!",RSE_Setup!$B$19,ROW()+1))),"",INDIRECT(CONCATENATE("Input!",RSE_Setup!$B$19,ROW()+1)))</f>
        <v>3750</v>
      </c>
      <c r="E122" s="1" cm="1">
        <f t="array" aca="1" ref="E122" ca="1">IF(ISBLANK(INDIRECT(CONCATENATE("Input!",RSE_Setup!$B$26,ROW()+1))),"",INDIRECT(CONCATENATE("Input!",RSE_Setup!$B$26,ROW()+1)))</f>
        <v>202.442035</v>
      </c>
      <c r="F122" s="1">
        <f ca="1"/>
        <v>206.01727809266927</v>
      </c>
    </row>
    <row r="123" spans="1:6" x14ac:dyDescent="0.3">
      <c r="A123" s="1" cm="1">
        <f t="array" aca="1" ref="A123" ca="1">IF(ISBLANK(INDIRECT(CONCATENATE("Input!",RSE_Setup!$B$16,ROW()+1))),"",INDIRECT(CONCATENATE("Input!",RSE_Setup!$B$16,ROW()+1)))</f>
        <v>5.0000000000000001E-4</v>
      </c>
      <c r="B123" s="1" cm="1">
        <f t="array" aca="1" ref="B123" ca="1">IF(ISBLANK(INDIRECT(CONCATENATE("Input!",RSE_Setup!$B$17,ROW()+1))),"",INDIRECT(CONCATENATE("Input!",RSE_Setup!$B$17,ROW()+1)))</f>
        <v>3.0000000000000001E-3</v>
      </c>
      <c r="C123" s="1" cm="1">
        <f t="array" aca="1" ref="C123" ca="1">IF(ISBLANK(INDIRECT(CONCATENATE("Input!",RSE_Setup!$B$18,ROW()+1))),"",INDIRECT(CONCATENATE("Input!",RSE_Setup!$B$18,ROW()+1)))</f>
        <v>0.111111</v>
      </c>
      <c r="D123" s="1" cm="1">
        <f t="array" aca="1" ref="D123" ca="1">IF(ISBLANK(INDIRECT(CONCATENATE("Input!",RSE_Setup!$B$19,ROW()+1))),"",INDIRECT(CONCATENATE("Input!",RSE_Setup!$B$19,ROW()+1)))</f>
        <v>4750</v>
      </c>
      <c r="E123" s="1" cm="1">
        <f t="array" aca="1" ref="E123" ca="1">IF(ISBLANK(INDIRECT(CONCATENATE("Input!",RSE_Setup!$B$26,ROW()+1))),"",INDIRECT(CONCATENATE("Input!",RSE_Setup!$B$26,ROW()+1)))</f>
        <v>251.89089200000001</v>
      </c>
      <c r="F123" s="1">
        <f ca="1"/>
        <v>249.51493284712021</v>
      </c>
    </row>
    <row r="124" spans="1:6" x14ac:dyDescent="0.3">
      <c r="A124" s="1" cm="1">
        <f t="array" aca="1" ref="A124" ca="1">IF(ISBLANK(INDIRECT(CONCATENATE("Input!",RSE_Setup!$B$16,ROW()+1))),"",INDIRECT(CONCATENATE("Input!",RSE_Setup!$B$16,ROW()+1)))</f>
        <v>5.0000000000000001E-4</v>
      </c>
      <c r="B124" s="1" cm="1">
        <f t="array" aca="1" ref="B124" ca="1">IF(ISBLANK(INDIRECT(CONCATENATE("Input!",RSE_Setup!$B$17,ROW()+1))),"",INDIRECT(CONCATENATE("Input!",RSE_Setup!$B$17,ROW()+1)))</f>
        <v>3.0000000000000001E-3</v>
      </c>
      <c r="C124" s="1" cm="1">
        <f t="array" aca="1" ref="C124" ca="1">IF(ISBLANK(INDIRECT(CONCATENATE("Input!",RSE_Setup!$B$18,ROW()+1))),"",INDIRECT(CONCATENATE("Input!",RSE_Setup!$B$18,ROW()+1)))</f>
        <v>5.5556000000000001E-2</v>
      </c>
      <c r="D124" s="1" cm="1">
        <f t="array" aca="1" ref="D124" ca="1">IF(ISBLANK(INDIRECT(CONCATENATE("Input!",RSE_Setup!$B$19,ROW()+1))),"",INDIRECT(CONCATENATE("Input!",RSE_Setup!$B$19,ROW()+1)))</f>
        <v>5500</v>
      </c>
      <c r="E124" s="1" cm="1">
        <f t="array" aca="1" ref="E124" ca="1">IF(ISBLANK(INDIRECT(CONCATENATE("Input!",RSE_Setup!$B$26,ROW()+1))),"",INDIRECT(CONCATENATE("Input!",RSE_Setup!$B$26,ROW()+1)))</f>
        <v>231.61497</v>
      </c>
      <c r="F124" s="1">
        <f ca="1"/>
        <v>227.22463276939129</v>
      </c>
    </row>
    <row r="125" spans="1:6" x14ac:dyDescent="0.3">
      <c r="A125" s="1" cm="1">
        <f t="array" aca="1" ref="A125" ca="1">IF(ISBLANK(INDIRECT(CONCATENATE("Input!",RSE_Setup!$B$16,ROW()+1))),"",INDIRECT(CONCATENATE("Input!",RSE_Setup!$B$16,ROW()+1)))</f>
        <v>5.0000000000000001E-4</v>
      </c>
      <c r="B125" s="1" cm="1">
        <f t="array" aca="1" ref="B125" ca="1">IF(ISBLANK(INDIRECT(CONCATENATE("Input!",RSE_Setup!$B$17,ROW()+1))),"",INDIRECT(CONCATENATE("Input!",RSE_Setup!$B$17,ROW()+1)))</f>
        <v>3.0000000000000001E-3</v>
      </c>
      <c r="C125" s="1" cm="1">
        <f t="array" aca="1" ref="C125" ca="1">IF(ISBLANK(INDIRECT(CONCATENATE("Input!",RSE_Setup!$B$18,ROW()+1))),"",INDIRECT(CONCATENATE("Input!",RSE_Setup!$B$18,ROW()+1)))</f>
        <v>5.5556000000000001E-2</v>
      </c>
      <c r="D125" s="1" cm="1">
        <f t="array" aca="1" ref="D125" ca="1">IF(ISBLANK(INDIRECT(CONCATENATE("Input!",RSE_Setup!$B$19,ROW()+1))),"",INDIRECT(CONCATENATE("Input!",RSE_Setup!$B$19,ROW()+1)))</f>
        <v>7500</v>
      </c>
      <c r="E125" s="1" cm="1">
        <f t="array" aca="1" ref="E125" ca="1">IF(ISBLANK(INDIRECT(CONCATENATE("Input!",RSE_Setup!$B$26,ROW()+1))),"",INDIRECT(CONCATENATE("Input!",RSE_Setup!$B$26,ROW()+1)))</f>
        <v>303.29086599999999</v>
      </c>
      <c r="F125" s="1">
        <f ca="1"/>
        <v>303.6462851630647</v>
      </c>
    </row>
    <row r="126" spans="1:6" x14ac:dyDescent="0.3">
      <c r="A126" s="1" cm="1">
        <f t="array" aca="1" ref="A126" ca="1">IF(ISBLANK(INDIRECT(CONCATENATE("Input!",RSE_Setup!$B$16,ROW()+1))),"",INDIRECT(CONCATENATE("Input!",RSE_Setup!$B$16,ROW()+1)))</f>
        <v>5.0000000000000001E-4</v>
      </c>
      <c r="B126" s="1" cm="1">
        <f t="array" aca="1" ref="B126" ca="1">IF(ISBLANK(INDIRECT(CONCATENATE("Input!",RSE_Setup!$B$17,ROW()+1))),"",INDIRECT(CONCATENATE("Input!",RSE_Setup!$B$17,ROW()+1)))</f>
        <v>3.0000000000000001E-3</v>
      </c>
      <c r="C126" s="1" cm="1">
        <f t="array" aca="1" ref="C126" ca="1">IF(ISBLANK(INDIRECT(CONCATENATE("Input!",RSE_Setup!$B$18,ROW()+1))),"",INDIRECT(CONCATENATE("Input!",RSE_Setup!$B$18,ROW()+1)))</f>
        <v>5.5556000000000001E-2</v>
      </c>
      <c r="D126" s="1" cm="1">
        <f t="array" aca="1" ref="D126" ca="1">IF(ISBLANK(INDIRECT(CONCATENATE("Input!",RSE_Setup!$B$19,ROW()+1))),"",INDIRECT(CONCATENATE("Input!",RSE_Setup!$B$19,ROW()+1)))</f>
        <v>9500</v>
      </c>
      <c r="E126" s="1" cm="1">
        <f t="array" aca="1" ref="E126" ca="1">IF(ISBLANK(INDIRECT(CONCATENATE("Input!",RSE_Setup!$B$26,ROW()+1))),"",INDIRECT(CONCATENATE("Input!",RSE_Setup!$B$26,ROW()+1)))</f>
        <v>380.76697100000001</v>
      </c>
      <c r="F126" s="1">
        <f ca="1"/>
        <v>379.81883059590126</v>
      </c>
    </row>
    <row r="127" spans="1:6" x14ac:dyDescent="0.3">
      <c r="A127" s="1" cm="1">
        <f t="array" aca="1" ref="A127" ca="1">IF(ISBLANK(INDIRECT(CONCATENATE("Input!",RSE_Setup!$B$16,ROW()+1))),"",INDIRECT(CONCATENATE("Input!",RSE_Setup!$B$16,ROW()+1)))</f>
        <v>5.0000000000000001E-4</v>
      </c>
      <c r="B127" s="1" cm="1">
        <f t="array" aca="1" ref="B127" ca="1">IF(ISBLANK(INDIRECT(CONCATENATE("Input!",RSE_Setup!$B$17,ROW()+1))),"",INDIRECT(CONCATENATE("Input!",RSE_Setup!$B$17,ROW()+1)))</f>
        <v>3.0000000000000001E-3</v>
      </c>
      <c r="C127" s="1" cm="1">
        <f t="array" aca="1" ref="C127" ca="1">IF(ISBLANK(INDIRECT(CONCATENATE("Input!",RSE_Setup!$B$18,ROW()+1))),"",INDIRECT(CONCATENATE("Input!",RSE_Setup!$B$18,ROW()+1)))</f>
        <v>3.2258000000000002E-2</v>
      </c>
      <c r="D127" s="1" cm="1">
        <f t="array" aca="1" ref="D127" ca="1">IF(ISBLANK(INDIRECT(CONCATENATE("Input!",RSE_Setup!$B$19,ROW()+1))),"",INDIRECT(CONCATENATE("Input!",RSE_Setup!$B$19,ROW()+1)))</f>
        <v>9500</v>
      </c>
      <c r="E127" s="1" cm="1">
        <f t="array" aca="1" ref="E127" ca="1">IF(ISBLANK(INDIRECT(CONCATENATE("Input!",RSE_Setup!$B$26,ROW()+1))),"",INDIRECT(CONCATENATE("Input!",RSE_Setup!$B$26,ROW()+1)))</f>
        <v>355.18328200000002</v>
      </c>
      <c r="F127" s="1">
        <f ca="1"/>
        <v>353.42040742159941</v>
      </c>
    </row>
    <row r="128" spans="1:6" x14ac:dyDescent="0.3">
      <c r="A128" s="1" cm="1">
        <f t="array" aca="1" ref="A128" ca="1">IF(ISBLANK(INDIRECT(CONCATENATE("Input!",RSE_Setup!$B$16,ROW()+1))),"",INDIRECT(CONCATENATE("Input!",RSE_Setup!$B$16,ROW()+1)))</f>
        <v>5.0000000000000001E-4</v>
      </c>
      <c r="B128" s="1" cm="1">
        <f t="array" aca="1" ref="B128" ca="1">IF(ISBLANK(INDIRECT(CONCATENATE("Input!",RSE_Setup!$B$17,ROW()+1))),"",INDIRECT(CONCATENATE("Input!",RSE_Setup!$B$17,ROW()+1)))</f>
        <v>4.7499999999999999E-3</v>
      </c>
      <c r="C128" s="1" cm="1">
        <f t="array" aca="1" ref="C128" ca="1">IF(ISBLANK(INDIRECT(CONCATENATE("Input!",RSE_Setup!$B$18,ROW()+1))),"",INDIRECT(CONCATENATE("Input!",RSE_Setup!$B$18,ROW()+1)))</f>
        <v>0.13333300000000001</v>
      </c>
      <c r="D128" s="1" cm="1">
        <f t="array" aca="1" ref="D128" ca="1">IF(ISBLANK(INDIRECT(CONCATENATE("Input!",RSE_Setup!$B$19,ROW()+1))),"",INDIRECT(CONCATENATE("Input!",RSE_Setup!$B$19,ROW()+1)))</f>
        <v>4000</v>
      </c>
      <c r="E128" s="1" cm="1">
        <f t="array" aca="1" ref="E128" ca="1">IF(ISBLANK(INDIRECT(CONCATENATE("Input!",RSE_Setup!$B$26,ROW()+1))),"",INDIRECT(CONCATENATE("Input!",RSE_Setup!$B$26,ROW()+1)))</f>
        <v>272.71803599999998</v>
      </c>
      <c r="F128" s="1">
        <f ca="1"/>
        <v>274.48080362184635</v>
      </c>
    </row>
    <row r="129" spans="1:6" x14ac:dyDescent="0.3">
      <c r="A129" s="1" cm="1">
        <f t="array" aca="1" ref="A129" ca="1">IF(ISBLANK(INDIRECT(CONCATENATE("Input!",RSE_Setup!$B$16,ROW()+1))),"",INDIRECT(CONCATENATE("Input!",RSE_Setup!$B$16,ROW()+1)))</f>
        <v>5.0000000000000001E-4</v>
      </c>
      <c r="B129" s="1" cm="1">
        <f t="array" aca="1" ref="B129" ca="1">IF(ISBLANK(INDIRECT(CONCATENATE("Input!",RSE_Setup!$B$17,ROW()+1))),"",INDIRECT(CONCATENATE("Input!",RSE_Setup!$B$17,ROW()+1)))</f>
        <v>4.7499999999999999E-3</v>
      </c>
      <c r="C129" s="1" cm="1">
        <f t="array" aca="1" ref="C129" ca="1">IF(ISBLANK(INDIRECT(CONCATENATE("Input!",RSE_Setup!$B$18,ROW()+1))),"",INDIRECT(CONCATENATE("Input!",RSE_Setup!$B$18,ROW()+1)))</f>
        <v>0.111111</v>
      </c>
      <c r="D129" s="1" cm="1">
        <f t="array" aca="1" ref="D129" ca="1">IF(ISBLANK(INDIRECT(CONCATENATE("Input!",RSE_Setup!$B$19,ROW()+1))),"",INDIRECT(CONCATENATE("Input!",RSE_Setup!$B$19,ROW()+1)))</f>
        <v>3750</v>
      </c>
      <c r="E129" s="1" cm="1">
        <f t="array" aca="1" ref="E129" ca="1">IF(ISBLANK(INDIRECT(CONCATENATE("Input!",RSE_Setup!$B$26,ROW()+1))),"",INDIRECT(CONCATENATE("Input!",RSE_Setup!$B$26,ROW()+1)))</f>
        <v>240.085544</v>
      </c>
      <c r="F129" s="1">
        <f ca="1"/>
        <v>239.17631672272751</v>
      </c>
    </row>
    <row r="130" spans="1:6" x14ac:dyDescent="0.3">
      <c r="A130" s="1" cm="1">
        <f t="array" aca="1" ref="A130" ca="1">IF(ISBLANK(INDIRECT(CONCATENATE("Input!",RSE_Setup!$B$16,ROW()+1))),"",INDIRECT(CONCATENATE("Input!",RSE_Setup!$B$16,ROW()+1)))</f>
        <v>5.0000000000000001E-4</v>
      </c>
      <c r="B130" s="1" cm="1">
        <f t="array" aca="1" ref="B130" ca="1">IF(ISBLANK(INDIRECT(CONCATENATE("Input!",RSE_Setup!$B$17,ROW()+1))),"",INDIRECT(CONCATENATE("Input!",RSE_Setup!$B$17,ROW()+1)))</f>
        <v>4.7499999999999999E-3</v>
      </c>
      <c r="C130" s="1" cm="1">
        <f t="array" aca="1" ref="C130" ca="1">IF(ISBLANK(INDIRECT(CONCATENATE("Input!",RSE_Setup!$B$18,ROW()+1))),"",INDIRECT(CONCATENATE("Input!",RSE_Setup!$B$18,ROW()+1)))</f>
        <v>0.111111</v>
      </c>
      <c r="D130" s="1" cm="1">
        <f t="array" aca="1" ref="D130" ca="1">IF(ISBLANK(INDIRECT(CONCATENATE("Input!",RSE_Setup!$B$19,ROW()+1))),"",INDIRECT(CONCATENATE("Input!",RSE_Setup!$B$19,ROW()+1)))</f>
        <v>4750</v>
      </c>
      <c r="E130" s="1" cm="1">
        <f t="array" aca="1" ref="E130" ca="1">IF(ISBLANK(INDIRECT(CONCATENATE("Input!",RSE_Setup!$B$26,ROW()+1))),"",INDIRECT(CONCATENATE("Input!",RSE_Setup!$B$26,ROW()+1)))</f>
        <v>298.62288599999999</v>
      </c>
      <c r="F130" s="1">
        <f ca="1"/>
        <v>293.98654075342228</v>
      </c>
    </row>
    <row r="131" spans="1:6" x14ac:dyDescent="0.3">
      <c r="A131" s="1" cm="1">
        <f t="array" aca="1" ref="A131" ca="1">IF(ISBLANK(INDIRECT(CONCATENATE("Input!",RSE_Setup!$B$16,ROW()+1))),"",INDIRECT(CONCATENATE("Input!",RSE_Setup!$B$16,ROW()+1)))</f>
        <v>5.0000000000000001E-4</v>
      </c>
      <c r="B131" s="1" cm="1">
        <f t="array" aca="1" ref="B131" ca="1">IF(ISBLANK(INDIRECT(CONCATENATE("Input!",RSE_Setup!$B$17,ROW()+1))),"",INDIRECT(CONCATENATE("Input!",RSE_Setup!$B$17,ROW()+1)))</f>
        <v>4.7499999999999999E-3</v>
      </c>
      <c r="C131" s="1" cm="1">
        <f t="array" aca="1" ref="C131" ca="1">IF(ISBLANK(INDIRECT(CONCATENATE("Input!",RSE_Setup!$B$18,ROW()+1))),"",INDIRECT(CONCATENATE("Input!",RSE_Setup!$B$18,ROW()+1)))</f>
        <v>5.5556000000000001E-2</v>
      </c>
      <c r="D131" s="1" cm="1">
        <f t="array" aca="1" ref="D131" ca="1">IF(ISBLANK(INDIRECT(CONCATENATE("Input!",RSE_Setup!$B$19,ROW()+1))),"",INDIRECT(CONCATENATE("Input!",RSE_Setup!$B$19,ROW()+1)))</f>
        <v>5500</v>
      </c>
      <c r="E131" s="1" cm="1">
        <f t="array" aca="1" ref="E131" ca="1">IF(ISBLANK(INDIRECT(CONCATENATE("Input!",RSE_Setup!$B$26,ROW()+1))),"",INDIRECT(CONCATENATE("Input!",RSE_Setup!$B$26,ROW()+1)))</f>
        <v>289.07174800000001</v>
      </c>
      <c r="F131" s="1">
        <f ca="1"/>
        <v>285.68373764445931</v>
      </c>
    </row>
    <row r="132" spans="1:6" x14ac:dyDescent="0.3">
      <c r="A132" s="1" cm="1">
        <f t="array" aca="1" ref="A132" ca="1">IF(ISBLANK(INDIRECT(CONCATENATE("Input!",RSE_Setup!$B$16,ROW()+1))),"",INDIRECT(CONCATENATE("Input!",RSE_Setup!$B$16,ROW()+1)))</f>
        <v>5.0000000000000001E-4</v>
      </c>
      <c r="B132" s="1" cm="1">
        <f t="array" aca="1" ref="B132" ca="1">IF(ISBLANK(INDIRECT(CONCATENATE("Input!",RSE_Setup!$B$17,ROW()+1))),"",INDIRECT(CONCATENATE("Input!",RSE_Setup!$B$17,ROW()+1)))</f>
        <v>4.7499999999999999E-3</v>
      </c>
      <c r="C132" s="1" cm="1">
        <f t="array" aca="1" ref="C132" ca="1">IF(ISBLANK(INDIRECT(CONCATENATE("Input!",RSE_Setup!$B$18,ROW()+1))),"",INDIRECT(CONCATENATE("Input!",RSE_Setup!$B$18,ROW()+1)))</f>
        <v>5.5556000000000001E-2</v>
      </c>
      <c r="D132" s="1" cm="1">
        <f t="array" aca="1" ref="D132" ca="1">IF(ISBLANK(INDIRECT(CONCATENATE("Input!",RSE_Setup!$B$19,ROW()+1))),"",INDIRECT(CONCATENATE("Input!",RSE_Setup!$B$19,ROW()+1)))</f>
        <v>7500</v>
      </c>
      <c r="E132" s="1" cm="1">
        <f t="array" aca="1" ref="E132" ca="1">IF(ISBLANK(INDIRECT(CONCATENATE("Input!",RSE_Setup!$B$26,ROW()+1))),"",INDIRECT(CONCATENATE("Input!",RSE_Setup!$B$26,ROW()+1)))</f>
        <v>382.054665</v>
      </c>
      <c r="F132" s="1">
        <f ca="1"/>
        <v>384.73052859062034</v>
      </c>
    </row>
    <row r="133" spans="1:6" x14ac:dyDescent="0.3">
      <c r="A133" s="1" cm="1">
        <f t="array" aca="1" ref="A133" ca="1">IF(ISBLANK(INDIRECT(CONCATENATE("Input!",RSE_Setup!$B$16,ROW()+1))),"",INDIRECT(CONCATENATE("Input!",RSE_Setup!$B$16,ROW()+1)))</f>
        <v>5.0000000000000001E-4</v>
      </c>
      <c r="B133" s="1" cm="1">
        <f t="array" aca="1" ref="B133" ca="1">IF(ISBLANK(INDIRECT(CONCATENATE("Input!",RSE_Setup!$B$17,ROW()+1))),"",INDIRECT(CONCATENATE("Input!",RSE_Setup!$B$17,ROW()+1)))</f>
        <v>4.7499999999999999E-3</v>
      </c>
      <c r="C133" s="1" cm="1">
        <f t="array" aca="1" ref="C133" ca="1">IF(ISBLANK(INDIRECT(CONCATENATE("Input!",RSE_Setup!$B$18,ROW()+1))),"",INDIRECT(CONCATENATE("Input!",RSE_Setup!$B$18,ROW()+1)))</f>
        <v>5.5556000000000001E-2</v>
      </c>
      <c r="D133" s="1" cm="1">
        <f t="array" aca="1" ref="D133" ca="1">IF(ISBLANK(INDIRECT(CONCATENATE("Input!",RSE_Setup!$B$19,ROW()+1))),"",INDIRECT(CONCATENATE("Input!",RSE_Setup!$B$19,ROW()+1)))</f>
        <v>9500</v>
      </c>
      <c r="E133" s="1" cm="1">
        <f t="array" aca="1" ref="E133" ca="1">IF(ISBLANK(INDIRECT(CONCATENATE("Input!",RSE_Setup!$B$26,ROW()+1))),"",INDIRECT(CONCATENATE("Input!",RSE_Setup!$B$26,ROW()+1)))</f>
        <v>477.48343999999997</v>
      </c>
      <c r="F133" s="1">
        <f ca="1"/>
        <v>483.52821257594456</v>
      </c>
    </row>
    <row r="134" spans="1:6" x14ac:dyDescent="0.3">
      <c r="A134" s="1" cm="1">
        <f t="array" aca="1" ref="A134" ca="1">IF(ISBLANK(INDIRECT(CONCATENATE("Input!",RSE_Setup!$B$16,ROW()+1))),"",INDIRECT(CONCATENATE("Input!",RSE_Setup!$B$16,ROW()+1)))</f>
        <v>5.0000000000000001E-4</v>
      </c>
      <c r="B134" s="1" cm="1">
        <f t="array" aca="1" ref="B134" ca="1">IF(ISBLANK(INDIRECT(CONCATENATE("Input!",RSE_Setup!$B$17,ROW()+1))),"",INDIRECT(CONCATENATE("Input!",RSE_Setup!$B$17,ROW()+1)))</f>
        <v>4.7499999999999999E-3</v>
      </c>
      <c r="C134" s="1" cm="1">
        <f t="array" aca="1" ref="C134" ca="1">IF(ISBLANK(INDIRECT(CONCATENATE("Input!",RSE_Setup!$B$18,ROW()+1))),"",INDIRECT(CONCATENATE("Input!",RSE_Setup!$B$18,ROW()+1)))</f>
        <v>3.2258000000000002E-2</v>
      </c>
      <c r="D134" s="1" cm="1">
        <f t="array" aca="1" ref="D134" ca="1">IF(ISBLANK(INDIRECT(CONCATENATE("Input!",RSE_Setup!$B$19,ROW()+1))),"",INDIRECT(CONCATENATE("Input!",RSE_Setup!$B$19,ROW()+1)))</f>
        <v>9500</v>
      </c>
      <c r="E134" s="1" cm="1">
        <f t="array" aca="1" ref="E134" ca="1">IF(ISBLANK(INDIRECT(CONCATENATE("Input!",RSE_Setup!$B$26,ROW()+1))),"",INDIRECT(CONCATENATE("Input!",RSE_Setup!$B$26,ROW()+1)))</f>
        <v>466.62869999999998</v>
      </c>
      <c r="F134" s="1">
        <f ca="1"/>
        <v>459.43760193210551</v>
      </c>
    </row>
    <row r="135" spans="1:6" x14ac:dyDescent="0.3">
      <c r="A135" s="1" cm="1">
        <f t="array" aca="1" ref="A135" ca="1">IF(ISBLANK(INDIRECT(CONCATENATE("Input!",RSE_Setup!$B$16,ROW()+1))),"",INDIRECT(CONCATENATE("Input!",RSE_Setup!$B$16,ROW()+1)))</f>
        <v>5.0000000000000001E-4</v>
      </c>
      <c r="B135" s="1" cm="1">
        <f t="array" aca="1" ref="B135" ca="1">IF(ISBLANK(INDIRECT(CONCATENATE("Input!",RSE_Setup!$B$17,ROW()+1))),"",INDIRECT(CONCATENATE("Input!",RSE_Setup!$B$17,ROW()+1)))</f>
        <v>6.4999999999999997E-3</v>
      </c>
      <c r="C135" s="1" cm="1">
        <f t="array" aca="1" ref="C135" ca="1">IF(ISBLANK(INDIRECT(CONCATENATE("Input!",RSE_Setup!$B$18,ROW()+1))),"",INDIRECT(CONCATENATE("Input!",RSE_Setup!$B$18,ROW()+1)))</f>
        <v>0.13333300000000001</v>
      </c>
      <c r="D135" s="1" cm="1">
        <f t="array" aca="1" ref="D135" ca="1">IF(ISBLANK(INDIRECT(CONCATENATE("Input!",RSE_Setup!$B$19,ROW()+1))),"",INDIRECT(CONCATENATE("Input!",RSE_Setup!$B$19,ROW()+1)))</f>
        <v>4000</v>
      </c>
      <c r="E135" s="1" cm="1">
        <f t="array" aca="1" ref="E135" ca="1">IF(ISBLANK(INDIRECT(CONCATENATE("Input!",RSE_Setup!$B$26,ROW()+1))),"",INDIRECT(CONCATENATE("Input!",RSE_Setup!$B$26,ROW()+1)))</f>
        <v>311.95950399999998</v>
      </c>
      <c r="F135" s="1">
        <f ca="1"/>
        <v>311.91903435956476</v>
      </c>
    </row>
    <row r="136" spans="1:6" x14ac:dyDescent="0.3">
      <c r="A136" s="1" cm="1">
        <f t="array" aca="1" ref="A136" ca="1">IF(ISBLANK(INDIRECT(CONCATENATE("Input!",RSE_Setup!$B$16,ROW()+1))),"",INDIRECT(CONCATENATE("Input!",RSE_Setup!$B$16,ROW()+1)))</f>
        <v>5.0000000000000001E-4</v>
      </c>
      <c r="B136" s="1" cm="1">
        <f t="array" aca="1" ref="B136" ca="1">IF(ISBLANK(INDIRECT(CONCATENATE("Input!",RSE_Setup!$B$17,ROW()+1))),"",INDIRECT(CONCATENATE("Input!",RSE_Setup!$B$17,ROW()+1)))</f>
        <v>6.4999999999999997E-3</v>
      </c>
      <c r="C136" s="1" cm="1">
        <f t="array" aca="1" ref="C136" ca="1">IF(ISBLANK(INDIRECT(CONCATENATE("Input!",RSE_Setup!$B$18,ROW()+1))),"",INDIRECT(CONCATENATE("Input!",RSE_Setup!$B$18,ROW()+1)))</f>
        <v>0.111111</v>
      </c>
      <c r="D136" s="1" cm="1">
        <f t="array" aca="1" ref="D136" ca="1">IF(ISBLANK(INDIRECT(CONCATENATE("Input!",RSE_Setup!$B$19,ROW()+1))),"",INDIRECT(CONCATENATE("Input!",RSE_Setup!$B$19,ROW()+1)))</f>
        <v>3750</v>
      </c>
      <c r="E136" s="1" cm="1">
        <f t="array" aca="1" ref="E136" ca="1">IF(ISBLANK(INDIRECT(CONCATENATE("Input!",RSE_Setup!$B$26,ROW()+1))),"",INDIRECT(CONCATENATE("Input!",RSE_Setup!$B$26,ROW()+1)))</f>
        <v>277.27513800000003</v>
      </c>
      <c r="F136" s="1">
        <f ca="1"/>
        <v>275.9876331460182</v>
      </c>
    </row>
    <row r="137" spans="1:6" x14ac:dyDescent="0.3">
      <c r="A137" s="1" cm="1">
        <f t="array" aca="1" ref="A137" ca="1">IF(ISBLANK(INDIRECT(CONCATENATE("Input!",RSE_Setup!$B$16,ROW()+1))),"",INDIRECT(CONCATENATE("Input!",RSE_Setup!$B$16,ROW()+1)))</f>
        <v>5.0000000000000001E-4</v>
      </c>
      <c r="B137" s="1" cm="1">
        <f t="array" aca="1" ref="B137" ca="1">IF(ISBLANK(INDIRECT(CONCATENATE("Input!",RSE_Setup!$B$17,ROW()+1))),"",INDIRECT(CONCATENATE("Input!",RSE_Setup!$B$17,ROW()+1)))</f>
        <v>6.4999999999999997E-3</v>
      </c>
      <c r="C137" s="1" cm="1">
        <f t="array" aca="1" ref="C137" ca="1">IF(ISBLANK(INDIRECT(CONCATENATE("Input!",RSE_Setup!$B$18,ROW()+1))),"",INDIRECT(CONCATENATE("Input!",RSE_Setup!$B$18,ROW()+1)))</f>
        <v>0.111111</v>
      </c>
      <c r="D137" s="1" cm="1">
        <f t="array" aca="1" ref="D137" ca="1">IF(ISBLANK(INDIRECT(CONCATENATE("Input!",RSE_Setup!$B$19,ROW()+1))),"",INDIRECT(CONCATENATE("Input!",RSE_Setup!$B$19,ROW()+1)))</f>
        <v>4750</v>
      </c>
      <c r="E137" s="1" cm="1">
        <f t="array" aca="1" ref="E137" ca="1">IF(ISBLANK(INDIRECT(CONCATENATE("Input!",RSE_Setup!$B$26,ROW()+1))),"",INDIRECT(CONCATENATE("Input!",RSE_Setup!$B$26,ROW()+1)))</f>
        <v>345.09265399999998</v>
      </c>
      <c r="F137" s="1">
        <f ca="1"/>
        <v>342.1104264529568</v>
      </c>
    </row>
    <row r="138" spans="1:6" x14ac:dyDescent="0.3">
      <c r="A138" s="1" cm="1">
        <f t="array" aca="1" ref="A138" ca="1">IF(ISBLANK(INDIRECT(CONCATENATE("Input!",RSE_Setup!$B$16,ROW()+1))),"",INDIRECT(CONCATENATE("Input!",RSE_Setup!$B$16,ROW()+1)))</f>
        <v>5.0000000000000001E-4</v>
      </c>
      <c r="B138" s="1" cm="1">
        <f t="array" aca="1" ref="B138" ca="1">IF(ISBLANK(INDIRECT(CONCATENATE("Input!",RSE_Setup!$B$17,ROW()+1))),"",INDIRECT(CONCATENATE("Input!",RSE_Setup!$B$17,ROW()+1)))</f>
        <v>6.4999999999999997E-3</v>
      </c>
      <c r="C138" s="1" cm="1">
        <f t="array" aca="1" ref="C138" ca="1">IF(ISBLANK(INDIRECT(CONCATENATE("Input!",RSE_Setup!$B$18,ROW()+1))),"",INDIRECT(CONCATENATE("Input!",RSE_Setup!$B$18,ROW()+1)))</f>
        <v>5.5556000000000001E-2</v>
      </c>
      <c r="D138" s="1" cm="1">
        <f t="array" aca="1" ref="D138" ca="1">IF(ISBLANK(INDIRECT(CONCATENATE("Input!",RSE_Setup!$B$19,ROW()+1))),"",INDIRECT(CONCATENATE("Input!",RSE_Setup!$B$19,ROW()+1)))</f>
        <v>5500</v>
      </c>
      <c r="E138" s="1" cm="1">
        <f t="array" aca="1" ref="E138" ca="1">IF(ISBLANK(INDIRECT(CONCATENATE("Input!",RSE_Setup!$B$26,ROW()+1))),"",INDIRECT(CONCATENATE("Input!",RSE_Setup!$B$26,ROW()+1)))</f>
        <v>349.92025799999999</v>
      </c>
      <c r="F138" s="1">
        <f ca="1"/>
        <v>347.79512031275971</v>
      </c>
    </row>
    <row r="139" spans="1:6" x14ac:dyDescent="0.3">
      <c r="A139" s="1" cm="1">
        <f t="array" aca="1" ref="A139" ca="1">IF(ISBLANK(INDIRECT(CONCATENATE("Input!",RSE_Setup!$B$16,ROW()+1))),"",INDIRECT(CONCATENATE("Input!",RSE_Setup!$B$16,ROW()+1)))</f>
        <v>7.5000000000000002E-4</v>
      </c>
      <c r="B139" s="1" cm="1">
        <f t="array" aca="1" ref="B139" ca="1">IF(ISBLANK(INDIRECT(CONCATENATE("Input!",RSE_Setup!$B$17,ROW()+1))),"",INDIRECT(CONCATENATE("Input!",RSE_Setup!$B$17,ROW()+1)))</f>
        <v>4.0000000000000001E-3</v>
      </c>
      <c r="C139" s="1" cm="1">
        <f t="array" aca="1" ref="C139" ca="1">IF(ISBLANK(INDIRECT(CONCATENATE("Input!",RSE_Setup!$B$18,ROW()+1))),"",INDIRECT(CONCATENATE("Input!",RSE_Setup!$B$18,ROW()+1)))</f>
        <v>0.13333300000000001</v>
      </c>
      <c r="D139" s="1" cm="1">
        <f t="array" aca="1" ref="D139" ca="1">IF(ISBLANK(INDIRECT(CONCATENATE("Input!",RSE_Setup!$B$19,ROW()+1))),"",INDIRECT(CONCATENATE("Input!",RSE_Setup!$B$19,ROW()+1)))</f>
        <v>4000</v>
      </c>
      <c r="E139" s="1" cm="1">
        <f t="array" aca="1" ref="E139" ca="1">IF(ISBLANK(INDIRECT(CONCATENATE("Input!",RSE_Setup!$B$26,ROW()+1))),"",INDIRECT(CONCATENATE("Input!",RSE_Setup!$B$26,ROW()+1)))</f>
        <v>263.31739199999998</v>
      </c>
      <c r="F139" s="1">
        <f ca="1"/>
        <v>266.43355809444876</v>
      </c>
    </row>
    <row r="140" spans="1:6" x14ac:dyDescent="0.3">
      <c r="A140" s="1" cm="1">
        <f t="array" aca="1" ref="A140" ca="1">IF(ISBLANK(INDIRECT(CONCATENATE("Input!",RSE_Setup!$B$16,ROW()+1))),"",INDIRECT(CONCATENATE("Input!",RSE_Setup!$B$16,ROW()+1)))</f>
        <v>7.5000000000000002E-4</v>
      </c>
      <c r="B140" s="1" cm="1">
        <f t="array" aca="1" ref="B140" ca="1">IF(ISBLANK(INDIRECT(CONCATENATE("Input!",RSE_Setup!$B$17,ROW()+1))),"",INDIRECT(CONCATENATE("Input!",RSE_Setup!$B$17,ROW()+1)))</f>
        <v>4.0000000000000001E-3</v>
      </c>
      <c r="C140" s="1" cm="1">
        <f t="array" aca="1" ref="C140" ca="1">IF(ISBLANK(INDIRECT(CONCATENATE("Input!",RSE_Setup!$B$18,ROW()+1))),"",INDIRECT(CONCATENATE("Input!",RSE_Setup!$B$18,ROW()+1)))</f>
        <v>0.111111</v>
      </c>
      <c r="D140" s="1" cm="1">
        <f t="array" aca="1" ref="D140" ca="1">IF(ISBLANK(INDIRECT(CONCATENATE("Input!",RSE_Setup!$B$19,ROW()+1))),"",INDIRECT(CONCATENATE("Input!",RSE_Setup!$B$19,ROW()+1)))</f>
        <v>3750</v>
      </c>
      <c r="E140" s="1" cm="1">
        <f t="array" aca="1" ref="E140" ca="1">IF(ISBLANK(INDIRECT(CONCATENATE("Input!",RSE_Setup!$B$26,ROW()+1))),"",INDIRECT(CONCATENATE("Input!",RSE_Setup!$B$26,ROW()+1)))</f>
        <v>231.23671300000001</v>
      </c>
      <c r="F140" s="1">
        <f ca="1"/>
        <v>231.20516343115625</v>
      </c>
    </row>
    <row r="141" spans="1:6" x14ac:dyDescent="0.3">
      <c r="A141" s="1" cm="1">
        <f t="array" aca="1" ref="A141" ca="1">IF(ISBLANK(INDIRECT(CONCATENATE("Input!",RSE_Setup!$B$16,ROW()+1))),"",INDIRECT(CONCATENATE("Input!",RSE_Setup!$B$16,ROW()+1)))</f>
        <v>7.5000000000000002E-4</v>
      </c>
      <c r="B141" s="1" cm="1">
        <f t="array" aca="1" ref="B141" ca="1">IF(ISBLANK(INDIRECT(CONCATENATE("Input!",RSE_Setup!$B$17,ROW()+1))),"",INDIRECT(CONCATENATE("Input!",RSE_Setup!$B$17,ROW()+1)))</f>
        <v>4.0000000000000001E-3</v>
      </c>
      <c r="C141" s="1" cm="1">
        <f t="array" aca="1" ref="C141" ca="1">IF(ISBLANK(INDIRECT(CONCATENATE("Input!",RSE_Setup!$B$18,ROW()+1))),"",INDIRECT(CONCATENATE("Input!",RSE_Setup!$B$18,ROW()+1)))</f>
        <v>0.111111</v>
      </c>
      <c r="D141" s="1" cm="1">
        <f t="array" aca="1" ref="D141" ca="1">IF(ISBLANK(INDIRECT(CONCATENATE("Input!",RSE_Setup!$B$19,ROW()+1))),"",INDIRECT(CONCATENATE("Input!",RSE_Setup!$B$19,ROW()+1)))</f>
        <v>4750</v>
      </c>
      <c r="E141" s="1" cm="1">
        <f t="array" aca="1" ref="E141" ca="1">IF(ISBLANK(INDIRECT(CONCATENATE("Input!",RSE_Setup!$B$26,ROW()+1))),"",INDIRECT(CONCATENATE("Input!",RSE_Setup!$B$26,ROW()+1)))</f>
        <v>287.70864399999999</v>
      </c>
      <c r="F141" s="1">
        <f ca="1"/>
        <v>283.36719045471358</v>
      </c>
    </row>
    <row r="142" spans="1:6" x14ac:dyDescent="0.3">
      <c r="A142" s="1" cm="1">
        <f t="array" aca="1" ref="A142" ca="1">IF(ISBLANK(INDIRECT(CONCATENATE("Input!",RSE_Setup!$B$16,ROW()+1))),"",INDIRECT(CONCATENATE("Input!",RSE_Setup!$B$16,ROW()+1)))</f>
        <v>7.5000000000000002E-4</v>
      </c>
      <c r="B142" s="1" cm="1">
        <f t="array" aca="1" ref="B142" ca="1">IF(ISBLANK(INDIRECT(CONCATENATE("Input!",RSE_Setup!$B$17,ROW()+1))),"",INDIRECT(CONCATENATE("Input!",RSE_Setup!$B$17,ROW()+1)))</f>
        <v>4.0000000000000001E-3</v>
      </c>
      <c r="C142" s="1" cm="1">
        <f t="array" aca="1" ref="C142" ca="1">IF(ISBLANK(INDIRECT(CONCATENATE("Input!",RSE_Setup!$B$18,ROW()+1))),"",INDIRECT(CONCATENATE("Input!",RSE_Setup!$B$18,ROW()+1)))</f>
        <v>5.5556000000000001E-2</v>
      </c>
      <c r="D142" s="1" cm="1">
        <f t="array" aca="1" ref="D142" ca="1">IF(ISBLANK(INDIRECT(CONCATENATE("Input!",RSE_Setup!$B$19,ROW()+1))),"",INDIRECT(CONCATENATE("Input!",RSE_Setup!$B$19,ROW()+1)))</f>
        <v>5500</v>
      </c>
      <c r="E142" s="1" cm="1">
        <f t="array" aca="1" ref="E142" ca="1">IF(ISBLANK(INDIRECT(CONCATENATE("Input!",RSE_Setup!$B$26,ROW()+1))),"",INDIRECT(CONCATENATE("Input!",RSE_Setup!$B$26,ROW()+1)))</f>
        <v>274.61727200000001</v>
      </c>
      <c r="F142" s="1">
        <f ca="1"/>
        <v>271.61334705050251</v>
      </c>
    </row>
    <row r="143" spans="1:6" x14ac:dyDescent="0.3">
      <c r="A143" s="1" cm="1">
        <f t="array" aca="1" ref="A143" ca="1">IF(ISBLANK(INDIRECT(CONCATENATE("Input!",RSE_Setup!$B$16,ROW()+1))),"",INDIRECT(CONCATENATE("Input!",RSE_Setup!$B$16,ROW()+1)))</f>
        <v>7.5000000000000002E-4</v>
      </c>
      <c r="B143" s="1" cm="1">
        <f t="array" aca="1" ref="B143" ca="1">IF(ISBLANK(INDIRECT(CONCATENATE("Input!",RSE_Setup!$B$17,ROW()+1))),"",INDIRECT(CONCATENATE("Input!",RSE_Setup!$B$17,ROW()+1)))</f>
        <v>6.0000000000000001E-3</v>
      </c>
      <c r="C143" s="1" cm="1">
        <f t="array" aca="1" ref="C143" ca="1">IF(ISBLANK(INDIRECT(CONCATENATE("Input!",RSE_Setup!$B$18,ROW()+1))),"",INDIRECT(CONCATENATE("Input!",RSE_Setup!$B$18,ROW()+1)))</f>
        <v>0.13333300000000001</v>
      </c>
      <c r="D143" s="1" cm="1">
        <f t="array" aca="1" ref="D143" ca="1">IF(ISBLANK(INDIRECT(CONCATENATE("Input!",RSE_Setup!$B$19,ROW()+1))),"",INDIRECT(CONCATENATE("Input!",RSE_Setup!$B$19,ROW()+1)))</f>
        <v>4000</v>
      </c>
      <c r="E143" s="1" cm="1">
        <f t="array" aca="1" ref="E143" ca="1">IF(ISBLANK(INDIRECT(CONCATENATE("Input!",RSE_Setup!$B$26,ROW()+1))),"",INDIRECT(CONCATENATE("Input!",RSE_Setup!$B$26,ROW()+1)))</f>
        <v>308.43057099999999</v>
      </c>
      <c r="F143" s="1">
        <f ca="1"/>
        <v>308.04946946730894</v>
      </c>
    </row>
    <row r="144" spans="1:6" x14ac:dyDescent="0.3">
      <c r="A144" s="1" cm="1">
        <f t="array" aca="1" ref="A144" ca="1">IF(ISBLANK(INDIRECT(CONCATENATE("Input!",RSE_Setup!$B$16,ROW()+1))),"",INDIRECT(CONCATENATE("Input!",RSE_Setup!$B$16,ROW()+1)))</f>
        <v>7.5000000000000002E-4</v>
      </c>
      <c r="B144" s="1" cm="1">
        <f t="array" aca="1" ref="B144" ca="1">IF(ISBLANK(INDIRECT(CONCATENATE("Input!",RSE_Setup!$B$17,ROW()+1))),"",INDIRECT(CONCATENATE("Input!",RSE_Setup!$B$17,ROW()+1)))</f>
        <v>6.0000000000000001E-3</v>
      </c>
      <c r="C144" s="1" cm="1">
        <f t="array" aca="1" ref="C144" ca="1">IF(ISBLANK(INDIRECT(CONCATENATE("Input!",RSE_Setup!$B$18,ROW()+1))),"",INDIRECT(CONCATENATE("Input!",RSE_Setup!$B$18,ROW()+1)))</f>
        <v>0.111111</v>
      </c>
      <c r="D144" s="1" cm="1">
        <f t="array" aca="1" ref="D144" ca="1">IF(ISBLANK(INDIRECT(CONCATENATE("Input!",RSE_Setup!$B$19,ROW()+1))),"",INDIRECT(CONCATENATE("Input!",RSE_Setup!$B$19,ROW()+1)))</f>
        <v>3750</v>
      </c>
      <c r="E144" s="1" cm="1">
        <f t="array" aca="1" ref="E144" ca="1">IF(ISBLANK(INDIRECT(CONCATENATE("Input!",RSE_Setup!$B$26,ROW()+1))),"",INDIRECT(CONCATENATE("Input!",RSE_Setup!$B$26,ROW()+1)))</f>
        <v>273.81008500000002</v>
      </c>
      <c r="F144" s="1">
        <f ca="1"/>
        <v>272.10460130181332</v>
      </c>
    </row>
    <row r="145" spans="1:6" x14ac:dyDescent="0.3">
      <c r="A145" s="1" cm="1">
        <f t="array" aca="1" ref="A145" ca="1">IF(ISBLANK(INDIRECT(CONCATENATE("Input!",RSE_Setup!$B$16,ROW()+1))),"",INDIRECT(CONCATENATE("Input!",RSE_Setup!$B$16,ROW()+1)))</f>
        <v>7.5000000000000002E-4</v>
      </c>
      <c r="B145" s="1" cm="1">
        <f t="array" aca="1" ref="B145" ca="1">IF(ISBLANK(INDIRECT(CONCATENATE("Input!",RSE_Setup!$B$17,ROW()+1))),"",INDIRECT(CONCATENATE("Input!",RSE_Setup!$B$17,ROW()+1)))</f>
        <v>6.0000000000000001E-3</v>
      </c>
      <c r="C145" s="1" cm="1">
        <f t="array" aca="1" ref="C145" ca="1">IF(ISBLANK(INDIRECT(CONCATENATE("Input!",RSE_Setup!$B$18,ROW()+1))),"",INDIRECT(CONCATENATE("Input!",RSE_Setup!$B$18,ROW()+1)))</f>
        <v>0.111111</v>
      </c>
      <c r="D145" s="1" cm="1">
        <f t="array" aca="1" ref="D145" ca="1">IF(ISBLANK(INDIRECT(CONCATENATE("Input!",RSE_Setup!$B$19,ROW()+1))),"",INDIRECT(CONCATENATE("Input!",RSE_Setup!$B$19,ROW()+1)))</f>
        <v>4750</v>
      </c>
      <c r="E145" s="1" cm="1">
        <f t="array" aca="1" ref="E145" ca="1">IF(ISBLANK(INDIRECT(CONCATENATE("Input!",RSE_Setup!$B$26,ROW()+1))),"",INDIRECT(CONCATENATE("Input!",RSE_Setup!$B$26,ROW()+1)))</f>
        <v>340.70602200000002</v>
      </c>
      <c r="F145" s="1">
        <f ca="1"/>
        <v>337.19527892679218</v>
      </c>
    </row>
    <row r="146" spans="1:6" x14ac:dyDescent="0.3">
      <c r="A146" s="1" cm="1">
        <f t="array" aca="1" ref="A146" ca="1">IF(ISBLANK(INDIRECT(CONCATENATE("Input!",RSE_Setup!$B$16,ROW()+1))),"",INDIRECT(CONCATENATE("Input!",RSE_Setup!$B$16,ROW()+1)))</f>
        <v>7.5000000000000002E-4</v>
      </c>
      <c r="B146" s="1" cm="1">
        <f t="array" aca="1" ref="B146" ca="1">IF(ISBLANK(INDIRECT(CONCATENATE("Input!",RSE_Setup!$B$17,ROW()+1))),"",INDIRECT(CONCATENATE("Input!",RSE_Setup!$B$17,ROW()+1)))</f>
        <v>6.0000000000000001E-3</v>
      </c>
      <c r="C146" s="1" cm="1">
        <f t="array" aca="1" ref="C146" ca="1">IF(ISBLANK(INDIRECT(CONCATENATE("Input!",RSE_Setup!$B$18,ROW()+1))),"",INDIRECT(CONCATENATE("Input!",RSE_Setup!$B$18,ROW()+1)))</f>
        <v>5.5556000000000001E-2</v>
      </c>
      <c r="D146" s="1" cm="1">
        <f t="array" aca="1" ref="D146" ca="1">IF(ISBLANK(INDIRECT(CONCATENATE("Input!",RSE_Setup!$B$19,ROW()+1))),"",INDIRECT(CONCATENATE("Input!",RSE_Setup!$B$19,ROW()+1)))</f>
        <v>5500</v>
      </c>
      <c r="E146" s="1" cm="1">
        <f t="array" aca="1" ref="E146" ca="1">IF(ISBLANK(INDIRECT(CONCATENATE("Input!",RSE_Setup!$B$26,ROW()+1))),"",INDIRECT(CONCATENATE("Input!",RSE_Setup!$B$26,ROW()+1)))</f>
        <v>343.23237999999998</v>
      </c>
      <c r="F146" s="1">
        <f ca="1"/>
        <v>341.4271463440279</v>
      </c>
    </row>
    <row r="147" spans="1:6" x14ac:dyDescent="0.3">
      <c r="A147" s="1" cm="1">
        <f t="array" aca="1" ref="A147" ca="1">IF(ISBLANK(INDIRECT(CONCATENATE("Input!",RSE_Setup!$B$16,ROW()+1))),"",INDIRECT(CONCATENATE("Input!",RSE_Setup!$B$16,ROW()+1)))</f>
        <v>7.5000000000000002E-4</v>
      </c>
      <c r="B147" s="1" cm="1">
        <f t="array" aca="1" ref="B147" ca="1">IF(ISBLANK(INDIRECT(CONCATENATE("Input!",RSE_Setup!$B$17,ROW()+1))),"",INDIRECT(CONCATENATE("Input!",RSE_Setup!$B$17,ROW()+1)))</f>
        <v>8.0000000000000002E-3</v>
      </c>
      <c r="C147" s="1" cm="1">
        <f t="array" aca="1" ref="C147" ca="1">IF(ISBLANK(INDIRECT(CONCATENATE("Input!",RSE_Setup!$B$18,ROW()+1))),"",INDIRECT(CONCATENATE("Input!",RSE_Setup!$B$18,ROW()+1)))</f>
        <v>0.111111</v>
      </c>
      <c r="D147" s="1" cm="1">
        <f t="array" aca="1" ref="D147" ca="1">IF(ISBLANK(INDIRECT(CONCATENATE("Input!",RSE_Setup!$B$19,ROW()+1))),"",INDIRECT(CONCATENATE("Input!",RSE_Setup!$B$19,ROW()+1)))</f>
        <v>4750</v>
      </c>
      <c r="E147" s="1" cm="1">
        <f t="array" aca="1" ref="E147" ca="1">IF(ISBLANK(INDIRECT(CONCATENATE("Input!",RSE_Setup!$B$26,ROW()+1))),"",INDIRECT(CONCATENATE("Input!",RSE_Setup!$B$26,ROW()+1)))</f>
        <v>394.26108099999999</v>
      </c>
      <c r="F147" s="1">
        <f ca="1"/>
        <v>395.79368941452128</v>
      </c>
    </row>
    <row r="148" spans="1:6" x14ac:dyDescent="0.3">
      <c r="A148" s="1" cm="1">
        <f t="array" aca="1" ref="A148" ca="1">IF(ISBLANK(INDIRECT(CONCATENATE("Input!",RSE_Setup!$B$16,ROW()+1))),"",INDIRECT(CONCATENATE("Input!",RSE_Setup!$B$16,ROW()+1)))</f>
        <v>7.5000000000000002E-4</v>
      </c>
      <c r="B148" s="1" cm="1">
        <f t="array" aca="1" ref="B148" ca="1">IF(ISBLANK(INDIRECT(CONCATENATE("Input!",RSE_Setup!$B$17,ROW()+1))),"",INDIRECT(CONCATENATE("Input!",RSE_Setup!$B$17,ROW()+1)))</f>
        <v>8.0000000000000002E-3</v>
      </c>
      <c r="C148" s="1" cm="1">
        <f t="array" aca="1" ref="C148" ca="1">IF(ISBLANK(INDIRECT(CONCATENATE("Input!",RSE_Setup!$B$18,ROW()+1))),"",INDIRECT(CONCATENATE("Input!",RSE_Setup!$B$18,ROW()+1)))</f>
        <v>5.5556000000000001E-2</v>
      </c>
      <c r="D148" s="1" cm="1">
        <f t="array" aca="1" ref="D148" ca="1">IF(ISBLANK(INDIRECT(CONCATENATE("Input!",RSE_Setup!$B$19,ROW()+1))),"",INDIRECT(CONCATENATE("Input!",RSE_Setup!$B$19,ROW()+1)))</f>
        <v>5500</v>
      </c>
      <c r="E148" s="1" cm="1">
        <f t="array" aca="1" ref="E148" ca="1">IF(ISBLANK(INDIRECT(CONCATENATE("Input!",RSE_Setup!$B$26,ROW()+1))),"",INDIRECT(CONCATENATE("Input!",RSE_Setup!$B$26,ROW()+1)))</f>
        <v>420.251938</v>
      </c>
      <c r="F148" s="1">
        <f ca="1"/>
        <v>416.01126765320379</v>
      </c>
    </row>
    <row r="149" spans="1:6" x14ac:dyDescent="0.3">
      <c r="A149" s="1" cm="1">
        <f t="array" aca="1" ref="A149" ca="1">IF(ISBLANK(INDIRECT(CONCATENATE("Input!",RSE_Setup!$B$16,ROW()+1))),"",INDIRECT(CONCATENATE("Input!",RSE_Setup!$B$16,ROW()+1)))</f>
        <v>1E-3</v>
      </c>
      <c r="B149" s="1" cm="1">
        <f t="array" aca="1" ref="B149" ca="1">IF(ISBLANK(INDIRECT(CONCATENATE("Input!",RSE_Setup!$B$17,ROW()+1))),"",INDIRECT(CONCATENATE("Input!",RSE_Setup!$B$17,ROW()+1)))</f>
        <v>5.0000000000000001E-3</v>
      </c>
      <c r="C149" s="1" cm="1">
        <f t="array" aca="1" ref="C149" ca="1">IF(ISBLANK(INDIRECT(CONCATENATE("Input!",RSE_Setup!$B$18,ROW()+1))),"",INDIRECT(CONCATENATE("Input!",RSE_Setup!$B$18,ROW()+1)))</f>
        <v>0.13333300000000001</v>
      </c>
      <c r="D149" s="1" cm="1">
        <f t="array" aca="1" ref="D149" ca="1">IF(ISBLANK(INDIRECT(CONCATENATE("Input!",RSE_Setup!$B$19,ROW()+1))),"",INDIRECT(CONCATENATE("Input!",RSE_Setup!$B$19,ROW()+1)))</f>
        <v>4000</v>
      </c>
      <c r="E149" s="1" cm="1">
        <f t="array" aca="1" ref="E149" ca="1">IF(ISBLANK(INDIRECT(CONCATENATE("Input!",RSE_Setup!$B$26,ROW()+1))),"",INDIRECT(CONCATENATE("Input!",RSE_Setup!$B$26,ROW()+1)))</f>
        <v>293.76613600000002</v>
      </c>
      <c r="F149" s="1">
        <f ca="1"/>
        <v>294.13162768141785</v>
      </c>
    </row>
    <row r="150" spans="1:6" x14ac:dyDescent="0.3">
      <c r="A150" s="1" cm="1">
        <f t="array" aca="1" ref="A150" ca="1">IF(ISBLANK(INDIRECT(CONCATENATE("Input!",RSE_Setup!$B$16,ROW()+1))),"",INDIRECT(CONCATENATE("Input!",RSE_Setup!$B$16,ROW()+1)))</f>
        <v>1E-3</v>
      </c>
      <c r="B150" s="1" cm="1">
        <f t="array" aca="1" ref="B150" ca="1">IF(ISBLANK(INDIRECT(CONCATENATE("Input!",RSE_Setup!$B$17,ROW()+1))),"",INDIRECT(CONCATENATE("Input!",RSE_Setup!$B$17,ROW()+1)))</f>
        <v>5.0000000000000001E-3</v>
      </c>
      <c r="C150" s="1" cm="1">
        <f t="array" aca="1" ref="C150" ca="1">IF(ISBLANK(INDIRECT(CONCATENATE("Input!",RSE_Setup!$B$18,ROW()+1))),"",INDIRECT(CONCATENATE("Input!",RSE_Setup!$B$18,ROW()+1)))</f>
        <v>0.111111</v>
      </c>
      <c r="D150" s="1" cm="1">
        <f t="array" aca="1" ref="D150" ca="1">IF(ISBLANK(INDIRECT(CONCATENATE("Input!",RSE_Setup!$B$19,ROW()+1))),"",INDIRECT(CONCATENATE("Input!",RSE_Setup!$B$19,ROW()+1)))</f>
        <v>3750</v>
      </c>
      <c r="E150" s="1" cm="1">
        <f t="array" aca="1" ref="E150" ca="1">IF(ISBLANK(INDIRECT(CONCATENATE("Input!",RSE_Setup!$B$26,ROW()+1))),"",INDIRECT(CONCATENATE("Input!",RSE_Setup!$B$26,ROW()+1)))</f>
        <v>259.80062299999997</v>
      </c>
      <c r="F150" s="1">
        <f ca="1"/>
        <v>258.35241093952402</v>
      </c>
    </row>
    <row r="151" spans="1:6" x14ac:dyDescent="0.3">
      <c r="A151" s="1" cm="1">
        <f t="array" aca="1" ref="A151" ca="1">IF(ISBLANK(INDIRECT(CONCATENATE("Input!",RSE_Setup!$B$16,ROW()+1))),"",INDIRECT(CONCATENATE("Input!",RSE_Setup!$B$16,ROW()+1)))</f>
        <v>1E-3</v>
      </c>
      <c r="B151" s="1" cm="1">
        <f t="array" aca="1" ref="B151" ca="1">IF(ISBLANK(INDIRECT(CONCATENATE("Input!",RSE_Setup!$B$17,ROW()+1))),"",INDIRECT(CONCATENATE("Input!",RSE_Setup!$B$17,ROW()+1)))</f>
        <v>5.0000000000000001E-3</v>
      </c>
      <c r="C151" s="1" cm="1">
        <f t="array" aca="1" ref="C151" ca="1">IF(ISBLANK(INDIRECT(CONCATENATE("Input!",RSE_Setup!$B$18,ROW()+1))),"",INDIRECT(CONCATENATE("Input!",RSE_Setup!$B$18,ROW()+1)))</f>
        <v>0.111111</v>
      </c>
      <c r="D151" s="1" cm="1">
        <f t="array" aca="1" ref="D151" ca="1">IF(ISBLANK(INDIRECT(CONCATENATE("Input!",RSE_Setup!$B$19,ROW()+1))),"",INDIRECT(CONCATENATE("Input!",RSE_Setup!$B$19,ROW()+1)))</f>
        <v>4750</v>
      </c>
      <c r="E151" s="1" cm="1">
        <f t="array" aca="1" ref="E151" ca="1">IF(ISBLANK(INDIRECT(CONCATENATE("Input!",RSE_Setup!$B$26,ROW()+1))),"",INDIRECT(CONCATENATE("Input!",RSE_Setup!$B$26,ROW()+1)))</f>
        <v>323.172347</v>
      </c>
      <c r="F151" s="1">
        <f ca="1"/>
        <v>319.17881023218774</v>
      </c>
    </row>
    <row r="152" spans="1:6" x14ac:dyDescent="0.3">
      <c r="A152" s="1" cm="1">
        <f t="array" aca="1" ref="A152" ca="1">IF(ISBLANK(INDIRECT(CONCATENATE("Input!",RSE_Setup!$B$16,ROW()+1))),"",INDIRECT(CONCATENATE("Input!",RSE_Setup!$B$16,ROW()+1)))</f>
        <v>1E-3</v>
      </c>
      <c r="B152" s="1" cm="1">
        <f t="array" aca="1" ref="B152" ca="1">IF(ISBLANK(INDIRECT(CONCATENATE("Input!",RSE_Setup!$B$17,ROW()+1))),"",INDIRECT(CONCATENATE("Input!",RSE_Setup!$B$17,ROW()+1)))</f>
        <v>5.0000000000000001E-3</v>
      </c>
      <c r="C152" s="1" cm="1">
        <f t="array" aca="1" ref="C152" ca="1">IF(ISBLANK(INDIRECT(CONCATENATE("Input!",RSE_Setup!$B$18,ROW()+1))),"",INDIRECT(CONCATENATE("Input!",RSE_Setup!$B$18,ROW()+1)))</f>
        <v>5.5556000000000001E-2</v>
      </c>
      <c r="D152" s="1" cm="1">
        <f t="array" aca="1" ref="D152" ca="1">IF(ISBLANK(INDIRECT(CONCATENATE("Input!",RSE_Setup!$B$19,ROW()+1))),"",INDIRECT(CONCATENATE("Input!",RSE_Setup!$B$19,ROW()+1)))</f>
        <v>5500</v>
      </c>
      <c r="E152" s="1" cm="1">
        <f t="array" aca="1" ref="E152" ca="1">IF(ISBLANK(INDIRECT(CONCATENATE("Input!",RSE_Setup!$B$26,ROW()+1))),"",INDIRECT(CONCATENATE("Input!",RSE_Setup!$B$26,ROW()+1)))</f>
        <v>319.21847000000002</v>
      </c>
      <c r="F152" s="1">
        <f ca="1"/>
        <v>317.96142350149455</v>
      </c>
    </row>
    <row r="153" spans="1:6" x14ac:dyDescent="0.3">
      <c r="A153" s="1" cm="1">
        <f t="array" aca="1" ref="A153" ca="1">IF(ISBLANK(INDIRECT(CONCATENATE("Input!",RSE_Setup!$B$16,ROW()+1))),"",INDIRECT(CONCATENATE("Input!",RSE_Setup!$B$16,ROW()+1)))</f>
        <v>1E-3</v>
      </c>
      <c r="B153" s="1" cm="1">
        <f t="array" aca="1" ref="B153" ca="1">IF(ISBLANK(INDIRECT(CONCATENATE("Input!",RSE_Setup!$B$17,ROW()+1))),"",INDIRECT(CONCATENATE("Input!",RSE_Setup!$B$17,ROW()+1)))</f>
        <v>6.4999999999999997E-3</v>
      </c>
      <c r="C153" s="1" cm="1">
        <f t="array" aca="1" ref="C153" ca="1">IF(ISBLANK(INDIRECT(CONCATENATE("Input!",RSE_Setup!$B$18,ROW()+1))),"",INDIRECT(CONCATENATE("Input!",RSE_Setup!$B$18,ROW()+1)))</f>
        <v>0.13333300000000001</v>
      </c>
      <c r="D153" s="1" cm="1">
        <f t="array" aca="1" ref="D153" ca="1">IF(ISBLANK(INDIRECT(CONCATENATE("Input!",RSE_Setup!$B$19,ROW()+1))),"",INDIRECT(CONCATENATE("Input!",RSE_Setup!$B$19,ROW()+1)))</f>
        <v>4000</v>
      </c>
      <c r="E153" s="1" cm="1">
        <f t="array" aca="1" ref="E153" ca="1">IF(ISBLANK(INDIRECT(CONCATENATE("Input!",RSE_Setup!$B$26,ROW()+1))),"",INDIRECT(CONCATENATE("Input!",RSE_Setup!$B$26,ROW()+1)))</f>
        <v>327.23129299999999</v>
      </c>
      <c r="F153" s="1">
        <f ca="1"/>
        <v>326.92527996912645</v>
      </c>
    </row>
    <row r="154" spans="1:6" x14ac:dyDescent="0.3">
      <c r="A154" s="1" cm="1">
        <f t="array" aca="1" ref="A154" ca="1">IF(ISBLANK(INDIRECT(CONCATENATE("Input!",RSE_Setup!$B$16,ROW()+1))),"",INDIRECT(CONCATENATE("Input!",RSE_Setup!$B$16,ROW()+1)))</f>
        <v>1E-3</v>
      </c>
      <c r="B154" s="1" cm="1">
        <f t="array" aca="1" ref="B154" ca="1">IF(ISBLANK(INDIRECT(CONCATENATE("Input!",RSE_Setup!$B$17,ROW()+1))),"",INDIRECT(CONCATENATE("Input!",RSE_Setup!$B$17,ROW()+1)))</f>
        <v>6.4999999999999997E-3</v>
      </c>
      <c r="C154" s="1" cm="1">
        <f t="array" aca="1" ref="C154" ca="1">IF(ISBLANK(INDIRECT(CONCATENATE("Input!",RSE_Setup!$B$18,ROW()+1))),"",INDIRECT(CONCATENATE("Input!",RSE_Setup!$B$18,ROW()+1)))</f>
        <v>0.111111</v>
      </c>
      <c r="D154" s="1" cm="1">
        <f t="array" aca="1" ref="D154" ca="1">IF(ISBLANK(INDIRECT(CONCATENATE("Input!",RSE_Setup!$B$19,ROW()+1))),"",INDIRECT(CONCATENATE("Input!",RSE_Setup!$B$19,ROW()+1)))</f>
        <v>3750</v>
      </c>
      <c r="E154" s="1" cm="1">
        <f t="array" aca="1" ref="E154" ca="1">IF(ISBLANK(INDIRECT(CONCATENATE("Input!",RSE_Setup!$B$26,ROW()+1))),"",INDIRECT(CONCATENATE("Input!",RSE_Setup!$B$26,ROW()+1)))</f>
        <v>291.73029000000002</v>
      </c>
      <c r="F154" s="1">
        <f ca="1"/>
        <v>290.60870810058032</v>
      </c>
    </row>
    <row r="155" spans="1:6" x14ac:dyDescent="0.3">
      <c r="A155" s="1" cm="1">
        <f t="array" aca="1" ref="A155" ca="1">IF(ISBLANK(INDIRECT(CONCATENATE("Input!",RSE_Setup!$B$16,ROW()+1))),"",INDIRECT(CONCATENATE("Input!",RSE_Setup!$B$16,ROW()+1)))</f>
        <v>1E-3</v>
      </c>
      <c r="B155" s="1" cm="1">
        <f t="array" aca="1" ref="B155" ca="1">IF(ISBLANK(INDIRECT(CONCATENATE("Input!",RSE_Setup!$B$17,ROW()+1))),"",INDIRECT(CONCATENATE("Input!",RSE_Setup!$B$17,ROW()+1)))</f>
        <v>6.4999999999999997E-3</v>
      </c>
      <c r="C155" s="1" cm="1">
        <f t="array" aca="1" ref="C155" ca="1">IF(ISBLANK(INDIRECT(CONCATENATE("Input!",RSE_Setup!$B$18,ROW()+1))),"",INDIRECT(CONCATENATE("Input!",RSE_Setup!$B$18,ROW()+1)))</f>
        <v>0.111111</v>
      </c>
      <c r="D155" s="1" cm="1">
        <f t="array" aca="1" ref="D155" ca="1">IF(ISBLANK(INDIRECT(CONCATENATE("Input!",RSE_Setup!$B$19,ROW()+1))),"",INDIRECT(CONCATENATE("Input!",RSE_Setup!$B$19,ROW()+1)))</f>
        <v>4750</v>
      </c>
      <c r="E155" s="1" cm="1">
        <f t="array" aca="1" ref="E155" ca="1">IF(ISBLANK(INDIRECT(CONCATENATE("Input!",RSE_Setup!$B$26,ROW()+1))),"",INDIRECT(CONCATENATE("Input!",RSE_Setup!$B$26,ROW()+1)))</f>
        <v>363.14312699999999</v>
      </c>
      <c r="F155" s="1">
        <f ca="1"/>
        <v>361.1315953443102</v>
      </c>
    </row>
    <row r="156" spans="1:6" x14ac:dyDescent="0.3">
      <c r="A156" s="1" cm="1">
        <f t="array" aca="1" ref="A156" ca="1">IF(ISBLANK(INDIRECT(CONCATENATE("Input!",RSE_Setup!$B$16,ROW()+1))),"",INDIRECT(CONCATENATE("Input!",RSE_Setup!$B$16,ROW()+1)))</f>
        <v>1E-3</v>
      </c>
      <c r="B156" s="1" cm="1">
        <f t="array" aca="1" ref="B156" ca="1">IF(ISBLANK(INDIRECT(CONCATENATE("Input!",RSE_Setup!$B$17,ROW()+1))),"",INDIRECT(CONCATENATE("Input!",RSE_Setup!$B$17,ROW()+1)))</f>
        <v>6.4999999999999997E-3</v>
      </c>
      <c r="C156" s="1" cm="1">
        <f t="array" aca="1" ref="C156" ca="1">IF(ISBLANK(INDIRECT(CONCATENATE("Input!",RSE_Setup!$B$18,ROW()+1))),"",INDIRECT(CONCATENATE("Input!",RSE_Setup!$B$18,ROW()+1)))</f>
        <v>5.5556000000000001E-2</v>
      </c>
      <c r="D156" s="1" cm="1">
        <f t="array" aca="1" ref="D156" ca="1">IF(ISBLANK(INDIRECT(CONCATENATE("Input!",RSE_Setup!$B$19,ROW()+1))),"",INDIRECT(CONCATENATE("Input!",RSE_Setup!$B$19,ROW()+1)))</f>
        <v>5500</v>
      </c>
      <c r="E156" s="1" cm="1">
        <f t="array" aca="1" ref="E156" ca="1">IF(ISBLANK(INDIRECT(CONCATENATE("Input!",RSE_Setup!$B$26,ROW()+1))),"",INDIRECT(CONCATENATE("Input!",RSE_Setup!$B$26,ROW()+1)))</f>
        <v>374.47267499999998</v>
      </c>
      <c r="F156" s="1">
        <f ca="1"/>
        <v>371.90349172970201</v>
      </c>
    </row>
    <row r="157" spans="1:6" x14ac:dyDescent="0.3">
      <c r="A157" s="1" cm="1">
        <f t="array" aca="1" ref="A157" ca="1">IF(ISBLANK(INDIRECT(CONCATENATE("Input!",RSE_Setup!$B$16,ROW()+1))),"",INDIRECT(CONCATENATE("Input!",RSE_Setup!$B$16,ROW()+1)))</f>
        <v>1E-3</v>
      </c>
      <c r="B157" s="1" cm="1">
        <f t="array" aca="1" ref="B157" ca="1">IF(ISBLANK(INDIRECT(CONCATENATE("Input!",RSE_Setup!$B$17,ROW()+1))),"",INDIRECT(CONCATENATE("Input!",RSE_Setup!$B$17,ROW()+1)))</f>
        <v>8.0000000000000002E-3</v>
      </c>
      <c r="C157" s="1" cm="1">
        <f t="array" aca="1" ref="C157" ca="1">IF(ISBLANK(INDIRECT(CONCATENATE("Input!",RSE_Setup!$B$18,ROW()+1))),"",INDIRECT(CONCATENATE("Input!",RSE_Setup!$B$18,ROW()+1)))</f>
        <v>0.111111</v>
      </c>
      <c r="D157" s="1" cm="1">
        <f t="array" aca="1" ref="D157" ca="1">IF(ISBLANK(INDIRECT(CONCATENATE("Input!",RSE_Setup!$B$19,ROW()+1))),"",INDIRECT(CONCATENATE("Input!",RSE_Setup!$B$19,ROW()+1)))</f>
        <v>4750</v>
      </c>
      <c r="E157" s="1" cm="1">
        <f t="array" aca="1" ref="E157" ca="1">IF(ISBLANK(INDIRECT(CONCATENATE("Input!",RSE_Setup!$B$26,ROW()+1))),"",INDIRECT(CONCATENATE("Input!",RSE_Setup!$B$26,ROW()+1)))</f>
        <v>403.35512799999998</v>
      </c>
      <c r="F157" s="1">
        <f ca="1"/>
        <v>405.76768659023594</v>
      </c>
    </row>
    <row r="158" spans="1:6" x14ac:dyDescent="0.3">
      <c r="A158" s="1" cm="1">
        <f t="array" aca="1" ref="A158" ca="1">IF(ISBLANK(INDIRECT(CONCATENATE("Input!",RSE_Setup!$B$16,ROW()+1))),"",INDIRECT(CONCATENATE("Input!",RSE_Setup!$B$16,ROW()+1)))</f>
        <v>1E-3</v>
      </c>
      <c r="B158" s="1" cm="1">
        <f t="array" aca="1" ref="B158" ca="1">IF(ISBLANK(INDIRECT(CONCATENATE("Input!",RSE_Setup!$B$17,ROW()+1))),"",INDIRECT(CONCATENATE("Input!",RSE_Setup!$B$17,ROW()+1)))</f>
        <v>8.0000000000000002E-3</v>
      </c>
      <c r="C158" s="1" cm="1">
        <f t="array" aca="1" ref="C158" ca="1">IF(ISBLANK(INDIRECT(CONCATENATE("Input!",RSE_Setup!$B$18,ROW()+1))),"",INDIRECT(CONCATENATE("Input!",RSE_Setup!$B$18,ROW()+1)))</f>
        <v>5.5556000000000001E-2</v>
      </c>
      <c r="D158" s="1" cm="1">
        <f t="array" aca="1" ref="D158" ca="1">IF(ISBLANK(INDIRECT(CONCATENATE("Input!",RSE_Setup!$B$19,ROW()+1))),"",INDIRECT(CONCATENATE("Input!",RSE_Setup!$B$19,ROW()+1)))</f>
        <v>5500</v>
      </c>
      <c r="E158" s="1" cm="1">
        <f t="array" aca="1" ref="E158" ca="1">IF(ISBLANK(INDIRECT(CONCATENATE("Input!",RSE_Setup!$B$26,ROW()+1))),"",INDIRECT(CONCATENATE("Input!",RSE_Setup!$B$26,ROW()+1)))</f>
        <v>433.665278</v>
      </c>
      <c r="F158" s="1">
        <f ca="1"/>
        <v>428.52886609171293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C0686-1F24-4458-BD09-800AB18D0413}">
  <sheetPr codeName="Sheet7"/>
  <dimension ref="A1:G158"/>
  <sheetViews>
    <sheetView workbookViewId="0"/>
  </sheetViews>
  <sheetFormatPr defaultRowHeight="14.4" x14ac:dyDescent="0.3"/>
  <cols>
    <col min="1" max="2" width="8" style="1" bestFit="1" customWidth="1"/>
    <col min="3" max="3" width="9" style="1" bestFit="1" customWidth="1"/>
    <col min="4" max="4" width="6" style="1" bestFit="1" customWidth="1"/>
    <col min="5" max="6" width="12" style="1" bestFit="1" customWidth="1"/>
  </cols>
  <sheetData>
    <row r="1" spans="1:7" x14ac:dyDescent="0.3">
      <c r="A1" s="1" t="s">
        <v>32</v>
      </c>
      <c r="B1" s="1" t="s">
        <v>33</v>
      </c>
      <c r="C1" s="1" t="s">
        <v>34</v>
      </c>
      <c r="D1" s="1" t="s">
        <v>35</v>
      </c>
      <c r="E1" s="1" t="s">
        <v>36</v>
      </c>
      <c r="F1" s="1" t="s">
        <v>298</v>
      </c>
      <c r="G1" t="s">
        <v>16</v>
      </c>
    </row>
    <row r="2" spans="1:7" x14ac:dyDescent="0.3">
      <c r="A2" s="1" cm="1">
        <f t="array" aca="1" ref="A2" ca="1">IF(ISBLANK(INDIRECT(CONCATENATE("Input!",RSE_Setup!$B$16,ROW()+1))),"",INDIRECT(CONCATENATE("Input!",RSE_Setup!$B$16,ROW()+1)))</f>
        <v>5.0000000000000001E-4</v>
      </c>
      <c r="B2" s="1" cm="1">
        <f t="array" aca="1" ref="B2" ca="1">IF(ISBLANK(INDIRECT(CONCATENATE("Input!",RSE_Setup!$B$17,ROW()+1))),"",INDIRECT(CONCATENATE("Input!",RSE_Setup!$B$17,ROW()+1)))</f>
        <v>3.0000000000000001E-3</v>
      </c>
      <c r="C2" s="1" cm="1">
        <f t="array" aca="1" ref="C2" ca="1">IF(ISBLANK(INDIRECT(CONCATENATE("Input!",RSE_Setup!$B$18,ROW()+1))),"",INDIRECT(CONCATENATE("Input!",RSE_Setup!$B$18,ROW()+1)))</f>
        <v>3.2258000000000002E-2</v>
      </c>
      <c r="D2" s="1" cm="1">
        <f t="array" aca="1" ref="D2" ca="1">IF(ISBLANK(INDIRECT(CONCATENATE("Input!",RSE_Setup!$B$19,ROW()+1))),"",INDIRECT(CONCATENATE("Input!",RSE_Setup!$B$19,ROW()+1)))</f>
        <v>3250</v>
      </c>
      <c r="E2" s="1" cm="1">
        <f t="array" aca="1" ref="E2" ca="1">IF(ISBLANK(INDIRECT(CONCATENATE("Input!",RSE_Setup!$B$27,ROW()+1))),"",INDIRECT(CONCATENATE("Input!",RSE_Setup!$B$27,ROW()+1)))</f>
        <v>388.94309900000002</v>
      </c>
      <c r="F2" s="1" cm="1">
        <f t="array" aca="1" ref="F2:F158" ca="1">(37.9220481095898 + 0 * 1 + 16550.3412136197 * RLHP20 + -4408.54561191313 * RLHP60 + -832.783398927845 * HP_ETW + 0.103641275853891 * ETW + -753384.842681744 * RLHP20^2 + 1833884.76824117 * RLHP20 * RLHP60 + -143852.341045182 * RLHP20 * HP_ETW + 4.43557263918285 * RLHP20 * ETW + 562125.807900249 * RLHP60^2 + -10270.3711883154 * RLHP60 * HP_ETW + 3.67575393359371 * RLHP60 * ETW + 12702.4074608909 * HP_ETW^2 + -0.131293342412169 * HP_ETW * ETW + 3.07518348563462E-07 * ETW^2)</f>
        <v>392.99714021032031</v>
      </c>
      <c r="G2" t="s">
        <v>306</v>
      </c>
    </row>
    <row r="3" spans="1:7" x14ac:dyDescent="0.3">
      <c r="A3" s="1" cm="1">
        <f t="array" aca="1" ref="A3" ca="1">IF(ISBLANK(INDIRECT(CONCATENATE("Input!",RSE_Setup!$B$16,ROW()+1))),"",INDIRECT(CONCATENATE("Input!",RSE_Setup!$B$16,ROW()+1)))</f>
        <v>5.0000000000000001E-4</v>
      </c>
      <c r="B3" s="1" cm="1">
        <f t="array" aca="1" ref="B3" ca="1">IF(ISBLANK(INDIRECT(CONCATENATE("Input!",RSE_Setup!$B$17,ROW()+1))),"",INDIRECT(CONCATENATE("Input!",RSE_Setup!$B$17,ROW()+1)))</f>
        <v>3.0000000000000001E-3</v>
      </c>
      <c r="C3" s="1" cm="1">
        <f t="array" aca="1" ref="C3" ca="1">IF(ISBLANK(INDIRECT(CONCATENATE("Input!",RSE_Setup!$B$18,ROW()+1))),"",INDIRECT(CONCATENATE("Input!",RSE_Setup!$B$18,ROW()+1)))</f>
        <v>3.2258000000000002E-2</v>
      </c>
      <c r="D3" s="1" cm="1">
        <f t="array" aca="1" ref="D3" ca="1">IF(ISBLANK(INDIRECT(CONCATENATE("Input!",RSE_Setup!$B$19,ROW()+1))),"",INDIRECT(CONCATENATE("Input!",RSE_Setup!$B$19,ROW()+1)))</f>
        <v>4250</v>
      </c>
      <c r="E3" s="1" cm="1">
        <f t="array" aca="1" ref="E3" ca="1">IF(ISBLANK(INDIRECT(CONCATENATE("Input!",RSE_Setup!$B$27,ROW()+1))),"",INDIRECT(CONCATENATE("Input!",RSE_Setup!$B$27,ROW()+1)))</f>
        <v>502.82906600000001</v>
      </c>
      <c r="F3" s="1">
        <f ca="1"/>
        <v>507.95459115927815</v>
      </c>
    </row>
    <row r="4" spans="1:7" x14ac:dyDescent="0.3">
      <c r="A4" s="1" cm="1">
        <f t="array" aca="1" ref="A4" ca="1">IF(ISBLANK(INDIRECT(CONCATENATE("Input!",RSE_Setup!$B$16,ROW()+1))),"",INDIRECT(CONCATENATE("Input!",RSE_Setup!$B$16,ROW()+1)))</f>
        <v>5.0000000000000001E-4</v>
      </c>
      <c r="B4" s="1" cm="1">
        <f t="array" aca="1" ref="B4" ca="1">IF(ISBLANK(INDIRECT(CONCATENATE("Input!",RSE_Setup!$B$17,ROW()+1))),"",INDIRECT(CONCATENATE("Input!",RSE_Setup!$B$17,ROW()+1)))</f>
        <v>4.7499999999999999E-3</v>
      </c>
      <c r="C4" s="1" cm="1">
        <f t="array" aca="1" ref="C4" ca="1">IF(ISBLANK(INDIRECT(CONCATENATE("Input!",RSE_Setup!$B$18,ROW()+1))),"",INDIRECT(CONCATENATE("Input!",RSE_Setup!$B$18,ROW()+1)))</f>
        <v>3.2258000000000002E-2</v>
      </c>
      <c r="D4" s="1" cm="1">
        <f t="array" aca="1" ref="D4" ca="1">IF(ISBLANK(INDIRECT(CONCATENATE("Input!",RSE_Setup!$B$19,ROW()+1))),"",INDIRECT(CONCATENATE("Input!",RSE_Setup!$B$19,ROW()+1)))</f>
        <v>3250</v>
      </c>
      <c r="E4" s="1" cm="1">
        <f t="array" aca="1" ref="E4" ca="1">IF(ISBLANK(INDIRECT(CONCATENATE("Input!",RSE_Setup!$B$27,ROW()+1))),"",INDIRECT(CONCATENATE("Input!",RSE_Setup!$B$27,ROW()+1)))</f>
        <v>411.30353700000001</v>
      </c>
      <c r="F4" s="1">
        <f ca="1"/>
        <v>414.83673846950757</v>
      </c>
    </row>
    <row r="5" spans="1:7" x14ac:dyDescent="0.3">
      <c r="A5" s="1" cm="1">
        <f t="array" aca="1" ref="A5" ca="1">IF(ISBLANK(INDIRECT(CONCATENATE("Input!",RSE_Setup!$B$16,ROW()+1))),"",INDIRECT(CONCATENATE("Input!",RSE_Setup!$B$16,ROW()+1)))</f>
        <v>5.0000000000000001E-4</v>
      </c>
      <c r="B5" s="1" cm="1">
        <f t="array" aca="1" ref="B5" ca="1">IF(ISBLANK(INDIRECT(CONCATENATE("Input!",RSE_Setup!$B$17,ROW()+1))),"",INDIRECT(CONCATENATE("Input!",RSE_Setup!$B$17,ROW()+1)))</f>
        <v>4.7499999999999999E-3</v>
      </c>
      <c r="C5" s="1" cm="1">
        <f t="array" aca="1" ref="C5" ca="1">IF(ISBLANK(INDIRECT(CONCATENATE("Input!",RSE_Setup!$B$18,ROW()+1))),"",INDIRECT(CONCATENATE("Input!",RSE_Setup!$B$18,ROW()+1)))</f>
        <v>3.2258000000000002E-2</v>
      </c>
      <c r="D5" s="1" cm="1">
        <f t="array" aca="1" ref="D5" ca="1">IF(ISBLANK(INDIRECT(CONCATENATE("Input!",RSE_Setup!$B$19,ROW()+1))),"",INDIRECT(CONCATENATE("Input!",RSE_Setup!$B$19,ROW()+1)))</f>
        <v>4250</v>
      </c>
      <c r="E5" s="1" cm="1">
        <f t="array" aca="1" ref="E5" ca="1">IF(ISBLANK(INDIRECT(CONCATENATE("Input!",RSE_Setup!$B$27,ROW()+1))),"",INDIRECT(CONCATENATE("Input!",RSE_Setup!$B$27,ROW()+1)))</f>
        <v>534.04674899999998</v>
      </c>
      <c r="F5" s="1">
        <f ca="1"/>
        <v>536.22675880225427</v>
      </c>
    </row>
    <row r="6" spans="1:7" x14ac:dyDescent="0.3">
      <c r="A6" s="1" cm="1">
        <f t="array" aca="1" ref="A6" ca="1">IF(ISBLANK(INDIRECT(CONCATENATE("Input!",RSE_Setup!$B$16,ROW()+1))),"",INDIRECT(CONCATENATE("Input!",RSE_Setup!$B$16,ROW()+1)))</f>
        <v>5.0000000000000001E-4</v>
      </c>
      <c r="B6" s="1" cm="1">
        <f t="array" aca="1" ref="B6" ca="1">IF(ISBLANK(INDIRECT(CONCATENATE("Input!",RSE_Setup!$B$17,ROW()+1))),"",INDIRECT(CONCATENATE("Input!",RSE_Setup!$B$17,ROW()+1)))</f>
        <v>6.4999999999999997E-3</v>
      </c>
      <c r="C6" s="1" cm="1">
        <f t="array" aca="1" ref="C6" ca="1">IF(ISBLANK(INDIRECT(CONCATENATE("Input!",RSE_Setup!$B$18,ROW()+1))),"",INDIRECT(CONCATENATE("Input!",RSE_Setup!$B$18,ROW()+1)))</f>
        <v>3.2258000000000002E-2</v>
      </c>
      <c r="D6" s="1" cm="1">
        <f t="array" aca="1" ref="D6" ca="1">IF(ISBLANK(INDIRECT(CONCATENATE("Input!",RSE_Setup!$B$19,ROW()+1))),"",INDIRECT(CONCATENATE("Input!",RSE_Setup!$B$19,ROW()+1)))</f>
        <v>3250</v>
      </c>
      <c r="E6" s="1" cm="1">
        <f t="array" aca="1" ref="E6" ca="1">IF(ISBLANK(INDIRECT(CONCATENATE("Input!",RSE_Setup!$B$27,ROW()+1))),"",INDIRECT(CONCATENATE("Input!",RSE_Setup!$B$27,ROW()+1)))</f>
        <v>435.09201899999999</v>
      </c>
      <c r="F6" s="1">
        <f ca="1"/>
        <v>440.1193573020837</v>
      </c>
    </row>
    <row r="7" spans="1:7" x14ac:dyDescent="0.3">
      <c r="A7" s="1" cm="1">
        <f t="array" aca="1" ref="A7" ca="1">IF(ISBLANK(INDIRECT(CONCATENATE("Input!",RSE_Setup!$B$16,ROW()+1))),"",INDIRECT(CONCATENATE("Input!",RSE_Setup!$B$16,ROW()+1)))</f>
        <v>5.0000000000000001E-4</v>
      </c>
      <c r="B7" s="1" cm="1">
        <f t="array" aca="1" ref="B7" ca="1">IF(ISBLANK(INDIRECT(CONCATENATE("Input!",RSE_Setup!$B$17,ROW()+1))),"",INDIRECT(CONCATENATE("Input!",RSE_Setup!$B$17,ROW()+1)))</f>
        <v>6.4999999999999997E-3</v>
      </c>
      <c r="C7" s="1" cm="1">
        <f t="array" aca="1" ref="C7" ca="1">IF(ISBLANK(INDIRECT(CONCATENATE("Input!",RSE_Setup!$B$18,ROW()+1))),"",INDIRECT(CONCATENATE("Input!",RSE_Setup!$B$18,ROW()+1)))</f>
        <v>3.2258000000000002E-2</v>
      </c>
      <c r="D7" s="1" cm="1">
        <f t="array" aca="1" ref="D7" ca="1">IF(ISBLANK(INDIRECT(CONCATENATE("Input!",RSE_Setup!$B$19,ROW()+1))),"",INDIRECT(CONCATENATE("Input!",RSE_Setup!$B$19,ROW()+1)))</f>
        <v>4250</v>
      </c>
      <c r="E7" s="1" cm="1">
        <f t="array" aca="1" ref="E7" ca="1">IF(ISBLANK(INDIRECT(CONCATENATE("Input!",RSE_Setup!$B$27,ROW()+1))),"",INDIRECT(CONCATENATE("Input!",RSE_Setup!$B$27,ROW()+1)))</f>
        <v>566.73974499999997</v>
      </c>
      <c r="F7" s="1">
        <f ca="1"/>
        <v>567.94194701861943</v>
      </c>
    </row>
    <row r="8" spans="1:7" x14ac:dyDescent="0.3">
      <c r="A8" s="1" cm="1">
        <f t="array" aca="1" ref="A8" ca="1">IF(ISBLANK(INDIRECT(CONCATENATE("Input!",RSE_Setup!$B$16,ROW()+1))),"",INDIRECT(CONCATENATE("Input!",RSE_Setup!$B$16,ROW()+1)))</f>
        <v>7.5000000000000002E-4</v>
      </c>
      <c r="B8" s="1" cm="1">
        <f t="array" aca="1" ref="B8" ca="1">IF(ISBLANK(INDIRECT(CONCATENATE("Input!",RSE_Setup!$B$17,ROW()+1))),"",INDIRECT(CONCATENATE("Input!",RSE_Setup!$B$17,ROW()+1)))</f>
        <v>4.0000000000000001E-3</v>
      </c>
      <c r="C8" s="1" cm="1">
        <f t="array" aca="1" ref="C8" ca="1">IF(ISBLANK(INDIRECT(CONCATENATE("Input!",RSE_Setup!$B$18,ROW()+1))),"",INDIRECT(CONCATENATE("Input!",RSE_Setup!$B$18,ROW()+1)))</f>
        <v>3.2258000000000002E-2</v>
      </c>
      <c r="D8" s="1" cm="1">
        <f t="array" aca="1" ref="D8" ca="1">IF(ISBLANK(INDIRECT(CONCATENATE("Input!",RSE_Setup!$B$19,ROW()+1))),"",INDIRECT(CONCATENATE("Input!",RSE_Setup!$B$19,ROW()+1)))</f>
        <v>3250</v>
      </c>
      <c r="E8" s="1" cm="1">
        <f t="array" aca="1" ref="E8" ca="1">IF(ISBLANK(INDIRECT(CONCATENATE("Input!",RSE_Setup!$B$27,ROW()+1))),"",INDIRECT(CONCATENATE("Input!",RSE_Setup!$B$27,ROW()+1)))</f>
        <v>408.82602400000002</v>
      </c>
      <c r="F8" s="1">
        <f ca="1"/>
        <v>413.2351591615016</v>
      </c>
    </row>
    <row r="9" spans="1:7" x14ac:dyDescent="0.3">
      <c r="A9" s="1" cm="1">
        <f t="array" aca="1" ref="A9" ca="1">IF(ISBLANK(INDIRECT(CONCATENATE("Input!",RSE_Setup!$B$16,ROW()+1))),"",INDIRECT(CONCATENATE("Input!",RSE_Setup!$B$16,ROW()+1)))</f>
        <v>7.5000000000000002E-4</v>
      </c>
      <c r="B9" s="1" cm="1">
        <f t="array" aca="1" ref="B9" ca="1">IF(ISBLANK(INDIRECT(CONCATENATE("Input!",RSE_Setup!$B$17,ROW()+1))),"",INDIRECT(CONCATENATE("Input!",RSE_Setup!$B$17,ROW()+1)))</f>
        <v>4.0000000000000001E-3</v>
      </c>
      <c r="C9" s="1" cm="1">
        <f t="array" aca="1" ref="C9" ca="1">IF(ISBLANK(INDIRECT(CONCATENATE("Input!",RSE_Setup!$B$18,ROW()+1))),"",INDIRECT(CONCATENATE("Input!",RSE_Setup!$B$18,ROW()+1)))</f>
        <v>3.2258000000000002E-2</v>
      </c>
      <c r="D9" s="1" cm="1">
        <f t="array" aca="1" ref="D9" ca="1">IF(ISBLANK(INDIRECT(CONCATENATE("Input!",RSE_Setup!$B$19,ROW()+1))),"",INDIRECT(CONCATENATE("Input!",RSE_Setup!$B$19,ROW()+1)))</f>
        <v>4250</v>
      </c>
      <c r="E9" s="1" cm="1">
        <f t="array" aca="1" ref="E9" ca="1">IF(ISBLANK(INDIRECT(CONCATENATE("Input!",RSE_Setup!$B$27,ROW()+1))),"",INDIRECT(CONCATENATE("Input!",RSE_Setup!$B$27,ROW()+1)))</f>
        <v>529.86704699999996</v>
      </c>
      <c r="F9" s="1">
        <f ca="1"/>
        <v>532.97725720384881</v>
      </c>
    </row>
    <row r="10" spans="1:7" x14ac:dyDescent="0.3">
      <c r="A10" s="1" cm="1">
        <f t="array" aca="1" ref="A10" ca="1">IF(ISBLANK(INDIRECT(CONCATENATE("Input!",RSE_Setup!$B$16,ROW()+1))),"",INDIRECT(CONCATENATE("Input!",RSE_Setup!$B$16,ROW()+1)))</f>
        <v>7.5000000000000002E-4</v>
      </c>
      <c r="B10" s="1" cm="1">
        <f t="array" aca="1" ref="B10" ca="1">IF(ISBLANK(INDIRECT(CONCATENATE("Input!",RSE_Setup!$B$17,ROW()+1))),"",INDIRECT(CONCATENATE("Input!",RSE_Setup!$B$17,ROW()+1)))</f>
        <v>6.0000000000000001E-3</v>
      </c>
      <c r="C10" s="1" cm="1">
        <f t="array" aca="1" ref="C10" ca="1">IF(ISBLANK(INDIRECT(CONCATENATE("Input!",RSE_Setup!$B$18,ROW()+1))),"",INDIRECT(CONCATENATE("Input!",RSE_Setup!$B$18,ROW()+1)))</f>
        <v>3.2258000000000002E-2</v>
      </c>
      <c r="D10" s="1" cm="1">
        <f t="array" aca="1" ref="D10" ca="1">IF(ISBLANK(INDIRECT(CONCATENATE("Input!",RSE_Setup!$B$19,ROW()+1))),"",INDIRECT(CONCATENATE("Input!",RSE_Setup!$B$19,ROW()+1)))</f>
        <v>3250</v>
      </c>
      <c r="E10" s="1" cm="1">
        <f t="array" aca="1" ref="E10" ca="1">IF(ISBLANK(INDIRECT(CONCATENATE("Input!",RSE_Setup!$B$27,ROW()+1))),"",INDIRECT(CONCATENATE("Input!",RSE_Setup!$B$27,ROW()+1)))</f>
        <v>435.30282899999997</v>
      </c>
      <c r="F10" s="1">
        <f ca="1"/>
        <v>441.64120854881583</v>
      </c>
    </row>
    <row r="11" spans="1:7" x14ac:dyDescent="0.3">
      <c r="A11" s="1" cm="1">
        <f t="array" aca="1" ref="A11" ca="1">IF(ISBLANK(INDIRECT(CONCATENATE("Input!",RSE_Setup!$B$16,ROW()+1))),"",INDIRECT(CONCATENATE("Input!",RSE_Setup!$B$16,ROW()+1)))</f>
        <v>7.5000000000000002E-4</v>
      </c>
      <c r="B11" s="1" cm="1">
        <f t="array" aca="1" ref="B11" ca="1">IF(ISBLANK(INDIRECT(CONCATENATE("Input!",RSE_Setup!$B$17,ROW()+1))),"",INDIRECT(CONCATENATE("Input!",RSE_Setup!$B$17,ROW()+1)))</f>
        <v>6.0000000000000001E-3</v>
      </c>
      <c r="C11" s="1" cm="1">
        <f t="array" aca="1" ref="C11" ca="1">IF(ISBLANK(INDIRECT(CONCATENATE("Input!",RSE_Setup!$B$18,ROW()+1))),"",INDIRECT(CONCATENATE("Input!",RSE_Setup!$B$18,ROW()+1)))</f>
        <v>3.2258000000000002E-2</v>
      </c>
      <c r="D11" s="1" cm="1">
        <f t="array" aca="1" ref="D11" ca="1">IF(ISBLANK(INDIRECT(CONCATENATE("Input!",RSE_Setup!$B$19,ROW()+1))),"",INDIRECT(CONCATENATE("Input!",RSE_Setup!$B$19,ROW()+1)))</f>
        <v>4250</v>
      </c>
      <c r="E11" s="1" cm="1">
        <f t="array" aca="1" ref="E11" ca="1">IF(ISBLANK(INDIRECT(CONCATENATE("Input!",RSE_Setup!$B$27,ROW()+1))),"",INDIRECT(CONCATENATE("Input!",RSE_Setup!$B$27,ROW()+1)))</f>
        <v>566.76496299999997</v>
      </c>
      <c r="F11" s="1">
        <f ca="1"/>
        <v>568.73481445835046</v>
      </c>
    </row>
    <row r="12" spans="1:7" x14ac:dyDescent="0.3">
      <c r="A12" s="1" cm="1">
        <f t="array" aca="1" ref="A12" ca="1">IF(ISBLANK(INDIRECT(CONCATENATE("Input!",RSE_Setup!$B$16,ROW()+1))),"",INDIRECT(CONCATENATE("Input!",RSE_Setup!$B$16,ROW()+1)))</f>
        <v>7.5000000000000002E-4</v>
      </c>
      <c r="B12" s="1" cm="1">
        <f t="array" aca="1" ref="B12" ca="1">IF(ISBLANK(INDIRECT(CONCATENATE("Input!",RSE_Setup!$B$17,ROW()+1))),"",INDIRECT(CONCATENATE("Input!",RSE_Setup!$B$17,ROW()+1)))</f>
        <v>8.0000000000000002E-3</v>
      </c>
      <c r="C12" s="1" cm="1">
        <f t="array" aca="1" ref="C12" ca="1">IF(ISBLANK(INDIRECT(CONCATENATE("Input!",RSE_Setup!$B$18,ROW()+1))),"",INDIRECT(CONCATENATE("Input!",RSE_Setup!$B$18,ROW()+1)))</f>
        <v>3.2258000000000002E-2</v>
      </c>
      <c r="D12" s="1" cm="1">
        <f t="array" aca="1" ref="D12" ca="1">IF(ISBLANK(INDIRECT(CONCATENATE("Input!",RSE_Setup!$B$19,ROW()+1))),"",INDIRECT(CONCATENATE("Input!",RSE_Setup!$B$19,ROW()+1)))</f>
        <v>4250</v>
      </c>
      <c r="E12" s="1" cm="1">
        <f t="array" aca="1" ref="E12" ca="1">IF(ISBLANK(INDIRECT(CONCATENATE("Input!",RSE_Setup!$B$27,ROW()+1))),"",INDIRECT(CONCATENATE("Input!",RSE_Setup!$B$27,ROW()+1)))</f>
        <v>603.74356699999998</v>
      </c>
      <c r="F12" s="1">
        <f ca="1"/>
        <v>608.98937817605417</v>
      </c>
    </row>
    <row r="13" spans="1:7" x14ac:dyDescent="0.3">
      <c r="A13" s="1" cm="1">
        <f t="array" aca="1" ref="A13" ca="1">IF(ISBLANK(INDIRECT(CONCATENATE("Input!",RSE_Setup!$B$16,ROW()+1))),"",INDIRECT(CONCATENATE("Input!",RSE_Setup!$B$16,ROW()+1)))</f>
        <v>1E-3</v>
      </c>
      <c r="B13" s="1" cm="1">
        <f t="array" aca="1" ref="B13" ca="1">IF(ISBLANK(INDIRECT(CONCATENATE("Input!",RSE_Setup!$B$17,ROW()+1))),"",INDIRECT(CONCATENATE("Input!",RSE_Setup!$B$17,ROW()+1)))</f>
        <v>5.0000000000000001E-3</v>
      </c>
      <c r="C13" s="1" cm="1">
        <f t="array" aca="1" ref="C13" ca="1">IF(ISBLANK(INDIRECT(CONCATENATE("Input!",RSE_Setup!$B$18,ROW()+1))),"",INDIRECT(CONCATENATE("Input!",RSE_Setup!$B$18,ROW()+1)))</f>
        <v>3.2258000000000002E-2</v>
      </c>
      <c r="D13" s="1" cm="1">
        <f t="array" aca="1" ref="D13" ca="1">IF(ISBLANK(INDIRECT(CONCATENATE("Input!",RSE_Setup!$B$19,ROW()+1))),"",INDIRECT(CONCATENATE("Input!",RSE_Setup!$B$19,ROW()+1)))</f>
        <v>3250</v>
      </c>
      <c r="E13" s="1" cm="1">
        <f t="array" aca="1" ref="E13" ca="1">IF(ISBLANK(INDIRECT(CONCATENATE("Input!",RSE_Setup!$B$27,ROW()+1))),"",INDIRECT(CONCATENATE("Input!",RSE_Setup!$B$27,ROW()+1)))</f>
        <v>429.39717899999999</v>
      </c>
      <c r="F13" s="1">
        <f ca="1"/>
        <v>435.42019900726876</v>
      </c>
    </row>
    <row r="14" spans="1:7" x14ac:dyDescent="0.3">
      <c r="A14" s="1" cm="1">
        <f t="array" aca="1" ref="A14" ca="1">IF(ISBLANK(INDIRECT(CONCATENATE("Input!",RSE_Setup!$B$16,ROW()+1))),"",INDIRECT(CONCATENATE("Input!",RSE_Setup!$B$16,ROW()+1)))</f>
        <v>1E-3</v>
      </c>
      <c r="B14" s="1" cm="1">
        <f t="array" aca="1" ref="B14" ca="1">IF(ISBLANK(INDIRECT(CONCATENATE("Input!",RSE_Setup!$B$17,ROW()+1))),"",INDIRECT(CONCATENATE("Input!",RSE_Setup!$B$17,ROW()+1)))</f>
        <v>5.0000000000000001E-3</v>
      </c>
      <c r="C14" s="1" cm="1">
        <f t="array" aca="1" ref="C14" ca="1">IF(ISBLANK(INDIRECT(CONCATENATE("Input!",RSE_Setup!$B$18,ROW()+1))),"",INDIRECT(CONCATENATE("Input!",RSE_Setup!$B$18,ROW()+1)))</f>
        <v>3.2258000000000002E-2</v>
      </c>
      <c r="D14" s="1" cm="1">
        <f t="array" aca="1" ref="D14" ca="1">IF(ISBLANK(INDIRECT(CONCATENATE("Input!",RSE_Setup!$B$19,ROW()+1))),"",INDIRECT(CONCATENATE("Input!",RSE_Setup!$B$19,ROW()+1)))</f>
        <v>4250</v>
      </c>
      <c r="E14" s="1" cm="1">
        <f t="array" aca="1" ref="E14" ca="1">IF(ISBLANK(INDIRECT(CONCATENATE("Input!",RSE_Setup!$B$27,ROW()+1))),"",INDIRECT(CONCATENATE("Input!",RSE_Setup!$B$27,ROW()+1)))</f>
        <v>557.72758499999998</v>
      </c>
      <c r="F14" s="1">
        <f ca="1"/>
        <v>559.94694414300534</v>
      </c>
    </row>
    <row r="15" spans="1:7" x14ac:dyDescent="0.3">
      <c r="A15" s="1" cm="1">
        <f t="array" aca="1" ref="A15" ca="1">IF(ISBLANK(INDIRECT(CONCATENATE("Input!",RSE_Setup!$B$16,ROW()+1))),"",INDIRECT(CONCATENATE("Input!",RSE_Setup!$B$16,ROW()+1)))</f>
        <v>1E-3</v>
      </c>
      <c r="B15" s="1" cm="1">
        <f t="array" aca="1" ref="B15" ca="1">IF(ISBLANK(INDIRECT(CONCATENATE("Input!",RSE_Setup!$B$17,ROW()+1))),"",INDIRECT(CONCATENATE("Input!",RSE_Setup!$B$17,ROW()+1)))</f>
        <v>6.4999999999999997E-3</v>
      </c>
      <c r="C15" s="1" cm="1">
        <f t="array" aca="1" ref="C15" ca="1">IF(ISBLANK(INDIRECT(CONCATENATE("Input!",RSE_Setup!$B$18,ROW()+1))),"",INDIRECT(CONCATENATE("Input!",RSE_Setup!$B$18,ROW()+1)))</f>
        <v>3.2258000000000002E-2</v>
      </c>
      <c r="D15" s="1" cm="1">
        <f t="array" aca="1" ref="D15" ca="1">IF(ISBLANK(INDIRECT(CONCATENATE("Input!",RSE_Setup!$B$19,ROW()+1))),"",INDIRECT(CONCATENATE("Input!",RSE_Setup!$B$19,ROW()+1)))</f>
        <v>3250</v>
      </c>
      <c r="E15" s="1" cm="1">
        <f t="array" aca="1" ref="E15" ca="1">IF(ISBLANK(INDIRECT(CONCATENATE("Input!",RSE_Setup!$B$27,ROW()+1))),"",INDIRECT(CONCATENATE("Input!",RSE_Setup!$B$27,ROW()+1)))</f>
        <v>450.84144600000002</v>
      </c>
      <c r="F15" s="1">
        <f ca="1"/>
        <v>458.67722590362041</v>
      </c>
    </row>
    <row r="16" spans="1:7" x14ac:dyDescent="0.3">
      <c r="A16" s="1" cm="1">
        <f t="array" aca="1" ref="A16" ca="1">IF(ISBLANK(INDIRECT(CONCATENATE("Input!",RSE_Setup!$B$16,ROW()+1))),"",INDIRECT(CONCATENATE("Input!",RSE_Setup!$B$16,ROW()+1)))</f>
        <v>1E-3</v>
      </c>
      <c r="B16" s="1" cm="1">
        <f t="array" aca="1" ref="B16" ca="1">IF(ISBLANK(INDIRECT(CONCATENATE("Input!",RSE_Setup!$B$17,ROW()+1))),"",INDIRECT(CONCATENATE("Input!",RSE_Setup!$B$17,ROW()+1)))</f>
        <v>6.4999999999999997E-3</v>
      </c>
      <c r="C16" s="1" cm="1">
        <f t="array" aca="1" ref="C16" ca="1">IF(ISBLANK(INDIRECT(CONCATENATE("Input!",RSE_Setup!$B$18,ROW()+1))),"",INDIRECT(CONCATENATE("Input!",RSE_Setup!$B$18,ROW()+1)))</f>
        <v>3.2258000000000002E-2</v>
      </c>
      <c r="D16" s="1" cm="1">
        <f t="array" aca="1" ref="D16" ca="1">IF(ISBLANK(INDIRECT(CONCATENATE("Input!",RSE_Setup!$B$19,ROW()+1))),"",INDIRECT(CONCATENATE("Input!",RSE_Setup!$B$19,ROW()+1)))</f>
        <v>4250</v>
      </c>
      <c r="E16" s="1" cm="1">
        <f t="array" aca="1" ref="E16" ca="1">IF(ISBLANK(INDIRECT(CONCATENATE("Input!",RSE_Setup!$B$27,ROW()+1))),"",INDIRECT(CONCATENATE("Input!",RSE_Setup!$B$27,ROW()+1)))</f>
        <v>586.12710300000003</v>
      </c>
      <c r="F16" s="1">
        <f ca="1"/>
        <v>588.71760193974762</v>
      </c>
    </row>
    <row r="17" spans="1:6" x14ac:dyDescent="0.3">
      <c r="A17" s="1" cm="1">
        <f t="array" aca="1" ref="A17" ca="1">IF(ISBLANK(INDIRECT(CONCATENATE("Input!",RSE_Setup!$B$16,ROW()+1))),"",INDIRECT(CONCATENATE("Input!",RSE_Setup!$B$16,ROW()+1)))</f>
        <v>1E-3</v>
      </c>
      <c r="B17" s="1" cm="1">
        <f t="array" aca="1" ref="B17" ca="1">IF(ISBLANK(INDIRECT(CONCATENATE("Input!",RSE_Setup!$B$17,ROW()+1))),"",INDIRECT(CONCATENATE("Input!",RSE_Setup!$B$17,ROW()+1)))</f>
        <v>8.0000000000000002E-3</v>
      </c>
      <c r="C17" s="1" cm="1">
        <f t="array" aca="1" ref="C17" ca="1">IF(ISBLANK(INDIRECT(CONCATENATE("Input!",RSE_Setup!$B$18,ROW()+1))),"",INDIRECT(CONCATENATE("Input!",RSE_Setup!$B$18,ROW()+1)))</f>
        <v>3.2258000000000002E-2</v>
      </c>
      <c r="D17" s="1" cm="1">
        <f t="array" aca="1" ref="D17" ca="1">IF(ISBLANK(INDIRECT(CONCATENATE("Input!",RSE_Setup!$B$19,ROW()+1))),"",INDIRECT(CONCATENATE("Input!",RSE_Setup!$B$19,ROW()+1)))</f>
        <v>4250</v>
      </c>
      <c r="E17" s="1" cm="1">
        <f t="array" aca="1" ref="E17" ca="1">IF(ISBLANK(INDIRECT(CONCATENATE("Input!",RSE_Setup!$B$27,ROW()+1))),"",INDIRECT(CONCATENATE("Input!",RSE_Setup!$B$27,ROW()+1)))</f>
        <v>613.95404900000005</v>
      </c>
      <c r="F17" s="1">
        <f ca="1"/>
        <v>620.01782587204093</v>
      </c>
    </row>
    <row r="18" spans="1:6" x14ac:dyDescent="0.3">
      <c r="A18" s="1" cm="1">
        <f t="array" aca="1" ref="A18" ca="1">IF(ISBLANK(INDIRECT(CONCATENATE("Input!",RSE_Setup!$B$16,ROW()+1))),"",INDIRECT(CONCATENATE("Input!",RSE_Setup!$B$16,ROW()+1)))</f>
        <v>2.9999999999999997E-4</v>
      </c>
      <c r="B18" s="1" cm="1">
        <f t="array" aca="1" ref="B18" ca="1">IF(ISBLANK(INDIRECT(CONCATENATE("Input!",RSE_Setup!$B$17,ROW()+1))),"",INDIRECT(CONCATENATE("Input!",RSE_Setup!$B$17,ROW()+1)))</f>
        <v>2E-3</v>
      </c>
      <c r="C18" s="1" cm="1">
        <f t="array" aca="1" ref="C18" ca="1">IF(ISBLANK(INDIRECT(CONCATENATE("Input!",RSE_Setup!$B$18,ROW()+1))),"",INDIRECT(CONCATENATE("Input!",RSE_Setup!$B$18,ROW()+1)))</f>
        <v>3.2258000000000002E-2</v>
      </c>
      <c r="D18" s="1" cm="1">
        <f t="array" aca="1" ref="D18" ca="1">IF(ISBLANK(INDIRECT(CONCATENATE("Input!",RSE_Setup!$B$19,ROW()+1))),"",INDIRECT(CONCATENATE("Input!",RSE_Setup!$B$19,ROW()+1)))</f>
        <v>5250</v>
      </c>
      <c r="E18" s="1" cm="1">
        <f t="array" aca="1" ref="E18" ca="1">IF(ISBLANK(INDIRECT(CONCATENATE("Input!",RSE_Setup!$B$27,ROW()+1))),"",INDIRECT(CONCATENATE("Input!",RSE_Setup!$B$27,ROW()+1)))</f>
        <v>591.38932499999999</v>
      </c>
      <c r="F18" s="1">
        <f ca="1"/>
        <v>597.58929239323345</v>
      </c>
    </row>
    <row r="19" spans="1:6" x14ac:dyDescent="0.3">
      <c r="A19" s="1" cm="1">
        <f t="array" aca="1" ref="A19" ca="1">IF(ISBLANK(INDIRECT(CONCATENATE("Input!",RSE_Setup!$B$16,ROW()+1))),"",INDIRECT(CONCATENATE("Input!",RSE_Setup!$B$16,ROW()+1)))</f>
        <v>2.9999999999999997E-4</v>
      </c>
      <c r="B19" s="1" cm="1">
        <f t="array" aca="1" ref="B19" ca="1">IF(ISBLANK(INDIRECT(CONCATENATE("Input!",RSE_Setup!$B$17,ROW()+1))),"",INDIRECT(CONCATENATE("Input!",RSE_Setup!$B$17,ROW()+1)))</f>
        <v>2E-3</v>
      </c>
      <c r="C19" s="1" cm="1">
        <f t="array" aca="1" ref="C19" ca="1">IF(ISBLANK(INDIRECT(CONCATENATE("Input!",RSE_Setup!$B$18,ROW()+1))),"",INDIRECT(CONCATENATE("Input!",RSE_Setup!$B$18,ROW()+1)))</f>
        <v>3.2258000000000002E-2</v>
      </c>
      <c r="D19" s="1" cm="1">
        <f t="array" aca="1" ref="D19" ca="1">IF(ISBLANK(INDIRECT(CONCATENATE("Input!",RSE_Setup!$B$19,ROW()+1))),"",INDIRECT(CONCATENATE("Input!",RSE_Setup!$B$19,ROW()+1)))</f>
        <v>6500</v>
      </c>
      <c r="E19" s="1" cm="1">
        <f t="array" aca="1" ref="E19" ca="1">IF(ISBLANK(INDIRECT(CONCATENATE("Input!",RSE_Setup!$B$27,ROW()+1))),"",INDIRECT(CONCATENATE("Input!",RSE_Setup!$B$27,ROW()+1)))</f>
        <v>722.35958600000004</v>
      </c>
      <c r="F19" s="1">
        <f ca="1"/>
        <v>737.21621172938615</v>
      </c>
    </row>
    <row r="20" spans="1:6" x14ac:dyDescent="0.3">
      <c r="A20" s="1" cm="1">
        <f t="array" aca="1" ref="A20" ca="1">IF(ISBLANK(INDIRECT(CONCATENATE("Input!",RSE_Setup!$B$16,ROW()+1))),"",INDIRECT(CONCATENATE("Input!",RSE_Setup!$B$16,ROW()+1)))</f>
        <v>2.9999999999999997E-4</v>
      </c>
      <c r="B20" s="1" cm="1">
        <f t="array" aca="1" ref="B20" ca="1">IF(ISBLANK(INDIRECT(CONCATENATE("Input!",RSE_Setup!$B$17,ROW()+1))),"",INDIRECT(CONCATENATE("Input!",RSE_Setup!$B$17,ROW()+1)))</f>
        <v>3.0000000000000001E-3</v>
      </c>
      <c r="C20" s="1" cm="1">
        <f t="array" aca="1" ref="C20" ca="1">IF(ISBLANK(INDIRECT(CONCATENATE("Input!",RSE_Setup!$B$18,ROW()+1))),"",INDIRECT(CONCATENATE("Input!",RSE_Setup!$B$18,ROW()+1)))</f>
        <v>3.2258000000000002E-2</v>
      </c>
      <c r="D20" s="1" cm="1">
        <f t="array" aca="1" ref="D20" ca="1">IF(ISBLANK(INDIRECT(CONCATENATE("Input!",RSE_Setup!$B$19,ROW()+1))),"",INDIRECT(CONCATENATE("Input!",RSE_Setup!$B$19,ROW()+1)))</f>
        <v>5250</v>
      </c>
      <c r="E20" s="1" cm="1">
        <f t="array" aca="1" ref="E20" ca="1">IF(ISBLANK(INDIRECT(CONCATENATE("Input!",RSE_Setup!$B$27,ROW()+1))),"",INDIRECT(CONCATENATE("Input!",RSE_Setup!$B$27,ROW()+1)))</f>
        <v>612.58705399999997</v>
      </c>
      <c r="F20" s="1">
        <f ca="1"/>
        <v>615.50794776886823</v>
      </c>
    </row>
    <row r="21" spans="1:6" x14ac:dyDescent="0.3">
      <c r="A21" s="1" cm="1">
        <f t="array" aca="1" ref="A21" ca="1">IF(ISBLANK(INDIRECT(CONCATENATE("Input!",RSE_Setup!$B$16,ROW()+1))),"",INDIRECT(CONCATENATE("Input!",RSE_Setup!$B$16,ROW()+1)))</f>
        <v>2.9999999999999997E-4</v>
      </c>
      <c r="B21" s="1" cm="1">
        <f t="array" aca="1" ref="B21" ca="1">IF(ISBLANK(INDIRECT(CONCATENATE("Input!",RSE_Setup!$B$17,ROW()+1))),"",INDIRECT(CONCATENATE("Input!",RSE_Setup!$B$17,ROW()+1)))</f>
        <v>3.0000000000000001E-3</v>
      </c>
      <c r="C21" s="1" cm="1">
        <f t="array" aca="1" ref="C21" ca="1">IF(ISBLANK(INDIRECT(CONCATENATE("Input!",RSE_Setup!$B$18,ROW()+1))),"",INDIRECT(CONCATENATE("Input!",RSE_Setup!$B$18,ROW()+1)))</f>
        <v>3.2258000000000002E-2</v>
      </c>
      <c r="D21" s="1" cm="1">
        <f t="array" aca="1" ref="D21" ca="1">IF(ISBLANK(INDIRECT(CONCATENATE("Input!",RSE_Setup!$B$19,ROW()+1))),"",INDIRECT(CONCATENATE("Input!",RSE_Setup!$B$19,ROW()+1)))</f>
        <v>6500</v>
      </c>
      <c r="E21" s="1" cm="1">
        <f t="array" aca="1" ref="E21" ca="1">IF(ISBLANK(INDIRECT(CONCATENATE("Input!",RSE_Setup!$B$27,ROW()+1))),"",INDIRECT(CONCATENATE("Input!",RSE_Setup!$B$27,ROW()+1)))</f>
        <v>747.91327699999999</v>
      </c>
      <c r="F21" s="1">
        <f ca="1"/>
        <v>759.72955952201301</v>
      </c>
    </row>
    <row r="22" spans="1:6" x14ac:dyDescent="0.3">
      <c r="A22" s="1" cm="1">
        <f t="array" aca="1" ref="A22" ca="1">IF(ISBLANK(INDIRECT(CONCATENATE("Input!",RSE_Setup!$B$16,ROW()+1))),"",INDIRECT(CONCATENATE("Input!",RSE_Setup!$B$16,ROW()+1)))</f>
        <v>2.9999999999999997E-4</v>
      </c>
      <c r="B22" s="1" cm="1">
        <f t="array" aca="1" ref="B22" ca="1">IF(ISBLANK(INDIRECT(CONCATENATE("Input!",RSE_Setup!$B$17,ROW()+1))),"",INDIRECT(CONCATENATE("Input!",RSE_Setup!$B$17,ROW()+1)))</f>
        <v>4.0000000000000001E-3</v>
      </c>
      <c r="C22" s="1" cm="1">
        <f t="array" aca="1" ref="C22" ca="1">IF(ISBLANK(INDIRECT(CONCATENATE("Input!",RSE_Setup!$B$18,ROW()+1))),"",INDIRECT(CONCATENATE("Input!",RSE_Setup!$B$18,ROW()+1)))</f>
        <v>3.2258000000000002E-2</v>
      </c>
      <c r="D22" s="1" cm="1">
        <f t="array" aca="1" ref="D22" ca="1">IF(ISBLANK(INDIRECT(CONCATENATE("Input!",RSE_Setup!$B$19,ROW()+1))),"",INDIRECT(CONCATENATE("Input!",RSE_Setup!$B$19,ROW()+1)))</f>
        <v>5250</v>
      </c>
      <c r="E22" s="1" cm="1">
        <f t="array" aca="1" ref="E22" ca="1">IF(ISBLANK(INDIRECT(CONCATENATE("Input!",RSE_Setup!$B$27,ROW()+1))),"",INDIRECT(CONCATENATE("Input!",RSE_Setup!$B$27,ROW()+1)))</f>
        <v>633.72619799999995</v>
      </c>
      <c r="F22" s="1">
        <f ca="1"/>
        <v>634.55085476030354</v>
      </c>
    </row>
    <row r="23" spans="1:6" x14ac:dyDescent="0.3">
      <c r="A23" s="1" cm="1">
        <f t="array" aca="1" ref="A23" ca="1">IF(ISBLANK(INDIRECT(CONCATENATE("Input!",RSE_Setup!$B$16,ROW()+1))),"",INDIRECT(CONCATENATE("Input!",RSE_Setup!$B$16,ROW()+1)))</f>
        <v>2.9999999999999997E-4</v>
      </c>
      <c r="B23" s="1" cm="1">
        <f t="array" aca="1" ref="B23" ca="1">IF(ISBLANK(INDIRECT(CONCATENATE("Input!",RSE_Setup!$B$17,ROW()+1))),"",INDIRECT(CONCATENATE("Input!",RSE_Setup!$B$17,ROW()+1)))</f>
        <v>4.0000000000000001E-3</v>
      </c>
      <c r="C23" s="1" cm="1">
        <f t="array" aca="1" ref="C23" ca="1">IF(ISBLANK(INDIRECT(CONCATENATE("Input!",RSE_Setup!$B$18,ROW()+1))),"",INDIRECT(CONCATENATE("Input!",RSE_Setup!$B$18,ROW()+1)))</f>
        <v>3.2258000000000002E-2</v>
      </c>
      <c r="D23" s="1" cm="1">
        <f t="array" aca="1" ref="D23" ca="1">IF(ISBLANK(INDIRECT(CONCATENATE("Input!",RSE_Setup!$B$19,ROW()+1))),"",INDIRECT(CONCATENATE("Input!",RSE_Setup!$B$19,ROW()+1)))</f>
        <v>6500</v>
      </c>
      <c r="E23" s="1" cm="1">
        <f t="array" aca="1" ref="E23" ca="1">IF(ISBLANK(INDIRECT(CONCATENATE("Input!",RSE_Setup!$B$27,ROW()+1))),"",INDIRECT(CONCATENATE("Input!",RSE_Setup!$B$27,ROW()+1)))</f>
        <v>774.64071000000001</v>
      </c>
      <c r="F23" s="1">
        <f ca="1"/>
        <v>783.3671589304405</v>
      </c>
    </row>
    <row r="24" spans="1:6" x14ac:dyDescent="0.3">
      <c r="A24" s="1" cm="1">
        <f t="array" aca="1" ref="A24" ca="1">IF(ISBLANK(INDIRECT(CONCATENATE("Input!",RSE_Setup!$B$16,ROW()+1))),"",INDIRECT(CONCATENATE("Input!",RSE_Setup!$B$16,ROW()+1)))</f>
        <v>5.0000000000000001E-4</v>
      </c>
      <c r="B24" s="1" cm="1">
        <f t="array" aca="1" ref="B24" ca="1">IF(ISBLANK(INDIRECT(CONCATENATE("Input!",RSE_Setup!$B$17,ROW()+1))),"",INDIRECT(CONCATENATE("Input!",RSE_Setup!$B$17,ROW()+1)))</f>
        <v>3.0000000000000001E-3</v>
      </c>
      <c r="C24" s="1" cm="1">
        <f t="array" aca="1" ref="C24" ca="1">IF(ISBLANK(INDIRECT(CONCATENATE("Input!",RSE_Setup!$B$18,ROW()+1))),"",INDIRECT(CONCATENATE("Input!",RSE_Setup!$B$18,ROW()+1)))</f>
        <v>5.5556000000000001E-2</v>
      </c>
      <c r="D24" s="1" cm="1">
        <f t="array" aca="1" ref="D24" ca="1">IF(ISBLANK(INDIRECT(CONCATENATE("Input!",RSE_Setup!$B$19,ROW()+1))),"",INDIRECT(CONCATENATE("Input!",RSE_Setup!$B$19,ROW()+1)))</f>
        <v>3750</v>
      </c>
      <c r="E24" s="1" cm="1">
        <f t="array" aca="1" ref="E24" ca="1">IF(ISBLANK(INDIRECT(CONCATENATE("Input!",RSE_Setup!$B$27,ROW()+1))),"",INDIRECT(CONCATENATE("Input!",RSE_Setup!$B$27,ROW()+1)))</f>
        <v>443.01189099999999</v>
      </c>
      <c r="F24" s="1">
        <f ca="1"/>
        <v>443.12018979751002</v>
      </c>
    </row>
    <row r="25" spans="1:6" x14ac:dyDescent="0.3">
      <c r="A25" s="1" cm="1">
        <f t="array" aca="1" ref="A25" ca="1">IF(ISBLANK(INDIRECT(CONCATENATE("Input!",RSE_Setup!$B$16,ROW()+1))),"",INDIRECT(CONCATENATE("Input!",RSE_Setup!$B$16,ROW()+1)))</f>
        <v>5.0000000000000001E-4</v>
      </c>
      <c r="B25" s="1" cm="1">
        <f t="array" aca="1" ref="B25" ca="1">IF(ISBLANK(INDIRECT(CONCATENATE("Input!",RSE_Setup!$B$17,ROW()+1))),"",INDIRECT(CONCATENATE("Input!",RSE_Setup!$B$17,ROW()+1)))</f>
        <v>3.0000000000000001E-3</v>
      </c>
      <c r="C25" s="1" cm="1">
        <f t="array" aca="1" ref="C25" ca="1">IF(ISBLANK(INDIRECT(CONCATENATE("Input!",RSE_Setup!$B$18,ROW()+1))),"",INDIRECT(CONCATENATE("Input!",RSE_Setup!$B$18,ROW()+1)))</f>
        <v>3.2258000000000002E-2</v>
      </c>
      <c r="D25" s="1" cm="1">
        <f t="array" aca="1" ref="D25" ca="1">IF(ISBLANK(INDIRECT(CONCATENATE("Input!",RSE_Setup!$B$19,ROW()+1))),"",INDIRECT(CONCATENATE("Input!",RSE_Setup!$B$19,ROW()+1)))</f>
        <v>3750</v>
      </c>
      <c r="E25" s="1" cm="1">
        <f t="array" aca="1" ref="E25" ca="1">IF(ISBLANK(INDIRECT(CONCATENATE("Input!",RSE_Setup!$B$27,ROW()+1))),"",INDIRECT(CONCATENATE("Input!",RSE_Setup!$B$27,ROW()+1)))</f>
        <v>450.35294900000002</v>
      </c>
      <c r="F25" s="1">
        <f ca="1"/>
        <v>450.39898609765839</v>
      </c>
    </row>
    <row r="26" spans="1:6" x14ac:dyDescent="0.3">
      <c r="A26" s="1" cm="1">
        <f t="array" aca="1" ref="A26" ca="1">IF(ISBLANK(INDIRECT(CONCATENATE("Input!",RSE_Setup!$B$16,ROW()+1))),"",INDIRECT(CONCATENATE("Input!",RSE_Setup!$B$16,ROW()+1)))</f>
        <v>5.0000000000000001E-4</v>
      </c>
      <c r="B26" s="1" cm="1">
        <f t="array" aca="1" ref="B26" ca="1">IF(ISBLANK(INDIRECT(CONCATENATE("Input!",RSE_Setup!$B$17,ROW()+1))),"",INDIRECT(CONCATENATE("Input!",RSE_Setup!$B$17,ROW()+1)))</f>
        <v>3.0000000000000001E-3</v>
      </c>
      <c r="C26" s="1" cm="1">
        <f t="array" aca="1" ref="C26" ca="1">IF(ISBLANK(INDIRECT(CONCATENATE("Input!",RSE_Setup!$B$18,ROW()+1))),"",INDIRECT(CONCATENATE("Input!",RSE_Setup!$B$18,ROW()+1)))</f>
        <v>3.2258000000000002E-2</v>
      </c>
      <c r="D26" s="1" cm="1">
        <f t="array" aca="1" ref="D26" ca="1">IF(ISBLANK(INDIRECT(CONCATENATE("Input!",RSE_Setup!$B$19,ROW()+1))),"",INDIRECT(CONCATENATE("Input!",RSE_Setup!$B$19,ROW()+1)))</f>
        <v>5250</v>
      </c>
      <c r="E26" s="1" cm="1">
        <f t="array" aca="1" ref="E26" ca="1">IF(ISBLANK(INDIRECT(CONCATENATE("Input!",RSE_Setup!$B$27,ROW()+1))),"",INDIRECT(CONCATENATE("Input!",RSE_Setup!$B$27,ROW()+1)))</f>
        <v>621.63684499999999</v>
      </c>
      <c r="F26" s="1">
        <f ca="1"/>
        <v>623.52707880536286</v>
      </c>
    </row>
    <row r="27" spans="1:6" x14ac:dyDescent="0.3">
      <c r="A27" s="1" cm="1">
        <f t="array" aca="1" ref="A27" ca="1">IF(ISBLANK(INDIRECT(CONCATENATE("Input!",RSE_Setup!$B$16,ROW()+1))),"",INDIRECT(CONCATENATE("Input!",RSE_Setup!$B$16,ROW()+1)))</f>
        <v>5.0000000000000001E-4</v>
      </c>
      <c r="B27" s="1" cm="1">
        <f t="array" aca="1" ref="B27" ca="1">IF(ISBLANK(INDIRECT(CONCATENATE("Input!",RSE_Setup!$B$17,ROW()+1))),"",INDIRECT(CONCATENATE("Input!",RSE_Setup!$B$17,ROW()+1)))</f>
        <v>3.0000000000000001E-3</v>
      </c>
      <c r="C27" s="1" cm="1">
        <f t="array" aca="1" ref="C27" ca="1">IF(ISBLANK(INDIRECT(CONCATENATE("Input!",RSE_Setup!$B$18,ROW()+1))),"",INDIRECT(CONCATENATE("Input!",RSE_Setup!$B$18,ROW()+1)))</f>
        <v>3.2258000000000002E-2</v>
      </c>
      <c r="D27" s="1" cm="1">
        <f t="array" aca="1" ref="D27" ca="1">IF(ISBLANK(INDIRECT(CONCATENATE("Input!",RSE_Setup!$B$19,ROW()+1))),"",INDIRECT(CONCATENATE("Input!",RSE_Setup!$B$19,ROW()+1)))</f>
        <v>6500</v>
      </c>
      <c r="E27" s="1" cm="1">
        <f t="array" aca="1" ref="E27" ca="1">IF(ISBLANK(INDIRECT(CONCATENATE("Input!",RSE_Setup!$B$27,ROW()+1))),"",INDIRECT(CONCATENATE("Input!",RSE_Setup!$B$27,ROW()+1)))</f>
        <v>758.49493900000004</v>
      </c>
      <c r="F27" s="1">
        <f ca="1"/>
        <v>768.85758371830332</v>
      </c>
    </row>
    <row r="28" spans="1:6" x14ac:dyDescent="0.3">
      <c r="A28" s="1" cm="1">
        <f t="array" aca="1" ref="A28" ca="1">IF(ISBLANK(INDIRECT(CONCATENATE("Input!",RSE_Setup!$B$16,ROW()+1))),"",INDIRECT(CONCATENATE("Input!",RSE_Setup!$B$16,ROW()+1)))</f>
        <v>5.0000000000000001E-4</v>
      </c>
      <c r="B28" s="1" cm="1">
        <f t="array" aca="1" ref="B28" ca="1">IF(ISBLANK(INDIRECT(CONCATENATE("Input!",RSE_Setup!$B$17,ROW()+1))),"",INDIRECT(CONCATENATE("Input!",RSE_Setup!$B$17,ROW()+1)))</f>
        <v>4.7499999999999999E-3</v>
      </c>
      <c r="C28" s="1" cm="1">
        <f t="array" aca="1" ref="C28" ca="1">IF(ISBLANK(INDIRECT(CONCATENATE("Input!",RSE_Setup!$B$18,ROW()+1))),"",INDIRECT(CONCATENATE("Input!",RSE_Setup!$B$18,ROW()+1)))</f>
        <v>5.5556000000000001E-2</v>
      </c>
      <c r="D28" s="1" cm="1">
        <f t="array" aca="1" ref="D28" ca="1">IF(ISBLANK(INDIRECT(CONCATENATE("Input!",RSE_Setup!$B$19,ROW()+1))),"",INDIRECT(CONCATENATE("Input!",RSE_Setup!$B$19,ROW()+1)))</f>
        <v>3000</v>
      </c>
      <c r="E28" s="1" cm="1">
        <f t="array" aca="1" ref="E28" ca="1">IF(ISBLANK(INDIRECT(CONCATENATE("Input!",RSE_Setup!$B$27,ROW()+1))),"",INDIRECT(CONCATENATE("Input!",RSE_Setup!$B$27,ROW()+1)))</f>
        <v>379.301605</v>
      </c>
      <c r="F28" s="1">
        <f ca="1"/>
        <v>379.18195234983324</v>
      </c>
    </row>
    <row r="29" spans="1:6" x14ac:dyDescent="0.3">
      <c r="A29" s="1" cm="1">
        <f t="array" aca="1" ref="A29" ca="1">IF(ISBLANK(INDIRECT(CONCATENATE("Input!",RSE_Setup!$B$16,ROW()+1))),"",INDIRECT(CONCATENATE("Input!",RSE_Setup!$B$16,ROW()+1)))</f>
        <v>5.0000000000000001E-4</v>
      </c>
      <c r="B29" s="1" cm="1">
        <f t="array" aca="1" ref="B29" ca="1">IF(ISBLANK(INDIRECT(CONCATENATE("Input!",RSE_Setup!$B$17,ROW()+1))),"",INDIRECT(CONCATENATE("Input!",RSE_Setup!$B$17,ROW()+1)))</f>
        <v>4.7499999999999999E-3</v>
      </c>
      <c r="C29" s="1" cm="1">
        <f t="array" aca="1" ref="C29" ca="1">IF(ISBLANK(INDIRECT(CONCATENATE("Input!",RSE_Setup!$B$18,ROW()+1))),"",INDIRECT(CONCATENATE("Input!",RSE_Setup!$B$18,ROW()+1)))</f>
        <v>5.5556000000000001E-2</v>
      </c>
      <c r="D29" s="1" cm="1">
        <f t="array" aca="1" ref="D29" ca="1">IF(ISBLANK(INDIRECT(CONCATENATE("Input!",RSE_Setup!$B$19,ROW()+1))),"",INDIRECT(CONCATENATE("Input!",RSE_Setup!$B$19,ROW()+1)))</f>
        <v>3750</v>
      </c>
      <c r="E29" s="1" cm="1">
        <f t="array" aca="1" ref="E29" ca="1">IF(ISBLANK(INDIRECT(CONCATENATE("Input!",RSE_Setup!$B$27,ROW()+1))),"",INDIRECT(CONCATENATE("Input!",RSE_Setup!$B$27,ROW()+1)))</f>
        <v>466.49273399999998</v>
      </c>
      <c r="F29" s="1">
        <f ca="1"/>
        <v>467.75733430968739</v>
      </c>
    </row>
    <row r="30" spans="1:6" x14ac:dyDescent="0.3">
      <c r="A30" s="1" cm="1">
        <f t="array" aca="1" ref="A30" ca="1">IF(ISBLANK(INDIRECT(CONCATENATE("Input!",RSE_Setup!$B$16,ROW()+1))),"",INDIRECT(CONCATENATE("Input!",RSE_Setup!$B$16,ROW()+1)))</f>
        <v>5.0000000000000001E-4</v>
      </c>
      <c r="B30" s="1" cm="1">
        <f t="array" aca="1" ref="B30" ca="1">IF(ISBLANK(INDIRECT(CONCATENATE("Input!",RSE_Setup!$B$17,ROW()+1))),"",INDIRECT(CONCATENATE("Input!",RSE_Setup!$B$17,ROW()+1)))</f>
        <v>4.7499999999999999E-3</v>
      </c>
      <c r="C30" s="1" cm="1">
        <f t="array" aca="1" ref="C30" ca="1">IF(ISBLANK(INDIRECT(CONCATENATE("Input!",RSE_Setup!$B$18,ROW()+1))),"",INDIRECT(CONCATENATE("Input!",RSE_Setup!$B$18,ROW()+1)))</f>
        <v>3.2258000000000002E-2</v>
      </c>
      <c r="D30" s="1" cm="1">
        <f t="array" aca="1" ref="D30" ca="1">IF(ISBLANK(INDIRECT(CONCATENATE("Input!",RSE_Setup!$B$19,ROW()+1))),"",INDIRECT(CONCATENATE("Input!",RSE_Setup!$B$19,ROW()+1)))</f>
        <v>3750</v>
      </c>
      <c r="E30" s="1" cm="1">
        <f t="array" aca="1" ref="E30" ca="1">IF(ISBLANK(INDIRECT(CONCATENATE("Input!",RSE_Setup!$B$27,ROW()+1))),"",INDIRECT(CONCATENATE("Input!",RSE_Setup!$B$27,ROW()+1)))</f>
        <v>477.16841199999999</v>
      </c>
      <c r="F30" s="1">
        <f ca="1"/>
        <v>475.45486904874019</v>
      </c>
    </row>
    <row r="31" spans="1:6" x14ac:dyDescent="0.3">
      <c r="A31" s="1" cm="1">
        <f t="array" aca="1" ref="A31" ca="1">IF(ISBLANK(INDIRECT(CONCATENATE("Input!",RSE_Setup!$B$16,ROW()+1))),"",INDIRECT(CONCATENATE("Input!",RSE_Setup!$B$16,ROW()+1)))</f>
        <v>5.0000000000000001E-4</v>
      </c>
      <c r="B31" s="1" cm="1">
        <f t="array" aca="1" ref="B31" ca="1">IF(ISBLANK(INDIRECT(CONCATENATE("Input!",RSE_Setup!$B$17,ROW()+1))),"",INDIRECT(CONCATENATE("Input!",RSE_Setup!$B$17,ROW()+1)))</f>
        <v>4.7499999999999999E-3</v>
      </c>
      <c r="C31" s="1" cm="1">
        <f t="array" aca="1" ref="C31" ca="1">IF(ISBLANK(INDIRECT(CONCATENATE("Input!",RSE_Setup!$B$18,ROW()+1))),"",INDIRECT(CONCATENATE("Input!",RSE_Setup!$B$18,ROW()+1)))</f>
        <v>3.2258000000000002E-2</v>
      </c>
      <c r="D31" s="1" cm="1">
        <f t="array" aca="1" ref="D31" ca="1">IF(ISBLANK(INDIRECT(CONCATENATE("Input!",RSE_Setup!$B$19,ROW()+1))),"",INDIRECT(CONCATENATE("Input!",RSE_Setup!$B$19,ROW()+1)))</f>
        <v>5250</v>
      </c>
      <c r="E31" s="1" cm="1">
        <f t="array" aca="1" ref="E31" ca="1">IF(ISBLANK(INDIRECT(CONCATENATE("Input!",RSE_Setup!$B$27,ROW()+1))),"",INDIRECT(CONCATENATE("Input!",RSE_Setup!$B$27,ROW()+1)))</f>
        <v>660.086319</v>
      </c>
      <c r="F31" s="1">
        <f ca="1"/>
        <v>658.23181583212795</v>
      </c>
    </row>
    <row r="32" spans="1:6" x14ac:dyDescent="0.3">
      <c r="A32" s="1" cm="1">
        <f t="array" aca="1" ref="A32" ca="1">IF(ISBLANK(INDIRECT(CONCATENATE("Input!",RSE_Setup!$B$16,ROW()+1))),"",INDIRECT(CONCATENATE("Input!",RSE_Setup!$B$16,ROW()+1)))</f>
        <v>5.0000000000000001E-4</v>
      </c>
      <c r="B32" s="1" cm="1">
        <f t="array" aca="1" ref="B32" ca="1">IF(ISBLANK(INDIRECT(CONCATENATE("Input!",RSE_Setup!$B$17,ROW()+1))),"",INDIRECT(CONCATENATE("Input!",RSE_Setup!$B$17,ROW()+1)))</f>
        <v>4.7499999999999999E-3</v>
      </c>
      <c r="C32" s="1" cm="1">
        <f t="array" aca="1" ref="C32" ca="1">IF(ISBLANK(INDIRECT(CONCATENATE("Input!",RSE_Setup!$B$18,ROW()+1))),"",INDIRECT(CONCATENATE("Input!",RSE_Setup!$B$18,ROW()+1)))</f>
        <v>3.2258000000000002E-2</v>
      </c>
      <c r="D32" s="1" cm="1">
        <f t="array" aca="1" ref="D32" ca="1">IF(ISBLANK(INDIRECT(CONCATENATE("Input!",RSE_Setup!$B$19,ROW()+1))),"",INDIRECT(CONCATENATE("Input!",RSE_Setup!$B$19,ROW()+1)))</f>
        <v>6500</v>
      </c>
      <c r="E32" s="1" cm="1">
        <f t="array" aca="1" ref="E32" ca="1">IF(ISBLANK(INDIRECT(CONCATENATE("Input!",RSE_Setup!$B$27,ROW()+1))),"",INDIRECT(CONCATENATE("Input!",RSE_Setup!$B$27,ROW()+1)))</f>
        <v>806.93033300000002</v>
      </c>
      <c r="F32" s="1">
        <f ca="1"/>
        <v>811.60303247480476</v>
      </c>
    </row>
    <row r="33" spans="1:6" x14ac:dyDescent="0.3">
      <c r="A33" s="1" cm="1">
        <f t="array" aca="1" ref="A33" ca="1">IF(ISBLANK(INDIRECT(CONCATENATE("Input!",RSE_Setup!$B$16,ROW()+1))),"",INDIRECT(CONCATENATE("Input!",RSE_Setup!$B$16,ROW()+1)))</f>
        <v>5.0000000000000001E-4</v>
      </c>
      <c r="B33" s="1" cm="1">
        <f t="array" aca="1" ref="B33" ca="1">IF(ISBLANK(INDIRECT(CONCATENATE("Input!",RSE_Setup!$B$17,ROW()+1))),"",INDIRECT(CONCATENATE("Input!",RSE_Setup!$B$17,ROW()+1)))</f>
        <v>6.4999999999999997E-3</v>
      </c>
      <c r="C33" s="1" cm="1">
        <f t="array" aca="1" ref="C33" ca="1">IF(ISBLANK(INDIRECT(CONCATENATE("Input!",RSE_Setup!$B$18,ROW()+1))),"",INDIRECT(CONCATENATE("Input!",RSE_Setup!$B$18,ROW()+1)))</f>
        <v>5.5556000000000001E-2</v>
      </c>
      <c r="D33" s="1" cm="1">
        <f t="array" aca="1" ref="D33" ca="1">IF(ISBLANK(INDIRECT(CONCATENATE("Input!",RSE_Setup!$B$19,ROW()+1))),"",INDIRECT(CONCATENATE("Input!",RSE_Setup!$B$19,ROW()+1)))</f>
        <v>3000</v>
      </c>
      <c r="E33" s="1" cm="1">
        <f t="array" aca="1" ref="E33" ca="1">IF(ISBLANK(INDIRECT(CONCATENATE("Input!",RSE_Setup!$B$27,ROW()+1))),"",INDIRECT(CONCATENATE("Input!",RSE_Setup!$B$27,ROW()+1)))</f>
        <v>400.18332500000002</v>
      </c>
      <c r="F33" s="1">
        <f ca="1"/>
        <v>402.43769039755779</v>
      </c>
    </row>
    <row r="34" spans="1:6" x14ac:dyDescent="0.3">
      <c r="A34" s="1" cm="1">
        <f t="array" aca="1" ref="A34" ca="1">IF(ISBLANK(INDIRECT(CONCATENATE("Input!",RSE_Setup!$B$16,ROW()+1))),"",INDIRECT(CONCATENATE("Input!",RSE_Setup!$B$16,ROW()+1)))</f>
        <v>5.0000000000000001E-4</v>
      </c>
      <c r="B34" s="1" cm="1">
        <f t="array" aca="1" ref="B34" ca="1">IF(ISBLANK(INDIRECT(CONCATENATE("Input!",RSE_Setup!$B$17,ROW()+1))),"",INDIRECT(CONCATENATE("Input!",RSE_Setup!$B$17,ROW()+1)))</f>
        <v>6.4999999999999997E-3</v>
      </c>
      <c r="C34" s="1" cm="1">
        <f t="array" aca="1" ref="C34" ca="1">IF(ISBLANK(INDIRECT(CONCATENATE("Input!",RSE_Setup!$B$18,ROW()+1))),"",INDIRECT(CONCATENATE("Input!",RSE_Setup!$B$18,ROW()+1)))</f>
        <v>5.5556000000000001E-2</v>
      </c>
      <c r="D34" s="1" cm="1">
        <f t="array" aca="1" ref="D34" ca="1">IF(ISBLANK(INDIRECT(CONCATENATE("Input!",RSE_Setup!$B$19,ROW()+1))),"",INDIRECT(CONCATENATE("Input!",RSE_Setup!$B$19,ROW()+1)))</f>
        <v>3750</v>
      </c>
      <c r="E34" s="1" cm="1">
        <f t="array" aca="1" ref="E34" ca="1">IF(ISBLANK(INDIRECT(CONCATENATE("Input!",RSE_Setup!$B$27,ROW()+1))),"",INDIRECT(CONCATENATE("Input!",RSE_Setup!$B$27,ROW()+1)))</f>
        <v>492.32012400000002</v>
      </c>
      <c r="F34" s="1">
        <f ca="1"/>
        <v>495.8374993952537</v>
      </c>
    </row>
    <row r="35" spans="1:6" x14ac:dyDescent="0.3">
      <c r="A35" s="1" cm="1">
        <f t="array" aca="1" ref="A35" ca="1">IF(ISBLANK(INDIRECT(CONCATENATE("Input!",RSE_Setup!$B$16,ROW()+1))),"",INDIRECT(CONCATENATE("Input!",RSE_Setup!$B$16,ROW()+1)))</f>
        <v>5.0000000000000001E-4</v>
      </c>
      <c r="B35" s="1" cm="1">
        <f t="array" aca="1" ref="B35" ca="1">IF(ISBLANK(INDIRECT(CONCATENATE("Input!",RSE_Setup!$B$17,ROW()+1))),"",INDIRECT(CONCATENATE("Input!",RSE_Setup!$B$17,ROW()+1)))</f>
        <v>6.4999999999999997E-3</v>
      </c>
      <c r="C35" s="1" cm="1">
        <f t="array" aca="1" ref="C35" ca="1">IF(ISBLANK(INDIRECT(CONCATENATE("Input!",RSE_Setup!$B$18,ROW()+1))),"",INDIRECT(CONCATENATE("Input!",RSE_Setup!$B$18,ROW()+1)))</f>
        <v>3.2258000000000002E-2</v>
      </c>
      <c r="D35" s="1" cm="1">
        <f t="array" aca="1" ref="D35" ca="1">IF(ISBLANK(INDIRECT(CONCATENATE("Input!",RSE_Setup!$B$19,ROW()+1))),"",INDIRECT(CONCATENATE("Input!",RSE_Setup!$B$19,ROW()+1)))</f>
        <v>3750</v>
      </c>
      <c r="E35" s="1" cm="1">
        <f t="array" aca="1" ref="E35" ca="1">IF(ISBLANK(INDIRECT(CONCATENATE("Input!",RSE_Setup!$B$27,ROW()+1))),"",INDIRECT(CONCATENATE("Input!",RSE_Setup!$B$27,ROW()+1)))</f>
        <v>506.73546800000003</v>
      </c>
      <c r="F35" s="1">
        <f ca="1"/>
        <v>503.95377257321081</v>
      </c>
    </row>
    <row r="36" spans="1:6" x14ac:dyDescent="0.3">
      <c r="A36" s="1" cm="1">
        <f t="array" aca="1" ref="A36" ca="1">IF(ISBLANK(INDIRECT(CONCATENATE("Input!",RSE_Setup!$B$16,ROW()+1))),"",INDIRECT(CONCATENATE("Input!",RSE_Setup!$B$16,ROW()+1)))</f>
        <v>5.0000000000000001E-4</v>
      </c>
      <c r="B36" s="1" cm="1">
        <f t="array" aca="1" ref="B36" ca="1">IF(ISBLANK(INDIRECT(CONCATENATE("Input!",RSE_Setup!$B$17,ROW()+1))),"",INDIRECT(CONCATENATE("Input!",RSE_Setup!$B$17,ROW()+1)))</f>
        <v>6.4999999999999997E-3</v>
      </c>
      <c r="C36" s="1" cm="1">
        <f t="array" aca="1" ref="C36" ca="1">IF(ISBLANK(INDIRECT(CONCATENATE("Input!",RSE_Setup!$B$18,ROW()+1))),"",INDIRECT(CONCATENATE("Input!",RSE_Setup!$B$18,ROW()+1)))</f>
        <v>3.2258000000000002E-2</v>
      </c>
      <c r="D36" s="1" cm="1">
        <f t="array" aca="1" ref="D36" ca="1">IF(ISBLANK(INDIRECT(CONCATENATE("Input!",RSE_Setup!$B$19,ROW()+1))),"",INDIRECT(CONCATENATE("Input!",RSE_Setup!$B$19,ROW()+1)))</f>
        <v>5250</v>
      </c>
      <c r="E36" s="1" cm="1">
        <f t="array" aca="1" ref="E36" ca="1">IF(ISBLANK(INDIRECT(CONCATENATE("Input!",RSE_Setup!$B$27,ROW()+1))),"",INDIRECT(CONCATENATE("Input!",RSE_Setup!$B$27,ROW()+1)))</f>
        <v>699.66178600000001</v>
      </c>
      <c r="F36" s="1">
        <f ca="1"/>
        <v>696.3795734322822</v>
      </c>
    </row>
    <row r="37" spans="1:6" x14ac:dyDescent="0.3">
      <c r="A37" s="1" cm="1">
        <f t="array" aca="1" ref="A37" ca="1">IF(ISBLANK(INDIRECT(CONCATENATE("Input!",RSE_Setup!$B$16,ROW()+1))),"",INDIRECT(CONCATENATE("Input!",RSE_Setup!$B$16,ROW()+1)))</f>
        <v>5.0000000000000001E-4</v>
      </c>
      <c r="B37" s="1" cm="1">
        <f t="array" aca="1" ref="B37" ca="1">IF(ISBLANK(INDIRECT(CONCATENATE("Input!",RSE_Setup!$B$17,ROW()+1))),"",INDIRECT(CONCATENATE("Input!",RSE_Setup!$B$17,ROW()+1)))</f>
        <v>6.4999999999999997E-3</v>
      </c>
      <c r="C37" s="1" cm="1">
        <f t="array" aca="1" ref="C37" ca="1">IF(ISBLANK(INDIRECT(CONCATENATE("Input!",RSE_Setup!$B$18,ROW()+1))),"",INDIRECT(CONCATENATE("Input!",RSE_Setup!$B$18,ROW()+1)))</f>
        <v>3.2258000000000002E-2</v>
      </c>
      <c r="D37" s="1" cm="1">
        <f t="array" aca="1" ref="D37" ca="1">IF(ISBLANK(INDIRECT(CONCATENATE("Input!",RSE_Setup!$B$19,ROW()+1))),"",INDIRECT(CONCATENATE("Input!",RSE_Setup!$B$19,ROW()+1)))</f>
        <v>6500</v>
      </c>
      <c r="E37" s="1" cm="1">
        <f t="array" aca="1" ref="E37" ca="1">IF(ISBLANK(INDIRECT(CONCATENATE("Input!",RSE_Setup!$B$27,ROW()+1))),"",INDIRECT(CONCATENATE("Input!",RSE_Setup!$B$27,ROW()+1)))</f>
        <v>855.767246</v>
      </c>
      <c r="F37" s="1">
        <f ca="1"/>
        <v>857.79150180469526</v>
      </c>
    </row>
    <row r="38" spans="1:6" x14ac:dyDescent="0.3">
      <c r="A38" s="1" cm="1">
        <f t="array" aca="1" ref="A38" ca="1">IF(ISBLANK(INDIRECT(CONCATENATE("Input!",RSE_Setup!$B$16,ROW()+1))),"",INDIRECT(CONCATENATE("Input!",RSE_Setup!$B$16,ROW()+1)))</f>
        <v>7.5000000000000002E-4</v>
      </c>
      <c r="B38" s="1" cm="1">
        <f t="array" aca="1" ref="B38" ca="1">IF(ISBLANK(INDIRECT(CONCATENATE("Input!",RSE_Setup!$B$17,ROW()+1))),"",INDIRECT(CONCATENATE("Input!",RSE_Setup!$B$17,ROW()+1)))</f>
        <v>4.0000000000000001E-3</v>
      </c>
      <c r="C38" s="1" cm="1">
        <f t="array" aca="1" ref="C38" ca="1">IF(ISBLANK(INDIRECT(CONCATENATE("Input!",RSE_Setup!$B$18,ROW()+1))),"",INDIRECT(CONCATENATE("Input!",RSE_Setup!$B$18,ROW()+1)))</f>
        <v>5.5556000000000001E-2</v>
      </c>
      <c r="D38" s="1" cm="1">
        <f t="array" aca="1" ref="D38" ca="1">IF(ISBLANK(INDIRECT(CONCATENATE("Input!",RSE_Setup!$B$19,ROW()+1))),"",INDIRECT(CONCATENATE("Input!",RSE_Setup!$B$19,ROW()+1)))</f>
        <v>3750</v>
      </c>
      <c r="E38" s="1" cm="1">
        <f t="array" aca="1" ref="E38" ca="1">IF(ISBLANK(INDIRECT(CONCATENATE("Input!",RSE_Setup!$B$27,ROW()+1))),"",INDIRECT(CONCATENATE("Input!",RSE_Setup!$B$27,ROW()+1)))</f>
        <v>463.723029</v>
      </c>
      <c r="F38" s="1">
        <f ca="1"/>
        <v>464.67338522702295</v>
      </c>
    </row>
    <row r="39" spans="1:6" x14ac:dyDescent="0.3">
      <c r="A39" s="1" cm="1">
        <f t="array" aca="1" ref="A39" ca="1">IF(ISBLANK(INDIRECT(CONCATENATE("Input!",RSE_Setup!$B$16,ROW()+1))),"",INDIRECT(CONCATENATE("Input!",RSE_Setup!$B$16,ROW()+1)))</f>
        <v>7.5000000000000002E-4</v>
      </c>
      <c r="B39" s="1" cm="1">
        <f t="array" aca="1" ref="B39" ca="1">IF(ISBLANK(INDIRECT(CONCATENATE("Input!",RSE_Setup!$B$17,ROW()+1))),"",INDIRECT(CONCATENATE("Input!",RSE_Setup!$B$17,ROW()+1)))</f>
        <v>4.0000000000000001E-3</v>
      </c>
      <c r="C39" s="1" cm="1">
        <f t="array" aca="1" ref="C39" ca="1">IF(ISBLANK(INDIRECT(CONCATENATE("Input!",RSE_Setup!$B$18,ROW()+1))),"",INDIRECT(CONCATENATE("Input!",RSE_Setup!$B$18,ROW()+1)))</f>
        <v>3.2258000000000002E-2</v>
      </c>
      <c r="D39" s="1" cm="1">
        <f t="array" aca="1" ref="D39" ca="1">IF(ISBLANK(INDIRECT(CONCATENATE("Input!",RSE_Setup!$B$19,ROW()+1))),"",INDIRECT(CONCATENATE("Input!",RSE_Setup!$B$19,ROW()+1)))</f>
        <v>3750</v>
      </c>
      <c r="E39" s="1" cm="1">
        <f t="array" aca="1" ref="E39" ca="1">IF(ISBLANK(INDIRECT(CONCATENATE("Input!",RSE_Setup!$B$27,ROW()+1))),"",INDIRECT(CONCATENATE("Input!",RSE_Setup!$B$27,ROW()+1)))</f>
        <v>473.02308799999997</v>
      </c>
      <c r="F39" s="1">
        <f ca="1"/>
        <v>473.02932859553437</v>
      </c>
    </row>
    <row r="40" spans="1:6" x14ac:dyDescent="0.3">
      <c r="A40" s="1" cm="1">
        <f t="array" aca="1" ref="A40" ca="1">IF(ISBLANK(INDIRECT(CONCATENATE("Input!",RSE_Setup!$B$16,ROW()+1))),"",INDIRECT(CONCATENATE("Input!",RSE_Setup!$B$16,ROW()+1)))</f>
        <v>7.5000000000000002E-4</v>
      </c>
      <c r="B40" s="1" cm="1">
        <f t="array" aca="1" ref="B40" ca="1">IF(ISBLANK(INDIRECT(CONCATENATE("Input!",RSE_Setup!$B$17,ROW()+1))),"",INDIRECT(CONCATENATE("Input!",RSE_Setup!$B$17,ROW()+1)))</f>
        <v>4.0000000000000001E-3</v>
      </c>
      <c r="C40" s="1" cm="1">
        <f t="array" aca="1" ref="C40" ca="1">IF(ISBLANK(INDIRECT(CONCATENATE("Input!",RSE_Setup!$B$18,ROW()+1))),"",INDIRECT(CONCATENATE("Input!",RSE_Setup!$B$18,ROW()+1)))</f>
        <v>3.2258000000000002E-2</v>
      </c>
      <c r="D40" s="1" cm="1">
        <f t="array" aca="1" ref="D40" ca="1">IF(ISBLANK(INDIRECT(CONCATENATE("Input!",RSE_Setup!$B$19,ROW()+1))),"",INDIRECT(CONCATENATE("Input!",RSE_Setup!$B$19,ROW()+1)))</f>
        <v>5250</v>
      </c>
      <c r="E40" s="1" cm="1">
        <f t="array" aca="1" ref="E40" ca="1">IF(ISBLANK(INDIRECT(CONCATENATE("Input!",RSE_Setup!$B$27,ROW()+1))),"",INDIRECT(CONCATENATE("Input!",RSE_Setup!$B$27,ROW()+1)))</f>
        <v>655.49382700000001</v>
      </c>
      <c r="F40" s="1">
        <f ca="1"/>
        <v>653.334391943323</v>
      </c>
    </row>
    <row r="41" spans="1:6" x14ac:dyDescent="0.3">
      <c r="A41" s="1" cm="1">
        <f t="array" aca="1" ref="A41" ca="1">IF(ISBLANK(INDIRECT(CONCATENATE("Input!",RSE_Setup!$B$16,ROW()+1))),"",INDIRECT(CONCATENATE("Input!",RSE_Setup!$B$16,ROW()+1)))</f>
        <v>7.5000000000000002E-4</v>
      </c>
      <c r="B41" s="1" cm="1">
        <f t="array" aca="1" ref="B41" ca="1">IF(ISBLANK(INDIRECT(CONCATENATE("Input!",RSE_Setup!$B$17,ROW()+1))),"",INDIRECT(CONCATENATE("Input!",RSE_Setup!$B$17,ROW()+1)))</f>
        <v>4.0000000000000001E-3</v>
      </c>
      <c r="C41" s="1" cm="1">
        <f t="array" aca="1" ref="C41" ca="1">IF(ISBLANK(INDIRECT(CONCATENATE("Input!",RSE_Setup!$B$18,ROW()+1))),"",INDIRECT(CONCATENATE("Input!",RSE_Setup!$B$18,ROW()+1)))</f>
        <v>3.2258000000000002E-2</v>
      </c>
      <c r="D41" s="1" cm="1">
        <f t="array" aca="1" ref="D41" ca="1">IF(ISBLANK(INDIRECT(CONCATENATE("Input!",RSE_Setup!$B$19,ROW()+1))),"",INDIRECT(CONCATENATE("Input!",RSE_Setup!$B$19,ROW()+1)))</f>
        <v>6500</v>
      </c>
      <c r="E41" s="1" cm="1">
        <f t="array" aca="1" ref="E41" ca="1">IF(ISBLANK(INDIRECT(CONCATENATE("Input!",RSE_Setup!$B$27,ROW()+1))),"",INDIRECT(CONCATENATE("Input!",RSE_Setup!$B$27,ROW()+1)))</f>
        <v>800.78420900000003</v>
      </c>
      <c r="F41" s="1">
        <f ca="1"/>
        <v>804.64570572300022</v>
      </c>
    </row>
    <row r="42" spans="1:6" x14ac:dyDescent="0.3">
      <c r="A42" s="1" cm="1">
        <f t="array" aca="1" ref="A42" ca="1">IF(ISBLANK(INDIRECT(CONCATENATE("Input!",RSE_Setup!$B$16,ROW()+1))),"",INDIRECT(CONCATENATE("Input!",RSE_Setup!$B$16,ROW()+1)))</f>
        <v>7.5000000000000002E-4</v>
      </c>
      <c r="B42" s="1" cm="1">
        <f t="array" aca="1" ref="B42" ca="1">IF(ISBLANK(INDIRECT(CONCATENATE("Input!",RSE_Setup!$B$17,ROW()+1))),"",INDIRECT(CONCATENATE("Input!",RSE_Setup!$B$17,ROW()+1)))</f>
        <v>6.0000000000000001E-3</v>
      </c>
      <c r="C42" s="1" cm="1">
        <f t="array" aca="1" ref="C42" ca="1">IF(ISBLANK(INDIRECT(CONCATENATE("Input!",RSE_Setup!$B$18,ROW()+1))),"",INDIRECT(CONCATENATE("Input!",RSE_Setup!$B$18,ROW()+1)))</f>
        <v>5.5556000000000001E-2</v>
      </c>
      <c r="D42" s="1" cm="1">
        <f t="array" aca="1" ref="D42" ca="1">IF(ISBLANK(INDIRECT(CONCATENATE("Input!",RSE_Setup!$B$19,ROW()+1))),"",INDIRECT(CONCATENATE("Input!",RSE_Setup!$B$19,ROW()+1)))</f>
        <v>3000</v>
      </c>
      <c r="E42" s="1" cm="1">
        <f t="array" aca="1" ref="E42" ca="1">IF(ISBLANK(INDIRECT(CONCATENATE("Input!",RSE_Setup!$B$27,ROW()+1))),"",INDIRECT(CONCATENATE("Input!",RSE_Setup!$B$27,ROW()+1)))</f>
        <v>400.90650199999999</v>
      </c>
      <c r="F42" s="1">
        <f ca="1"/>
        <v>403.42355918959521</v>
      </c>
    </row>
    <row r="43" spans="1:6" x14ac:dyDescent="0.3">
      <c r="A43" s="1" cm="1">
        <f t="array" aca="1" ref="A43" ca="1">IF(ISBLANK(INDIRECT(CONCATENATE("Input!",RSE_Setup!$B$16,ROW()+1))),"",INDIRECT(CONCATENATE("Input!",RSE_Setup!$B$16,ROW()+1)))</f>
        <v>7.5000000000000002E-4</v>
      </c>
      <c r="B43" s="1" cm="1">
        <f t="array" aca="1" ref="B43" ca="1">IF(ISBLANK(INDIRECT(CONCATENATE("Input!",RSE_Setup!$B$17,ROW()+1))),"",INDIRECT(CONCATENATE("Input!",RSE_Setup!$B$17,ROW()+1)))</f>
        <v>6.0000000000000001E-3</v>
      </c>
      <c r="C43" s="1" cm="1">
        <f t="array" aca="1" ref="C43" ca="1">IF(ISBLANK(INDIRECT(CONCATENATE("Input!",RSE_Setup!$B$18,ROW()+1))),"",INDIRECT(CONCATENATE("Input!",RSE_Setup!$B$18,ROW()+1)))</f>
        <v>5.5556000000000001E-2</v>
      </c>
      <c r="D43" s="1" cm="1">
        <f t="array" aca="1" ref="D43" ca="1">IF(ISBLANK(INDIRECT(CONCATENATE("Input!",RSE_Setup!$B$19,ROW()+1))),"",INDIRECT(CONCATENATE("Input!",RSE_Setup!$B$19,ROW()+1)))</f>
        <v>3750</v>
      </c>
      <c r="E43" s="1" cm="1">
        <f t="array" aca="1" ref="E43" ca="1">IF(ISBLANK(INDIRECT(CONCATENATE("Input!",RSE_Setup!$B$27,ROW()+1))),"",INDIRECT(CONCATENATE("Input!",RSE_Setup!$B$27,ROW()+1)))</f>
        <v>493.00977899999998</v>
      </c>
      <c r="F43" s="1">
        <f ca="1"/>
        <v>496.27663033204016</v>
      </c>
    </row>
    <row r="44" spans="1:6" x14ac:dyDescent="0.3">
      <c r="A44" s="1" cm="1">
        <f t="array" aca="1" ref="A44" ca="1">IF(ISBLANK(INDIRECT(CONCATENATE("Input!",RSE_Setup!$B$16,ROW()+1))),"",INDIRECT(CONCATENATE("Input!",RSE_Setup!$B$16,ROW()+1)))</f>
        <v>7.5000000000000002E-4</v>
      </c>
      <c r="B44" s="1" cm="1">
        <f t="array" aca="1" ref="B44" ca="1">IF(ISBLANK(INDIRECT(CONCATENATE("Input!",RSE_Setup!$B$17,ROW()+1))),"",INDIRECT(CONCATENATE("Input!",RSE_Setup!$B$17,ROW()+1)))</f>
        <v>6.0000000000000001E-3</v>
      </c>
      <c r="C44" s="1" cm="1">
        <f t="array" aca="1" ref="C44" ca="1">IF(ISBLANK(INDIRECT(CONCATENATE("Input!",RSE_Setup!$B$18,ROW()+1))),"",INDIRECT(CONCATENATE("Input!",RSE_Setup!$B$18,ROW()+1)))</f>
        <v>3.2258000000000002E-2</v>
      </c>
      <c r="D44" s="1" cm="1">
        <f t="array" aca="1" ref="D44" ca="1">IF(ISBLANK(INDIRECT(CONCATENATE("Input!",RSE_Setup!$B$19,ROW()+1))),"",INDIRECT(CONCATENATE("Input!",RSE_Setup!$B$19,ROW()+1)))</f>
        <v>3750</v>
      </c>
      <c r="E44" s="1" cm="1">
        <f t="array" aca="1" ref="E44" ca="1">IF(ISBLANK(INDIRECT(CONCATENATE("Input!",RSE_Setup!$B$27,ROW()+1))),"",INDIRECT(CONCATENATE("Input!",RSE_Setup!$B$27,ROW()+1)))</f>
        <v>506.14624099999997</v>
      </c>
      <c r="F44" s="1">
        <f ca="1"/>
        <v>505.11113191644233</v>
      </c>
    </row>
    <row r="45" spans="1:6" x14ac:dyDescent="0.3">
      <c r="A45" s="1" cm="1">
        <f t="array" aca="1" ref="A45" ca="1">IF(ISBLANK(INDIRECT(CONCATENATE("Input!",RSE_Setup!$B$16,ROW()+1))),"",INDIRECT(CONCATENATE("Input!",RSE_Setup!$B$16,ROW()+1)))</f>
        <v>7.5000000000000002E-4</v>
      </c>
      <c r="B45" s="1" cm="1">
        <f t="array" aca="1" ref="B45" ca="1">IF(ISBLANK(INDIRECT(CONCATENATE("Input!",RSE_Setup!$B$17,ROW()+1))),"",INDIRECT(CONCATENATE("Input!",RSE_Setup!$B$17,ROW()+1)))</f>
        <v>6.0000000000000001E-3</v>
      </c>
      <c r="C45" s="1" cm="1">
        <f t="array" aca="1" ref="C45" ca="1">IF(ISBLANK(INDIRECT(CONCATENATE("Input!",RSE_Setup!$B$18,ROW()+1))),"",INDIRECT(CONCATENATE("Input!",RSE_Setup!$B$18,ROW()+1)))</f>
        <v>3.2258000000000002E-2</v>
      </c>
      <c r="D45" s="1" cm="1">
        <f t="array" aca="1" ref="D45" ca="1">IF(ISBLANK(INDIRECT(CONCATENATE("Input!",RSE_Setup!$B$19,ROW()+1))),"",INDIRECT(CONCATENATE("Input!",RSE_Setup!$B$19,ROW()+1)))</f>
        <v>5250</v>
      </c>
      <c r="E45" s="1" cm="1">
        <f t="array" aca="1" ref="E45" ca="1">IF(ISBLANK(INDIRECT(CONCATENATE("Input!",RSE_Setup!$B$27,ROW()+1))),"",INDIRECT(CONCATENATE("Input!",RSE_Setup!$B$27,ROW()+1)))</f>
        <v>701.28115500000001</v>
      </c>
      <c r="F45" s="1">
        <f ca="1"/>
        <v>696.44345706501224</v>
      </c>
    </row>
    <row r="46" spans="1:6" x14ac:dyDescent="0.3">
      <c r="A46" s="1" cm="1">
        <f t="array" aca="1" ref="A46" ca="1">IF(ISBLANK(INDIRECT(CONCATENATE("Input!",RSE_Setup!$B$16,ROW()+1))),"",INDIRECT(CONCATENATE("Input!",RSE_Setup!$B$16,ROW()+1)))</f>
        <v>7.5000000000000002E-4</v>
      </c>
      <c r="B46" s="1" cm="1">
        <f t="array" aca="1" ref="B46" ca="1">IF(ISBLANK(INDIRECT(CONCATENATE("Input!",RSE_Setup!$B$17,ROW()+1))),"",INDIRECT(CONCATENATE("Input!",RSE_Setup!$B$17,ROW()+1)))</f>
        <v>6.0000000000000001E-3</v>
      </c>
      <c r="C46" s="1" cm="1">
        <f t="array" aca="1" ref="C46" ca="1">IF(ISBLANK(INDIRECT(CONCATENATE("Input!",RSE_Setup!$B$18,ROW()+1))),"",INDIRECT(CONCATENATE("Input!",RSE_Setup!$B$18,ROW()+1)))</f>
        <v>3.2258000000000002E-2</v>
      </c>
      <c r="D46" s="1" cm="1">
        <f t="array" aca="1" ref="D46" ca="1">IF(ISBLANK(INDIRECT(CONCATENATE("Input!",RSE_Setup!$B$19,ROW()+1))),"",INDIRECT(CONCATENATE("Input!",RSE_Setup!$B$19,ROW()+1)))</f>
        <v>6500</v>
      </c>
      <c r="E46" s="1" cm="1">
        <f t="array" aca="1" ref="E46" ca="1">IF(ISBLANK(INDIRECT(CONCATENATE("Input!",RSE_Setup!$B$27,ROW()+1))),"",INDIRECT(CONCATENATE("Input!",RSE_Setup!$B$27,ROW()+1)))</f>
        <v>857.57134599999995</v>
      </c>
      <c r="F46" s="1">
        <f ca="1"/>
        <v>856.94415567867384</v>
      </c>
    </row>
    <row r="47" spans="1:6" x14ac:dyDescent="0.3">
      <c r="A47" s="1" cm="1">
        <f t="array" aca="1" ref="A47" ca="1">IF(ISBLANK(INDIRECT(CONCATENATE("Input!",RSE_Setup!$B$16,ROW()+1))),"",INDIRECT(CONCATENATE("Input!",RSE_Setup!$B$16,ROW()+1)))</f>
        <v>7.5000000000000002E-4</v>
      </c>
      <c r="B47" s="1" cm="1">
        <f t="array" aca="1" ref="B47" ca="1">IF(ISBLANK(INDIRECT(CONCATENATE("Input!",RSE_Setup!$B$17,ROW()+1))),"",INDIRECT(CONCATENATE("Input!",RSE_Setup!$B$17,ROW()+1)))</f>
        <v>8.0000000000000002E-3</v>
      </c>
      <c r="C47" s="1" cm="1">
        <f t="array" aca="1" ref="C47" ca="1">IF(ISBLANK(INDIRECT(CONCATENATE("Input!",RSE_Setup!$B$18,ROW()+1))),"",INDIRECT(CONCATENATE("Input!",RSE_Setup!$B$18,ROW()+1)))</f>
        <v>3.2258000000000002E-2</v>
      </c>
      <c r="D47" s="1" cm="1">
        <f t="array" aca="1" ref="D47" ca="1">IF(ISBLANK(INDIRECT(CONCATENATE("Input!",RSE_Setup!$B$19,ROW()+1))),"",INDIRECT(CONCATENATE("Input!",RSE_Setup!$B$19,ROW()+1)))</f>
        <v>5250</v>
      </c>
      <c r="E47" s="1" cm="1">
        <f t="array" aca="1" ref="E47" ca="1">IF(ISBLANK(INDIRECT(CONCATENATE("Input!",RSE_Setup!$B$27,ROW()+1))),"",INDIRECT(CONCATENATE("Input!",RSE_Setup!$B$27,ROW()+1)))</f>
        <v>745.05038000000002</v>
      </c>
      <c r="F47" s="1">
        <f ca="1"/>
        <v>744.04952864990321</v>
      </c>
    </row>
    <row r="48" spans="1:6" x14ac:dyDescent="0.3">
      <c r="A48" s="1" cm="1">
        <f t="array" aca="1" ref="A48" ca="1">IF(ISBLANK(INDIRECT(CONCATENATE("Input!",RSE_Setup!$B$16,ROW()+1))),"",INDIRECT(CONCATENATE("Input!",RSE_Setup!$B$16,ROW()+1)))</f>
        <v>7.5000000000000002E-4</v>
      </c>
      <c r="B48" s="1" cm="1">
        <f t="array" aca="1" ref="B48" ca="1">IF(ISBLANK(INDIRECT(CONCATENATE("Input!",RSE_Setup!$B$17,ROW()+1))),"",INDIRECT(CONCATENATE("Input!",RSE_Setup!$B$17,ROW()+1)))</f>
        <v>8.0000000000000002E-3</v>
      </c>
      <c r="C48" s="1" cm="1">
        <f t="array" aca="1" ref="C48" ca="1">IF(ISBLANK(INDIRECT(CONCATENATE("Input!",RSE_Setup!$B$18,ROW()+1))),"",INDIRECT(CONCATENATE("Input!",RSE_Setup!$B$18,ROW()+1)))</f>
        <v>3.2258000000000002E-2</v>
      </c>
      <c r="D48" s="1" cm="1">
        <f t="array" aca="1" ref="D48" ca="1">IF(ISBLANK(INDIRECT(CONCATENATE("Input!",RSE_Setup!$B$19,ROW()+1))),"",INDIRECT(CONCATENATE("Input!",RSE_Setup!$B$19,ROW()+1)))</f>
        <v>6500</v>
      </c>
      <c r="E48" s="1" cm="1">
        <f t="array" aca="1" ref="E48" ca="1">IF(ISBLANK(INDIRECT(CONCATENATE("Input!",RSE_Setup!$B$27,ROW()+1))),"",INDIRECT(CONCATENATE("Input!",RSE_Setup!$B$27,ROW()+1)))</f>
        <v>920.67829900000004</v>
      </c>
      <c r="F48" s="1">
        <f ca="1"/>
        <v>913.73961209754896</v>
      </c>
    </row>
    <row r="49" spans="1:6" x14ac:dyDescent="0.3">
      <c r="A49" s="1" cm="1">
        <f t="array" aca="1" ref="A49" ca="1">IF(ISBLANK(INDIRECT(CONCATENATE("Input!",RSE_Setup!$B$16,ROW()+1))),"",INDIRECT(CONCATENATE("Input!",RSE_Setup!$B$16,ROW()+1)))</f>
        <v>1E-3</v>
      </c>
      <c r="B49" s="1" cm="1">
        <f t="array" aca="1" ref="B49" ca="1">IF(ISBLANK(INDIRECT(CONCATENATE("Input!",RSE_Setup!$B$17,ROW()+1))),"",INDIRECT(CONCATENATE("Input!",RSE_Setup!$B$17,ROW()+1)))</f>
        <v>5.0000000000000001E-3</v>
      </c>
      <c r="C49" s="1" cm="1">
        <f t="array" aca="1" ref="C49" ca="1">IF(ISBLANK(INDIRECT(CONCATENATE("Input!",RSE_Setup!$B$18,ROW()+1))),"",INDIRECT(CONCATENATE("Input!",RSE_Setup!$B$18,ROW()+1)))</f>
        <v>5.5556000000000001E-2</v>
      </c>
      <c r="D49" s="1" cm="1">
        <f t="array" aca="1" ref="D49" ca="1">IF(ISBLANK(INDIRECT(CONCATENATE("Input!",RSE_Setup!$B$19,ROW()+1))),"",INDIRECT(CONCATENATE("Input!",RSE_Setup!$B$19,ROW()+1)))</f>
        <v>3750</v>
      </c>
      <c r="E49" s="1" cm="1">
        <f t="array" aca="1" ref="E49" ca="1">IF(ISBLANK(INDIRECT(CONCATENATE("Input!",RSE_Setup!$B$27,ROW()+1))),"",INDIRECT(CONCATENATE("Input!",RSE_Setup!$B$27,ROW()+1)))</f>
        <v>486.37732299999999</v>
      </c>
      <c r="F49" s="1">
        <f ca="1"/>
        <v>488.17360155112192</v>
      </c>
    </row>
    <row r="50" spans="1:6" x14ac:dyDescent="0.3">
      <c r="A50" s="1" cm="1">
        <f t="array" aca="1" ref="A50" ca="1">IF(ISBLANK(INDIRECT(CONCATENATE("Input!",RSE_Setup!$B$16,ROW()+1))),"",INDIRECT(CONCATENATE("Input!",RSE_Setup!$B$16,ROW()+1)))</f>
        <v>1E-3</v>
      </c>
      <c r="B50" s="1" cm="1">
        <f t="array" aca="1" ref="B50" ca="1">IF(ISBLANK(INDIRECT(CONCATENATE("Input!",RSE_Setup!$B$17,ROW()+1))),"",INDIRECT(CONCATENATE("Input!",RSE_Setup!$B$17,ROW()+1)))</f>
        <v>5.0000000000000001E-3</v>
      </c>
      <c r="C50" s="1" cm="1">
        <f t="array" aca="1" ref="C50" ca="1">IF(ISBLANK(INDIRECT(CONCATENATE("Input!",RSE_Setup!$B$18,ROW()+1))),"",INDIRECT(CONCATENATE("Input!",RSE_Setup!$B$18,ROW()+1)))</f>
        <v>3.2258000000000002E-2</v>
      </c>
      <c r="D50" s="1" cm="1">
        <f t="array" aca="1" ref="D50" ca="1">IF(ISBLANK(INDIRECT(CONCATENATE("Input!",RSE_Setup!$B$19,ROW()+1))),"",INDIRECT(CONCATENATE("Input!",RSE_Setup!$B$19,ROW()+1)))</f>
        <v>3750</v>
      </c>
      <c r="E50" s="1" cm="1">
        <f t="array" aca="1" ref="E50" ca="1">IF(ISBLANK(INDIRECT(CONCATENATE("Input!",RSE_Setup!$B$27,ROW()+1))),"",INDIRECT(CONCATENATE("Input!",RSE_Setup!$B$27,ROW()+1)))</f>
        <v>498.42196000000001</v>
      </c>
      <c r="F50" s="1">
        <f ca="1"/>
        <v>497.60669198799633</v>
      </c>
    </row>
    <row r="51" spans="1:6" x14ac:dyDescent="0.3">
      <c r="A51" s="1" cm="1">
        <f t="array" aca="1" ref="A51" ca="1">IF(ISBLANK(INDIRECT(CONCATENATE("Input!",RSE_Setup!$B$16,ROW()+1))),"",INDIRECT(CONCATENATE("Input!",RSE_Setup!$B$16,ROW()+1)))</f>
        <v>1E-3</v>
      </c>
      <c r="B51" s="1" cm="1">
        <f t="array" aca="1" ref="B51" ca="1">IF(ISBLANK(INDIRECT(CONCATENATE("Input!",RSE_Setup!$B$17,ROW()+1))),"",INDIRECT(CONCATENATE("Input!",RSE_Setup!$B$17,ROW()+1)))</f>
        <v>5.0000000000000001E-3</v>
      </c>
      <c r="C51" s="1" cm="1">
        <f t="array" aca="1" ref="C51" ca="1">IF(ISBLANK(INDIRECT(CONCATENATE("Input!",RSE_Setup!$B$18,ROW()+1))),"",INDIRECT(CONCATENATE("Input!",RSE_Setup!$B$18,ROW()+1)))</f>
        <v>3.2258000000000002E-2</v>
      </c>
      <c r="D51" s="1" cm="1">
        <f t="array" aca="1" ref="D51" ca="1">IF(ISBLANK(INDIRECT(CONCATENATE("Input!",RSE_Setup!$B$19,ROW()+1))),"",INDIRECT(CONCATENATE("Input!",RSE_Setup!$B$19,ROW()+1)))</f>
        <v>5250</v>
      </c>
      <c r="E51" s="1" cm="1">
        <f t="array" aca="1" ref="E51" ca="1">IF(ISBLANK(INDIRECT(CONCATENATE("Input!",RSE_Setup!$B$27,ROW()+1))),"",INDIRECT(CONCATENATE("Input!",RSE_Setup!$B$27,ROW()+1)))</f>
        <v>691.33763199999999</v>
      </c>
      <c r="F51" s="1">
        <f ca="1"/>
        <v>685.08872597586901</v>
      </c>
    </row>
    <row r="52" spans="1:6" x14ac:dyDescent="0.3">
      <c r="A52" s="1" cm="1">
        <f t="array" aca="1" ref="A52" ca="1">IF(ISBLANK(INDIRECT(CONCATENATE("Input!",RSE_Setup!$B$16,ROW()+1))),"",INDIRECT(CONCATENATE("Input!",RSE_Setup!$B$16,ROW()+1)))</f>
        <v>1E-3</v>
      </c>
      <c r="B52" s="1" cm="1">
        <f t="array" aca="1" ref="B52" ca="1">IF(ISBLANK(INDIRECT(CONCATENATE("Input!",RSE_Setup!$B$17,ROW()+1))),"",INDIRECT(CONCATENATE("Input!",RSE_Setup!$B$17,ROW()+1)))</f>
        <v>5.0000000000000001E-3</v>
      </c>
      <c r="C52" s="1" cm="1">
        <f t="array" aca="1" ref="C52" ca="1">IF(ISBLANK(INDIRECT(CONCATENATE("Input!",RSE_Setup!$B$18,ROW()+1))),"",INDIRECT(CONCATENATE("Input!",RSE_Setup!$B$18,ROW()+1)))</f>
        <v>3.2258000000000002E-2</v>
      </c>
      <c r="D52" s="1" cm="1">
        <f t="array" aca="1" ref="D52" ca="1">IF(ISBLANK(INDIRECT(CONCATENATE("Input!",RSE_Setup!$B$19,ROW()+1))),"",INDIRECT(CONCATENATE("Input!",RSE_Setup!$B$19,ROW()+1)))</f>
        <v>6500</v>
      </c>
      <c r="E52" s="1" cm="1">
        <f t="array" aca="1" ref="E52" ca="1">IF(ISBLANK(INDIRECT(CONCATENATE("Input!",RSE_Setup!$B$27,ROW()+1))),"",INDIRECT(CONCATENATE("Input!",RSE_Setup!$B$27,ROW()+1)))</f>
        <v>845.61363600000004</v>
      </c>
      <c r="F52" s="1">
        <f ca="1"/>
        <v>842.380848622283</v>
      </c>
    </row>
    <row r="53" spans="1:6" x14ac:dyDescent="0.3">
      <c r="A53" s="1" cm="1">
        <f t="array" aca="1" ref="A53" ca="1">IF(ISBLANK(INDIRECT(CONCATENATE("Input!",RSE_Setup!$B$16,ROW()+1))),"",INDIRECT(CONCATENATE("Input!",RSE_Setup!$B$16,ROW()+1)))</f>
        <v>1E-3</v>
      </c>
      <c r="B53" s="1" cm="1">
        <f t="array" aca="1" ref="B53" ca="1">IF(ISBLANK(INDIRECT(CONCATENATE("Input!",RSE_Setup!$B$17,ROW()+1))),"",INDIRECT(CONCATENATE("Input!",RSE_Setup!$B$17,ROW()+1)))</f>
        <v>6.4999999999999997E-3</v>
      </c>
      <c r="C53" s="1" cm="1">
        <f t="array" aca="1" ref="C53" ca="1">IF(ISBLANK(INDIRECT(CONCATENATE("Input!",RSE_Setup!$B$18,ROW()+1))),"",INDIRECT(CONCATENATE("Input!",RSE_Setup!$B$18,ROW()+1)))</f>
        <v>5.5556000000000001E-2</v>
      </c>
      <c r="D53" s="1" cm="1">
        <f t="array" aca="1" ref="D53" ca="1">IF(ISBLANK(INDIRECT(CONCATENATE("Input!",RSE_Setup!$B$19,ROW()+1))),"",INDIRECT(CONCATENATE("Input!",RSE_Setup!$B$19,ROW()+1)))</f>
        <v>3750</v>
      </c>
      <c r="E53" s="1" cm="1">
        <f t="array" aca="1" ref="E53" ca="1">IF(ISBLANK(INDIRECT(CONCATENATE("Input!",RSE_Setup!$B$27,ROW()+1))),"",INDIRECT(CONCATENATE("Input!",RSE_Setup!$B$27,ROW()+1)))</f>
        <v>509.06670300000002</v>
      </c>
      <c r="F53" s="1">
        <f ca="1"/>
        <v>513.8285252357507</v>
      </c>
    </row>
    <row r="54" spans="1:6" x14ac:dyDescent="0.3">
      <c r="A54" s="1" cm="1">
        <f t="array" aca="1" ref="A54" ca="1">IF(ISBLANK(INDIRECT(CONCATENATE("Input!",RSE_Setup!$B$16,ROW()+1))),"",INDIRECT(CONCATENATE("Input!",RSE_Setup!$B$16,ROW()+1)))</f>
        <v>1E-3</v>
      </c>
      <c r="B54" s="1" cm="1">
        <f t="array" aca="1" ref="B54" ca="1">IF(ISBLANK(INDIRECT(CONCATENATE("Input!",RSE_Setup!$B$17,ROW()+1))),"",INDIRECT(CONCATENATE("Input!",RSE_Setup!$B$17,ROW()+1)))</f>
        <v>6.4999999999999997E-3</v>
      </c>
      <c r="C54" s="1" cm="1">
        <f t="array" aca="1" ref="C54" ca="1">IF(ISBLANK(INDIRECT(CONCATENATE("Input!",RSE_Setup!$B$18,ROW()+1))),"",INDIRECT(CONCATENATE("Input!",RSE_Setup!$B$18,ROW()+1)))</f>
        <v>3.2258000000000002E-2</v>
      </c>
      <c r="D54" s="1" cm="1">
        <f t="array" aca="1" ref="D54" ca="1">IF(ISBLANK(INDIRECT(CONCATENATE("Input!",RSE_Setup!$B$19,ROW()+1))),"",INDIRECT(CONCATENATE("Input!",RSE_Setup!$B$19,ROW()+1)))</f>
        <v>3750</v>
      </c>
      <c r="E54" s="1" cm="1">
        <f t="array" aca="1" ref="E54" ca="1">IF(ISBLANK(INDIRECT(CONCATENATE("Input!",RSE_Setup!$B$27,ROW()+1))),"",INDIRECT(CONCATENATE("Input!",RSE_Setup!$B$27,ROW()+1)))</f>
        <v>525.94369099999994</v>
      </c>
      <c r="F54" s="1">
        <f ca="1"/>
        <v>523.62053433454321</v>
      </c>
    </row>
    <row r="55" spans="1:6" x14ac:dyDescent="0.3">
      <c r="A55" s="1" cm="1">
        <f t="array" aca="1" ref="A55" ca="1">IF(ISBLANK(INDIRECT(CONCATENATE("Input!",RSE_Setup!$B$16,ROW()+1))),"",INDIRECT(CONCATENATE("Input!",RSE_Setup!$B$16,ROW()+1)))</f>
        <v>1E-3</v>
      </c>
      <c r="B55" s="1" cm="1">
        <f t="array" aca="1" ref="B55" ca="1">IF(ISBLANK(INDIRECT(CONCATENATE("Input!",RSE_Setup!$B$17,ROW()+1))),"",INDIRECT(CONCATENATE("Input!",RSE_Setup!$B$17,ROW()+1)))</f>
        <v>6.4999999999999997E-3</v>
      </c>
      <c r="C55" s="1" cm="1">
        <f t="array" aca="1" ref="C55" ca="1">IF(ISBLANK(INDIRECT(CONCATENATE("Input!",RSE_Setup!$B$18,ROW()+1))),"",INDIRECT(CONCATENATE("Input!",RSE_Setup!$B$18,ROW()+1)))</f>
        <v>3.2258000000000002E-2</v>
      </c>
      <c r="D55" s="1" cm="1">
        <f t="array" aca="1" ref="D55" ca="1">IF(ISBLANK(INDIRECT(CONCATENATE("Input!",RSE_Setup!$B$19,ROW()+1))),"",INDIRECT(CONCATENATE("Input!",RSE_Setup!$B$19,ROW()+1)))</f>
        <v>5250</v>
      </c>
      <c r="E55" s="1" cm="1">
        <f t="array" aca="1" ref="E55" ca="1">IF(ISBLANK(INDIRECT(CONCATENATE("Input!",RSE_Setup!$B$27,ROW()+1))),"",INDIRECT(CONCATENATE("Input!",RSE_Setup!$B$27,ROW()+1)))</f>
        <v>725.96999000000005</v>
      </c>
      <c r="F55" s="1">
        <f ca="1"/>
        <v>719.37301467300188</v>
      </c>
    </row>
    <row r="56" spans="1:6" x14ac:dyDescent="0.3">
      <c r="A56" s="1" cm="1">
        <f t="array" aca="1" ref="A56" ca="1">IF(ISBLANK(INDIRECT(CONCATENATE("Input!",RSE_Setup!$B$16,ROW()+1))),"",INDIRECT(CONCATENATE("Input!",RSE_Setup!$B$16,ROW()+1)))</f>
        <v>1E-3</v>
      </c>
      <c r="B56" s="1" cm="1">
        <f t="array" aca="1" ref="B56" ca="1">IF(ISBLANK(INDIRECT(CONCATENATE("Input!",RSE_Setup!$B$17,ROW()+1))),"",INDIRECT(CONCATENATE("Input!",RSE_Setup!$B$17,ROW()+1)))</f>
        <v>6.4999999999999997E-3</v>
      </c>
      <c r="C56" s="1" cm="1">
        <f t="array" aca="1" ref="C56" ca="1">IF(ISBLANK(INDIRECT(CONCATENATE("Input!",RSE_Setup!$B$18,ROW()+1))),"",INDIRECT(CONCATENATE("Input!",RSE_Setup!$B$18,ROW()+1)))</f>
        <v>3.2258000000000002E-2</v>
      </c>
      <c r="D56" s="1" cm="1">
        <f t="array" aca="1" ref="D56" ca="1">IF(ISBLANK(INDIRECT(CONCATENATE("Input!",RSE_Setup!$B$19,ROW()+1))),"",INDIRECT(CONCATENATE("Input!",RSE_Setup!$B$19,ROW()+1)))</f>
        <v>6500</v>
      </c>
      <c r="E56" s="1" cm="1">
        <f t="array" aca="1" ref="E56" ca="1">IF(ISBLANK(INDIRECT(CONCATENATE("Input!",RSE_Setup!$B$27,ROW()+1))),"",INDIRECT(CONCATENATE("Input!",RSE_Setup!$B$27,ROW()+1)))</f>
        <v>887.734151</v>
      </c>
      <c r="F56" s="1">
        <f ca="1"/>
        <v>883.55717594490409</v>
      </c>
    </row>
    <row r="57" spans="1:6" x14ac:dyDescent="0.3">
      <c r="A57" s="1" cm="1">
        <f t="array" aca="1" ref="A57" ca="1">IF(ISBLANK(INDIRECT(CONCATENATE("Input!",RSE_Setup!$B$16,ROW()+1))),"",INDIRECT(CONCATENATE("Input!",RSE_Setup!$B$16,ROW()+1)))</f>
        <v>1E-3</v>
      </c>
      <c r="B57" s="1" cm="1">
        <f t="array" aca="1" ref="B57" ca="1">IF(ISBLANK(INDIRECT(CONCATENATE("Input!",RSE_Setup!$B$17,ROW()+1))),"",INDIRECT(CONCATENATE("Input!",RSE_Setup!$B$17,ROW()+1)))</f>
        <v>8.0000000000000002E-3</v>
      </c>
      <c r="C57" s="1" cm="1">
        <f t="array" aca="1" ref="C57" ca="1">IF(ISBLANK(INDIRECT(CONCATENATE("Input!",RSE_Setup!$B$18,ROW()+1))),"",INDIRECT(CONCATENATE("Input!",RSE_Setup!$B$18,ROW()+1)))</f>
        <v>3.2258000000000002E-2</v>
      </c>
      <c r="D57" s="1" cm="1">
        <f t="array" aca="1" ref="D57" ca="1">IF(ISBLANK(INDIRECT(CONCATENATE("Input!",RSE_Setup!$B$19,ROW()+1))),"",INDIRECT(CONCATENATE("Input!",RSE_Setup!$B$19,ROW()+1)))</f>
        <v>5250</v>
      </c>
      <c r="E57" s="1" cm="1">
        <f t="array" aca="1" ref="E57" ca="1">IF(ISBLANK(INDIRECT(CONCATENATE("Input!",RSE_Setup!$B$27,ROW()+1))),"",INDIRECT(CONCATENATE("Input!",RSE_Setup!$B$27,ROW()+1)))</f>
        <v>760.79224299999998</v>
      </c>
      <c r="F57" s="1">
        <f ca="1"/>
        <v>756.18686950568588</v>
      </c>
    </row>
    <row r="58" spans="1:6" x14ac:dyDescent="0.3">
      <c r="A58" s="1" cm="1">
        <f t="array" aca="1" ref="A58" ca="1">IF(ISBLANK(INDIRECT(CONCATENATE("Input!",RSE_Setup!$B$16,ROW()+1))),"",INDIRECT(CONCATENATE("Input!",RSE_Setup!$B$16,ROW()+1)))</f>
        <v>1E-3</v>
      </c>
      <c r="B58" s="1" cm="1">
        <f t="array" aca="1" ref="B58" ca="1">IF(ISBLANK(INDIRECT(CONCATENATE("Input!",RSE_Setup!$B$17,ROW()+1))),"",INDIRECT(CONCATENATE("Input!",RSE_Setup!$B$17,ROW()+1)))</f>
        <v>8.0000000000000002E-3</v>
      </c>
      <c r="C58" s="1" cm="1">
        <f t="array" aca="1" ref="C58" ca="1">IF(ISBLANK(INDIRECT(CONCATENATE("Input!",RSE_Setup!$B$18,ROW()+1))),"",INDIRECT(CONCATENATE("Input!",RSE_Setup!$B$18,ROW()+1)))</f>
        <v>3.2258000000000002E-2</v>
      </c>
      <c r="D58" s="1" cm="1">
        <f t="array" aca="1" ref="D58" ca="1">IF(ISBLANK(INDIRECT(CONCATENATE("Input!",RSE_Setup!$B$19,ROW()+1))),"",INDIRECT(CONCATENATE("Input!",RSE_Setup!$B$19,ROW()+1)))</f>
        <v>6500</v>
      </c>
      <c r="E58" s="1" cm="1">
        <f t="array" aca="1" ref="E58" ca="1">IF(ISBLANK(INDIRECT(CONCATENATE("Input!",RSE_Setup!$B$27,ROW()+1))),"",INDIRECT(CONCATENATE("Input!",RSE_Setup!$B$27,ROW()+1)))</f>
        <v>937.93013900000005</v>
      </c>
      <c r="F58" s="1">
        <f ca="1"/>
        <v>927.26306940307643</v>
      </c>
    </row>
    <row r="59" spans="1:6" x14ac:dyDescent="0.3">
      <c r="A59" s="1" cm="1">
        <f t="array" aca="1" ref="A59" ca="1">IF(ISBLANK(INDIRECT(CONCATENATE("Input!",RSE_Setup!$B$16,ROW()+1))),"",INDIRECT(CONCATENATE("Input!",RSE_Setup!$B$16,ROW()+1)))</f>
        <v>2.9999999999999997E-4</v>
      </c>
      <c r="B59" s="1" cm="1">
        <f t="array" aca="1" ref="B59" ca="1">IF(ISBLANK(INDIRECT(CONCATENATE("Input!",RSE_Setup!$B$17,ROW()+1))),"",INDIRECT(CONCATENATE("Input!",RSE_Setup!$B$17,ROW()+1)))</f>
        <v>2E-3</v>
      </c>
      <c r="C59" s="1" cm="1">
        <f t="array" aca="1" ref="C59" ca="1">IF(ISBLANK(INDIRECT(CONCATENATE("Input!",RSE_Setup!$B$18,ROW()+1))),"",INDIRECT(CONCATENATE("Input!",RSE_Setup!$B$18,ROW()+1)))</f>
        <v>5.5556000000000001E-2</v>
      </c>
      <c r="D59" s="1" cm="1">
        <f t="array" aca="1" ref="D59" ca="1">IF(ISBLANK(INDIRECT(CONCATENATE("Input!",RSE_Setup!$B$19,ROW()+1))),"",INDIRECT(CONCATENATE("Input!",RSE_Setup!$B$19,ROW()+1)))</f>
        <v>6000</v>
      </c>
      <c r="E59" s="1" cm="1">
        <f t="array" aca="1" ref="E59" ca="1">IF(ISBLANK(INDIRECT(CONCATENATE("Input!",RSE_Setup!$B$27,ROW()+1))),"",INDIRECT(CONCATENATE("Input!",RSE_Setup!$B$27,ROW()+1)))</f>
        <v>668.71234100000004</v>
      </c>
      <c r="F59" s="1">
        <f ca="1"/>
        <v>667.99843913442794</v>
      </c>
    </row>
    <row r="60" spans="1:6" x14ac:dyDescent="0.3">
      <c r="A60" s="1" cm="1">
        <f t="array" aca="1" ref="A60" ca="1">IF(ISBLANK(INDIRECT(CONCATENATE("Input!",RSE_Setup!$B$16,ROW()+1))),"",INDIRECT(CONCATENATE("Input!",RSE_Setup!$B$16,ROW()+1)))</f>
        <v>2.9999999999999997E-4</v>
      </c>
      <c r="B60" s="1" cm="1">
        <f t="array" aca="1" ref="B60" ca="1">IF(ISBLANK(INDIRECT(CONCATENATE("Input!",RSE_Setup!$B$17,ROW()+1))),"",INDIRECT(CONCATENATE("Input!",RSE_Setup!$B$17,ROW()+1)))</f>
        <v>2E-3</v>
      </c>
      <c r="C60" s="1" cm="1">
        <f t="array" aca="1" ref="C60" ca="1">IF(ISBLANK(INDIRECT(CONCATENATE("Input!",RSE_Setup!$B$18,ROW()+1))),"",INDIRECT(CONCATENATE("Input!",RSE_Setup!$B$18,ROW()+1)))</f>
        <v>3.2258000000000002E-2</v>
      </c>
      <c r="D60" s="1" cm="1">
        <f t="array" aca="1" ref="D60" ca="1">IF(ISBLANK(INDIRECT(CONCATENATE("Input!",RSE_Setup!$B$19,ROW()+1))),"",INDIRECT(CONCATENATE("Input!",RSE_Setup!$B$19,ROW()+1)))</f>
        <v>6000</v>
      </c>
      <c r="E60" s="1" cm="1">
        <f t="array" aca="1" ref="E60" ca="1">IF(ISBLANK(INDIRECT(CONCATENATE("Input!",RSE_Setup!$B$27,ROW()+1))),"",INDIRECT(CONCATENATE("Input!",RSE_Setup!$B$27,ROW()+1)))</f>
        <v>682.64438399999995</v>
      </c>
      <c r="F60" s="1">
        <f ca="1"/>
        <v>681.25012461421386</v>
      </c>
    </row>
    <row r="61" spans="1:6" x14ac:dyDescent="0.3">
      <c r="A61" s="1" cm="1">
        <f t="array" aca="1" ref="A61" ca="1">IF(ISBLANK(INDIRECT(CONCATENATE("Input!",RSE_Setup!$B$16,ROW()+1))),"",INDIRECT(CONCATENATE("Input!",RSE_Setup!$B$16,ROW()+1)))</f>
        <v>2.9999999999999997E-4</v>
      </c>
      <c r="B61" s="1" cm="1">
        <f t="array" aca="1" ref="B61" ca="1">IF(ISBLANK(INDIRECT(CONCATENATE("Input!",RSE_Setup!$B$17,ROW()+1))),"",INDIRECT(CONCATENATE("Input!",RSE_Setup!$B$17,ROW()+1)))</f>
        <v>2E-3</v>
      </c>
      <c r="C61" s="1" cm="1">
        <f t="array" aca="1" ref="C61" ca="1">IF(ISBLANK(INDIRECT(CONCATENATE("Input!",RSE_Setup!$B$18,ROW()+1))),"",INDIRECT(CONCATENATE("Input!",RSE_Setup!$B$18,ROW()+1)))</f>
        <v>3.2258000000000002E-2</v>
      </c>
      <c r="D61" s="1" cm="1">
        <f t="array" aca="1" ref="D61" ca="1">IF(ISBLANK(INDIRECT(CONCATENATE("Input!",RSE_Setup!$B$19,ROW()+1))),"",INDIRECT(CONCATENATE("Input!",RSE_Setup!$B$19,ROW()+1)))</f>
        <v>8000</v>
      </c>
      <c r="E61" s="1" cm="1">
        <f t="array" aca="1" ref="E61" ca="1">IF(ISBLANK(INDIRECT(CONCATENATE("Input!",RSE_Setup!$B$27,ROW()+1))),"",INDIRECT(CONCATENATE("Input!",RSE_Setup!$B$27,ROW()+1)))</f>
        <v>895.14082800000006</v>
      </c>
      <c r="F61" s="1">
        <f ca="1"/>
        <v>906.03702812059385</v>
      </c>
    </row>
    <row r="62" spans="1:6" x14ac:dyDescent="0.3">
      <c r="A62" s="1" cm="1">
        <f t="array" aca="1" ref="A62" ca="1">IF(ISBLANK(INDIRECT(CONCATENATE("Input!",RSE_Setup!$B$16,ROW()+1))),"",INDIRECT(CONCATENATE("Input!",RSE_Setup!$B$16,ROW()+1)))</f>
        <v>2.9999999999999997E-4</v>
      </c>
      <c r="B62" s="1" cm="1">
        <f t="array" aca="1" ref="B62" ca="1">IF(ISBLANK(INDIRECT(CONCATENATE("Input!",RSE_Setup!$B$17,ROW()+1))),"",INDIRECT(CONCATENATE("Input!",RSE_Setup!$B$17,ROW()+1)))</f>
        <v>2E-3</v>
      </c>
      <c r="C62" s="1" cm="1">
        <f t="array" aca="1" ref="C62" ca="1">IF(ISBLANK(INDIRECT(CONCATENATE("Input!",RSE_Setup!$B$18,ROW()+1))),"",INDIRECT(CONCATENATE("Input!",RSE_Setup!$B$18,ROW()+1)))</f>
        <v>3.2258000000000002E-2</v>
      </c>
      <c r="D62" s="1" cm="1">
        <f t="array" aca="1" ref="D62" ca="1">IF(ISBLANK(INDIRECT(CONCATENATE("Input!",RSE_Setup!$B$19,ROW()+1))),"",INDIRECT(CONCATENATE("Input!",RSE_Setup!$B$19,ROW()+1)))</f>
        <v>10000</v>
      </c>
      <c r="E62" s="1" cm="1">
        <f t="array" aca="1" ref="E62" ca="1">IF(ISBLANK(INDIRECT(CONCATENATE("Input!",RSE_Setup!$B$27,ROW()+1))),"",INDIRECT(CONCATENATE("Input!",RSE_Setup!$B$27,ROW()+1)))</f>
        <v>1119.3951420000001</v>
      </c>
      <c r="F62" s="1">
        <f ca="1"/>
        <v>1133.2840784154816</v>
      </c>
    </row>
    <row r="63" spans="1:6" x14ac:dyDescent="0.3">
      <c r="A63" s="1" cm="1">
        <f t="array" aca="1" ref="A63" ca="1">IF(ISBLANK(INDIRECT(CONCATENATE("Input!",RSE_Setup!$B$16,ROW()+1))),"",INDIRECT(CONCATENATE("Input!",RSE_Setup!$B$16,ROW()+1)))</f>
        <v>2.9999999999999997E-4</v>
      </c>
      <c r="B63" s="1" cm="1">
        <f t="array" aca="1" ref="B63" ca="1">IF(ISBLANK(INDIRECT(CONCATENATE("Input!",RSE_Setup!$B$17,ROW()+1))),"",INDIRECT(CONCATENATE("Input!",RSE_Setup!$B$17,ROW()+1)))</f>
        <v>3.0000000000000001E-3</v>
      </c>
      <c r="C63" s="1" cm="1">
        <f t="array" aca="1" ref="C63" ca="1">IF(ISBLANK(INDIRECT(CONCATENATE("Input!",RSE_Setup!$B$18,ROW()+1))),"",INDIRECT(CONCATENATE("Input!",RSE_Setup!$B$18,ROW()+1)))</f>
        <v>5.5556000000000001E-2</v>
      </c>
      <c r="D63" s="1" cm="1">
        <f t="array" aca="1" ref="D63" ca="1">IF(ISBLANK(INDIRECT(CONCATENATE("Input!",RSE_Setup!$B$19,ROW()+1))),"",INDIRECT(CONCATENATE("Input!",RSE_Setup!$B$19,ROW()+1)))</f>
        <v>6000</v>
      </c>
      <c r="E63" s="1" cm="1">
        <f t="array" aca="1" ref="E63" ca="1">IF(ISBLANK(INDIRECT(CONCATENATE("Input!",RSE_Setup!$B$27,ROW()+1))),"",INDIRECT(CONCATENATE("Input!",RSE_Setup!$B$27,ROW()+1)))</f>
        <v>691.38687600000003</v>
      </c>
      <c r="F63" s="1">
        <f ca="1"/>
        <v>688.43463085231258</v>
      </c>
    </row>
    <row r="64" spans="1:6" x14ac:dyDescent="0.3">
      <c r="A64" s="1" cm="1">
        <f t="array" aca="1" ref="A64" ca="1">IF(ISBLANK(INDIRECT(CONCATENATE("Input!",RSE_Setup!$B$16,ROW()+1))),"",INDIRECT(CONCATENATE("Input!",RSE_Setup!$B$16,ROW()+1)))</f>
        <v>2.9999999999999997E-4</v>
      </c>
      <c r="B64" s="1" cm="1">
        <f t="array" aca="1" ref="B64" ca="1">IF(ISBLANK(INDIRECT(CONCATENATE("Input!",RSE_Setup!$B$17,ROW()+1))),"",INDIRECT(CONCATENATE("Input!",RSE_Setup!$B$17,ROW()+1)))</f>
        <v>3.0000000000000001E-3</v>
      </c>
      <c r="C64" s="1" cm="1">
        <f t="array" aca="1" ref="C64" ca="1">IF(ISBLANK(INDIRECT(CONCATENATE("Input!",RSE_Setup!$B$18,ROW()+1))),"",INDIRECT(CONCATENATE("Input!",RSE_Setup!$B$18,ROW()+1)))</f>
        <v>3.2258000000000002E-2</v>
      </c>
      <c r="D64" s="1" cm="1">
        <f t="array" aca="1" ref="D64" ca="1">IF(ISBLANK(INDIRECT(CONCATENATE("Input!",RSE_Setup!$B$19,ROW()+1))),"",INDIRECT(CONCATENATE("Input!",RSE_Setup!$B$19,ROW()+1)))</f>
        <v>6000</v>
      </c>
      <c r="E64" s="1" cm="1">
        <f t="array" aca="1" ref="E64" ca="1">IF(ISBLANK(INDIRECT(CONCATENATE("Input!",RSE_Setup!$B$27,ROW()+1))),"",INDIRECT(CONCATENATE("Input!",RSE_Setup!$B$27,ROW()+1)))</f>
        <v>706.83758699999998</v>
      </c>
      <c r="F64" s="1">
        <f ca="1"/>
        <v>701.92559544004382</v>
      </c>
    </row>
    <row r="65" spans="1:6" x14ac:dyDescent="0.3">
      <c r="A65" s="1" cm="1">
        <f t="array" aca="1" ref="A65" ca="1">IF(ISBLANK(INDIRECT(CONCATENATE("Input!",RSE_Setup!$B$16,ROW()+1))),"",INDIRECT(CONCATENATE("Input!",RSE_Setup!$B$16,ROW()+1)))</f>
        <v>2.9999999999999997E-4</v>
      </c>
      <c r="B65" s="1" cm="1">
        <f t="array" aca="1" ref="B65" ca="1">IF(ISBLANK(INDIRECT(CONCATENATE("Input!",RSE_Setup!$B$17,ROW()+1))),"",INDIRECT(CONCATENATE("Input!",RSE_Setup!$B$17,ROW()+1)))</f>
        <v>3.0000000000000001E-3</v>
      </c>
      <c r="C65" s="1" cm="1">
        <f t="array" aca="1" ref="C65" ca="1">IF(ISBLANK(INDIRECT(CONCATENATE("Input!",RSE_Setup!$B$18,ROW()+1))),"",INDIRECT(CONCATENATE("Input!",RSE_Setup!$B$18,ROW()+1)))</f>
        <v>3.2258000000000002E-2</v>
      </c>
      <c r="D65" s="1" cm="1">
        <f t="array" aca="1" ref="D65" ca="1">IF(ISBLANK(INDIRECT(CONCATENATE("Input!",RSE_Setup!$B$19,ROW()+1))),"",INDIRECT(CONCATENATE("Input!",RSE_Setup!$B$19,ROW()+1)))</f>
        <v>8000</v>
      </c>
      <c r="E65" s="1" cm="1">
        <f t="array" aca="1" ref="E65" ca="1">IF(ISBLANK(INDIRECT(CONCATENATE("Input!",RSE_Setup!$B$27,ROW()+1))),"",INDIRECT(CONCATENATE("Input!",RSE_Setup!$B$27,ROW()+1)))</f>
        <v>934.54052899999999</v>
      </c>
      <c r="F65" s="1">
        <f ca="1"/>
        <v>934.06400681361129</v>
      </c>
    </row>
    <row r="66" spans="1:6" x14ac:dyDescent="0.3">
      <c r="A66" s="1" cm="1">
        <f t="array" aca="1" ref="A66" ca="1">IF(ISBLANK(INDIRECT(CONCATENATE("Input!",RSE_Setup!$B$16,ROW()+1))),"",INDIRECT(CONCATENATE("Input!",RSE_Setup!$B$16,ROW()+1)))</f>
        <v>2.9999999999999997E-4</v>
      </c>
      <c r="B66" s="1" cm="1">
        <f t="array" aca="1" ref="B66" ca="1">IF(ISBLANK(INDIRECT(CONCATENATE("Input!",RSE_Setup!$B$17,ROW()+1))),"",INDIRECT(CONCATENATE("Input!",RSE_Setup!$B$17,ROW()+1)))</f>
        <v>3.0000000000000001E-3</v>
      </c>
      <c r="C66" s="1" cm="1">
        <f t="array" aca="1" ref="C66" ca="1">IF(ISBLANK(INDIRECT(CONCATENATE("Input!",RSE_Setup!$B$18,ROW()+1))),"",INDIRECT(CONCATENATE("Input!",RSE_Setup!$B$18,ROW()+1)))</f>
        <v>3.2258000000000002E-2</v>
      </c>
      <c r="D66" s="1" cm="1">
        <f t="array" aca="1" ref="D66" ca="1">IF(ISBLANK(INDIRECT(CONCATENATE("Input!",RSE_Setup!$B$19,ROW()+1))),"",INDIRECT(CONCATENATE("Input!",RSE_Setup!$B$19,ROW()+1)))</f>
        <v>10000</v>
      </c>
      <c r="E66" s="1" cm="1">
        <f t="array" aca="1" ref="E66" ca="1">IF(ISBLANK(INDIRECT(CONCATENATE("Input!",RSE_Setup!$B$27,ROW()+1))),"",INDIRECT(CONCATENATE("Input!",RSE_Setup!$B$27,ROW()+1)))</f>
        <v>1158.066474</v>
      </c>
      <c r="F66" s="1">
        <f ca="1"/>
        <v>1168.6625649756866</v>
      </c>
    </row>
    <row r="67" spans="1:6" x14ac:dyDescent="0.3">
      <c r="A67" s="1" cm="1">
        <f t="array" aca="1" ref="A67" ca="1">IF(ISBLANK(INDIRECT(CONCATENATE("Input!",RSE_Setup!$B$16,ROW()+1))),"",INDIRECT(CONCATENATE("Input!",RSE_Setup!$B$16,ROW()+1)))</f>
        <v>2.9999999999999997E-4</v>
      </c>
      <c r="B67" s="1" cm="1">
        <f t="array" aca="1" ref="B67" ca="1">IF(ISBLANK(INDIRECT(CONCATENATE("Input!",RSE_Setup!$B$17,ROW()+1))),"",INDIRECT(CONCATENATE("Input!",RSE_Setup!$B$17,ROW()+1)))</f>
        <v>4.0000000000000001E-3</v>
      </c>
      <c r="C67" s="1" cm="1">
        <f t="array" aca="1" ref="C67" ca="1">IF(ISBLANK(INDIRECT(CONCATENATE("Input!",RSE_Setup!$B$18,ROW()+1))),"",INDIRECT(CONCATENATE("Input!",RSE_Setup!$B$18,ROW()+1)))</f>
        <v>5.5556000000000001E-2</v>
      </c>
      <c r="D67" s="1" cm="1">
        <f t="array" aca="1" ref="D67" ca="1">IF(ISBLANK(INDIRECT(CONCATENATE("Input!",RSE_Setup!$B$19,ROW()+1))),"",INDIRECT(CONCATENATE("Input!",RSE_Setup!$B$19,ROW()+1)))</f>
        <v>6000</v>
      </c>
      <c r="E67" s="1" cm="1">
        <f t="array" aca="1" ref="E67" ca="1">IF(ISBLANK(INDIRECT(CONCATENATE("Input!",RSE_Setup!$B$27,ROW()+1))),"",INDIRECT(CONCATENATE("Input!",RSE_Setup!$B$27,ROW()+1)))</f>
        <v>680.94391199999995</v>
      </c>
      <c r="F67" s="1">
        <f ca="1"/>
        <v>709.99507418599785</v>
      </c>
    </row>
    <row r="68" spans="1:6" x14ac:dyDescent="0.3">
      <c r="A68" s="1" cm="1">
        <f t="array" aca="1" ref="A68" ca="1">IF(ISBLANK(INDIRECT(CONCATENATE("Input!",RSE_Setup!$B$16,ROW()+1))),"",INDIRECT(CONCATENATE("Input!",RSE_Setup!$B$16,ROW()+1)))</f>
        <v>2.9999999999999997E-4</v>
      </c>
      <c r="B68" s="1" cm="1">
        <f t="array" aca="1" ref="B68" ca="1">IF(ISBLANK(INDIRECT(CONCATENATE("Input!",RSE_Setup!$B$17,ROW()+1))),"",INDIRECT(CONCATENATE("Input!",RSE_Setup!$B$17,ROW()+1)))</f>
        <v>4.0000000000000001E-3</v>
      </c>
      <c r="C68" s="1" cm="1">
        <f t="array" aca="1" ref="C68" ca="1">IF(ISBLANK(INDIRECT(CONCATENATE("Input!",RSE_Setup!$B$18,ROW()+1))),"",INDIRECT(CONCATENATE("Input!",RSE_Setup!$B$18,ROW()+1)))</f>
        <v>3.2258000000000002E-2</v>
      </c>
      <c r="D68" s="1" cm="1">
        <f t="array" aca="1" ref="D68" ca="1">IF(ISBLANK(INDIRECT(CONCATENATE("Input!",RSE_Setup!$B$19,ROW()+1))),"",INDIRECT(CONCATENATE("Input!",RSE_Setup!$B$19,ROW()+1)))</f>
        <v>6000</v>
      </c>
      <c r="E68" s="1" cm="1">
        <f t="array" aca="1" ref="E68" ca="1">IF(ISBLANK(INDIRECT(CONCATENATE("Input!",RSE_Setup!$B$27,ROW()+1))),"",INDIRECT(CONCATENATE("Input!",RSE_Setup!$B$27,ROW()+1)))</f>
        <v>731.41082400000005</v>
      </c>
      <c r="F68" s="1">
        <f ca="1"/>
        <v>723.72531788167453</v>
      </c>
    </row>
    <row r="69" spans="1:6" x14ac:dyDescent="0.3">
      <c r="A69" s="1" cm="1">
        <f t="array" aca="1" ref="A69" ca="1">IF(ISBLANK(INDIRECT(CONCATENATE("Input!",RSE_Setup!$B$16,ROW()+1))),"",INDIRECT(CONCATENATE("Input!",RSE_Setup!$B$16,ROW()+1)))</f>
        <v>2.9999999999999997E-4</v>
      </c>
      <c r="B69" s="1" cm="1">
        <f t="array" aca="1" ref="B69" ca="1">IF(ISBLANK(INDIRECT(CONCATENATE("Input!",RSE_Setup!$B$17,ROW()+1))),"",INDIRECT(CONCATENATE("Input!",RSE_Setup!$B$17,ROW()+1)))</f>
        <v>4.0000000000000001E-3</v>
      </c>
      <c r="C69" s="1" cm="1">
        <f t="array" aca="1" ref="C69" ca="1">IF(ISBLANK(INDIRECT(CONCATENATE("Input!",RSE_Setup!$B$18,ROW()+1))),"",INDIRECT(CONCATENATE("Input!",RSE_Setup!$B$18,ROW()+1)))</f>
        <v>3.2258000000000002E-2</v>
      </c>
      <c r="D69" s="1" cm="1">
        <f t="array" aca="1" ref="D69" ca="1">IF(ISBLANK(INDIRECT(CONCATENATE("Input!",RSE_Setup!$B$19,ROW()+1))),"",INDIRECT(CONCATENATE("Input!",RSE_Setup!$B$19,ROW()+1)))</f>
        <v>8000</v>
      </c>
      <c r="E69" s="1" cm="1">
        <f t="array" aca="1" ref="E69" ca="1">IF(ISBLANK(INDIRECT(CONCATENATE("Input!",RSE_Setup!$B$27,ROW()+1))),"",INDIRECT(CONCATENATE("Input!",RSE_Setup!$B$27,ROW()+1)))</f>
        <v>965.07817699999998</v>
      </c>
      <c r="F69" s="1">
        <f ca="1"/>
        <v>963.21523712242936</v>
      </c>
    </row>
    <row r="70" spans="1:6" x14ac:dyDescent="0.3">
      <c r="A70" s="1" cm="1">
        <f t="array" aca="1" ref="A70" ca="1">IF(ISBLANK(INDIRECT(CONCATENATE("Input!",RSE_Setup!$B$16,ROW()+1))),"",INDIRECT(CONCATENATE("Input!",RSE_Setup!$B$16,ROW()+1)))</f>
        <v>2.9999999999999997E-4</v>
      </c>
      <c r="B70" s="1" cm="1">
        <f t="array" aca="1" ref="B70" ca="1">IF(ISBLANK(INDIRECT(CONCATENATE("Input!",RSE_Setup!$B$17,ROW()+1))),"",INDIRECT(CONCATENATE("Input!",RSE_Setup!$B$17,ROW()+1)))</f>
        <v>4.0000000000000001E-3</v>
      </c>
      <c r="C70" s="1" cm="1">
        <f t="array" aca="1" ref="C70" ca="1">IF(ISBLANK(INDIRECT(CONCATENATE("Input!",RSE_Setup!$B$18,ROW()+1))),"",INDIRECT(CONCATENATE("Input!",RSE_Setup!$B$18,ROW()+1)))</f>
        <v>3.2258000000000002E-2</v>
      </c>
      <c r="D70" s="1" cm="1">
        <f t="array" aca="1" ref="D70" ca="1">IF(ISBLANK(INDIRECT(CONCATENATE("Input!",RSE_Setup!$B$19,ROW()+1))),"",INDIRECT(CONCATENATE("Input!",RSE_Setup!$B$19,ROW()+1)))</f>
        <v>10000</v>
      </c>
      <c r="E70" s="1" cm="1">
        <f t="array" aca="1" ref="E70" ca="1">IF(ISBLANK(INDIRECT(CONCATENATE("Input!",RSE_Setup!$B$27,ROW()+1))),"",INDIRECT(CONCATENATE("Input!",RSE_Setup!$B$27,ROW()+1)))</f>
        <v>1197.2534310000001</v>
      </c>
      <c r="F70" s="1">
        <f ca="1"/>
        <v>1205.1653031516919</v>
      </c>
    </row>
    <row r="71" spans="1:6" x14ac:dyDescent="0.3">
      <c r="A71" s="1" cm="1">
        <f t="array" aca="1" ref="A71" ca="1">IF(ISBLANK(INDIRECT(CONCATENATE("Input!",RSE_Setup!$B$16,ROW()+1))),"",INDIRECT(CONCATENATE("Input!",RSE_Setup!$B$16,ROW()+1)))</f>
        <v>5.0000000000000001E-4</v>
      </c>
      <c r="B71" s="1" cm="1">
        <f t="array" aca="1" ref="B71" ca="1">IF(ISBLANK(INDIRECT(CONCATENATE("Input!",RSE_Setup!$B$17,ROW()+1))),"",INDIRECT(CONCATENATE("Input!",RSE_Setup!$B$17,ROW()+1)))</f>
        <v>3.0000000000000001E-3</v>
      </c>
      <c r="C71" s="1" cm="1">
        <f t="array" aca="1" ref="C71" ca="1">IF(ISBLANK(INDIRECT(CONCATENATE("Input!",RSE_Setup!$B$18,ROW()+1))),"",INDIRECT(CONCATENATE("Input!",RSE_Setup!$B$18,ROW()+1)))</f>
        <v>5.5556000000000001E-2</v>
      </c>
      <c r="D71" s="1" cm="1">
        <f t="array" aca="1" ref="D71" ca="1">IF(ISBLANK(INDIRECT(CONCATENATE("Input!",RSE_Setup!$B$19,ROW()+1))),"",INDIRECT(CONCATENATE("Input!",RSE_Setup!$B$19,ROW()+1)))</f>
        <v>3375</v>
      </c>
      <c r="E71" s="1" cm="1">
        <f t="array" aca="1" ref="E71" ca="1">IF(ISBLANK(INDIRECT(CONCATENATE("Input!",RSE_Setup!$B$27,ROW()+1))),"",INDIRECT(CONCATENATE("Input!",RSE_Setup!$B$27,ROW()+1)))</f>
        <v>409.947292</v>
      </c>
      <c r="F71" s="1">
        <f ca="1"/>
        <v>401.20146756873703</v>
      </c>
    </row>
    <row r="72" spans="1:6" x14ac:dyDescent="0.3">
      <c r="A72" s="1" cm="1">
        <f t="array" aca="1" ref="A72" ca="1">IF(ISBLANK(INDIRECT(CONCATENATE("Input!",RSE_Setup!$B$16,ROW()+1))),"",INDIRECT(CONCATENATE("Input!",RSE_Setup!$B$16,ROW()+1)))</f>
        <v>5.0000000000000001E-4</v>
      </c>
      <c r="B72" s="1" cm="1">
        <f t="array" aca="1" ref="B72" ca="1">IF(ISBLANK(INDIRECT(CONCATENATE("Input!",RSE_Setup!$B$17,ROW()+1))),"",INDIRECT(CONCATENATE("Input!",RSE_Setup!$B$17,ROW()+1)))</f>
        <v>3.0000000000000001E-3</v>
      </c>
      <c r="C72" s="1" cm="1">
        <f t="array" aca="1" ref="C72" ca="1">IF(ISBLANK(INDIRECT(CONCATENATE("Input!",RSE_Setup!$B$18,ROW()+1))),"",INDIRECT(CONCATENATE("Input!",RSE_Setup!$B$18,ROW()+1)))</f>
        <v>5.5556000000000001E-2</v>
      </c>
      <c r="D72" s="1" cm="1">
        <f t="array" aca="1" ref="D72" ca="1">IF(ISBLANK(INDIRECT(CONCATENATE("Input!",RSE_Setup!$B$19,ROW()+1))),"",INDIRECT(CONCATENATE("Input!",RSE_Setup!$B$19,ROW()+1)))</f>
        <v>4500</v>
      </c>
      <c r="E72" s="1" cm="1">
        <f t="array" aca="1" ref="E72" ca="1">IF(ISBLANK(INDIRECT(CONCATENATE("Input!",RSE_Setup!$B$27,ROW()+1))),"",INDIRECT(CONCATENATE("Input!",RSE_Setup!$B$27,ROW()+1)))</f>
        <v>536.01168800000005</v>
      </c>
      <c r="F72" s="1">
        <f ca="1"/>
        <v>527.21710286165614</v>
      </c>
    </row>
    <row r="73" spans="1:6" x14ac:dyDescent="0.3">
      <c r="A73" s="1" cm="1">
        <f t="array" aca="1" ref="A73" ca="1">IF(ISBLANK(INDIRECT(CONCATENATE("Input!",RSE_Setup!$B$16,ROW()+1))),"",INDIRECT(CONCATENATE("Input!",RSE_Setup!$B$16,ROW()+1)))</f>
        <v>5.0000000000000001E-4</v>
      </c>
      <c r="B73" s="1" cm="1">
        <f t="array" aca="1" ref="B73" ca="1">IF(ISBLANK(INDIRECT(CONCATENATE("Input!",RSE_Setup!$B$17,ROW()+1))),"",INDIRECT(CONCATENATE("Input!",RSE_Setup!$B$17,ROW()+1)))</f>
        <v>3.0000000000000001E-3</v>
      </c>
      <c r="C73" s="1" cm="1">
        <f t="array" aca="1" ref="C73" ca="1">IF(ISBLANK(INDIRECT(CONCATENATE("Input!",RSE_Setup!$B$18,ROW()+1))),"",INDIRECT(CONCATENATE("Input!",RSE_Setup!$B$18,ROW()+1)))</f>
        <v>5.5556000000000001E-2</v>
      </c>
      <c r="D73" s="1" cm="1">
        <f t="array" aca="1" ref="D73" ca="1">IF(ISBLANK(INDIRECT(CONCATENATE("Input!",RSE_Setup!$B$19,ROW()+1))),"",INDIRECT(CONCATENATE("Input!",RSE_Setup!$B$19,ROW()+1)))</f>
        <v>6000</v>
      </c>
      <c r="E73" s="1" cm="1">
        <f t="array" aca="1" ref="E73" ca="1">IF(ISBLANK(INDIRECT(CONCATENATE("Input!",RSE_Setup!$B$27,ROW()+1))),"",INDIRECT(CONCATENATE("Input!",RSE_Setup!$B$27,ROW()+1)))</f>
        <v>669.72361999999998</v>
      </c>
      <c r="F73" s="1">
        <f ca="1"/>
        <v>696.44880341635042</v>
      </c>
    </row>
    <row r="74" spans="1:6" x14ac:dyDescent="0.3">
      <c r="A74" s="1" cm="1">
        <f t="array" aca="1" ref="A74" ca="1">IF(ISBLANK(INDIRECT(CONCATENATE("Input!",RSE_Setup!$B$16,ROW()+1))),"",INDIRECT(CONCATENATE("Input!",RSE_Setup!$B$16,ROW()+1)))</f>
        <v>5.0000000000000001E-4</v>
      </c>
      <c r="B74" s="1" cm="1">
        <f t="array" aca="1" ref="B74" ca="1">IF(ISBLANK(INDIRECT(CONCATENATE("Input!",RSE_Setup!$B$17,ROW()+1))),"",INDIRECT(CONCATENATE("Input!",RSE_Setup!$B$17,ROW()+1)))</f>
        <v>3.0000000000000001E-3</v>
      </c>
      <c r="C74" s="1" cm="1">
        <f t="array" aca="1" ref="C74" ca="1">IF(ISBLANK(INDIRECT(CONCATENATE("Input!",RSE_Setup!$B$18,ROW()+1))),"",INDIRECT(CONCATENATE("Input!",RSE_Setup!$B$18,ROW()+1)))</f>
        <v>3.2258000000000002E-2</v>
      </c>
      <c r="D74" s="1" cm="1">
        <f t="array" aca="1" ref="D74" ca="1">IF(ISBLANK(INDIRECT(CONCATENATE("Input!",RSE_Setup!$B$19,ROW()+1))),"",INDIRECT(CONCATENATE("Input!",RSE_Setup!$B$19,ROW()+1)))</f>
        <v>6000</v>
      </c>
      <c r="E74" s="1" cm="1">
        <f t="array" aca="1" ref="E74" ca="1">IF(ISBLANK(INDIRECT(CONCATENATE("Input!",RSE_Setup!$B$27,ROW()+1))),"",INDIRECT(CONCATENATE("Input!",RSE_Setup!$B$27,ROW()+1)))</f>
        <v>717.67640700000004</v>
      </c>
      <c r="F74" s="1">
        <f ca="1"/>
        <v>710.61006237241588</v>
      </c>
    </row>
    <row r="75" spans="1:6" x14ac:dyDescent="0.3">
      <c r="A75" s="1" cm="1">
        <f t="array" aca="1" ref="A75" ca="1">IF(ISBLANK(INDIRECT(CONCATENATE("Input!",RSE_Setup!$B$16,ROW()+1))),"",INDIRECT(CONCATENATE("Input!",RSE_Setup!$B$16,ROW()+1)))</f>
        <v>5.0000000000000001E-4</v>
      </c>
      <c r="B75" s="1" cm="1">
        <f t="array" aca="1" ref="B75" ca="1">IF(ISBLANK(INDIRECT(CONCATENATE("Input!",RSE_Setup!$B$17,ROW()+1))),"",INDIRECT(CONCATENATE("Input!",RSE_Setup!$B$17,ROW()+1)))</f>
        <v>3.0000000000000001E-3</v>
      </c>
      <c r="C75" s="1" cm="1">
        <f t="array" aca="1" ref="C75" ca="1">IF(ISBLANK(INDIRECT(CONCATENATE("Input!",RSE_Setup!$B$18,ROW()+1))),"",INDIRECT(CONCATENATE("Input!",RSE_Setup!$B$18,ROW()+1)))</f>
        <v>3.2258000000000002E-2</v>
      </c>
      <c r="D75" s="1" cm="1">
        <f t="array" aca="1" ref="D75" ca="1">IF(ISBLANK(INDIRECT(CONCATENATE("Input!",RSE_Setup!$B$19,ROW()+1))),"",INDIRECT(CONCATENATE("Input!",RSE_Setup!$B$19,ROW()+1)))</f>
        <v>8000</v>
      </c>
      <c r="E75" s="1" cm="1">
        <f t="array" aca="1" ref="E75" ca="1">IF(ISBLANK(INDIRECT(CONCATENATE("Input!",RSE_Setup!$B$27,ROW()+1))),"",INDIRECT(CONCATENATE("Input!",RSE_Setup!$B$27,ROW()+1)))</f>
        <v>949.08524799999998</v>
      </c>
      <c r="F75" s="1">
        <f ca="1"/>
        <v>944.52270280165646</v>
      </c>
    </row>
    <row r="76" spans="1:6" x14ac:dyDescent="0.3">
      <c r="A76" s="1" cm="1">
        <f t="array" aca="1" ref="A76" ca="1">IF(ISBLANK(INDIRECT(CONCATENATE("Input!",RSE_Setup!$B$16,ROW()+1))),"",INDIRECT(CONCATENATE("Input!",RSE_Setup!$B$16,ROW()+1)))</f>
        <v>5.0000000000000001E-4</v>
      </c>
      <c r="B76" s="1" cm="1">
        <f t="array" aca="1" ref="B76" ca="1">IF(ISBLANK(INDIRECT(CONCATENATE("Input!",RSE_Setup!$B$17,ROW()+1))),"",INDIRECT(CONCATENATE("Input!",RSE_Setup!$B$17,ROW()+1)))</f>
        <v>3.0000000000000001E-3</v>
      </c>
      <c r="C76" s="1" cm="1">
        <f t="array" aca="1" ref="C76" ca="1">IF(ISBLANK(INDIRECT(CONCATENATE("Input!",RSE_Setup!$B$18,ROW()+1))),"",INDIRECT(CONCATENATE("Input!",RSE_Setup!$B$18,ROW()+1)))</f>
        <v>3.2258000000000002E-2</v>
      </c>
      <c r="D76" s="1" cm="1">
        <f t="array" aca="1" ref="D76" ca="1">IF(ISBLANK(INDIRECT(CONCATENATE("Input!",RSE_Setup!$B$19,ROW()+1))),"",INDIRECT(CONCATENATE("Input!",RSE_Setup!$B$19,ROW()+1)))</f>
        <v>10000</v>
      </c>
      <c r="E76" s="1" cm="1">
        <f t="array" aca="1" ref="E76" ca="1">IF(ISBLANK(INDIRECT(CONCATENATE("Input!",RSE_Setup!$B$27,ROW()+1))),"",INDIRECT(CONCATENATE("Input!",RSE_Setup!$B$27,ROW()+1)))</f>
        <v>1177.001814</v>
      </c>
      <c r="F76" s="1">
        <f ca="1"/>
        <v>1180.8954900194046</v>
      </c>
    </row>
    <row r="77" spans="1:6" x14ac:dyDescent="0.3">
      <c r="A77" s="1" cm="1">
        <f t="array" aca="1" ref="A77" ca="1">IF(ISBLANK(INDIRECT(CONCATENATE("Input!",RSE_Setup!$B$16,ROW()+1))),"",INDIRECT(CONCATENATE("Input!",RSE_Setup!$B$16,ROW()+1)))</f>
        <v>5.0000000000000001E-4</v>
      </c>
      <c r="B77" s="1" cm="1">
        <f t="array" aca="1" ref="B77" ca="1">IF(ISBLANK(INDIRECT(CONCATENATE("Input!",RSE_Setup!$B$17,ROW()+1))),"",INDIRECT(CONCATENATE("Input!",RSE_Setup!$B$17,ROW()+1)))</f>
        <v>4.7499999999999999E-3</v>
      </c>
      <c r="C77" s="1" cm="1">
        <f t="array" aca="1" ref="C77" ca="1">IF(ISBLANK(INDIRECT(CONCATENATE("Input!",RSE_Setup!$B$18,ROW()+1))),"",INDIRECT(CONCATENATE("Input!",RSE_Setup!$B$18,ROW()+1)))</f>
        <v>5.5556000000000001E-2</v>
      </c>
      <c r="D77" s="1" cm="1">
        <f t="array" aca="1" ref="D77" ca="1">IF(ISBLANK(INDIRECT(CONCATENATE("Input!",RSE_Setup!$B$19,ROW()+1))),"",INDIRECT(CONCATENATE("Input!",RSE_Setup!$B$19,ROW()+1)))</f>
        <v>3375</v>
      </c>
      <c r="E77" s="1" cm="1">
        <f t="array" aca="1" ref="E77" ca="1">IF(ISBLANK(INDIRECT(CONCATENATE("Input!",RSE_Setup!$B$27,ROW()+1))),"",INDIRECT(CONCATENATE("Input!",RSE_Setup!$B$27,ROW()+1)))</f>
        <v>431.73255</v>
      </c>
      <c r="F77" s="1">
        <f ca="1"/>
        <v>423.42639856199355</v>
      </c>
    </row>
    <row r="78" spans="1:6" x14ac:dyDescent="0.3">
      <c r="A78" s="1" cm="1">
        <f t="array" aca="1" ref="A78" ca="1">IF(ISBLANK(INDIRECT(CONCATENATE("Input!",RSE_Setup!$B$16,ROW()+1))),"",INDIRECT(CONCATENATE("Input!",RSE_Setup!$B$16,ROW()+1)))</f>
        <v>5.0000000000000001E-4</v>
      </c>
      <c r="B78" s="1" cm="1">
        <f t="array" aca="1" ref="B78" ca="1">IF(ISBLANK(INDIRECT(CONCATENATE("Input!",RSE_Setup!$B$17,ROW()+1))),"",INDIRECT(CONCATENATE("Input!",RSE_Setup!$B$17,ROW()+1)))</f>
        <v>4.7499999999999999E-3</v>
      </c>
      <c r="C78" s="1" cm="1">
        <f t="array" aca="1" ref="C78" ca="1">IF(ISBLANK(INDIRECT(CONCATENATE("Input!",RSE_Setup!$B$18,ROW()+1))),"",INDIRECT(CONCATENATE("Input!",RSE_Setup!$B$18,ROW()+1)))</f>
        <v>5.5556000000000001E-2</v>
      </c>
      <c r="D78" s="1" cm="1">
        <f t="array" aca="1" ref="D78" ca="1">IF(ISBLANK(INDIRECT(CONCATENATE("Input!",RSE_Setup!$B$19,ROW()+1))),"",INDIRECT(CONCATENATE("Input!",RSE_Setup!$B$19,ROW()+1)))</f>
        <v>4500</v>
      </c>
      <c r="E78" s="1" cm="1">
        <f t="array" aca="1" ref="E78" ca="1">IF(ISBLANK(INDIRECT(CONCATENATE("Input!",RSE_Setup!$B$27,ROW()+1))),"",INDIRECT(CONCATENATE("Input!",RSE_Setup!$B$27,ROW()+1)))</f>
        <v>564.47632299999998</v>
      </c>
      <c r="F78" s="1">
        <f ca="1"/>
        <v>556.67867441167539</v>
      </c>
    </row>
    <row r="79" spans="1:6" x14ac:dyDescent="0.3">
      <c r="A79" s="1" cm="1">
        <f t="array" aca="1" ref="A79" ca="1">IF(ISBLANK(INDIRECT(CONCATENATE("Input!",RSE_Setup!$B$16,ROW()+1))),"",INDIRECT(CONCATENATE("Input!",RSE_Setup!$B$16,ROW()+1)))</f>
        <v>5.0000000000000001E-4</v>
      </c>
      <c r="B79" s="1" cm="1">
        <f t="array" aca="1" ref="B79" ca="1">IF(ISBLANK(INDIRECT(CONCATENATE("Input!",RSE_Setup!$B$17,ROW()+1))),"",INDIRECT(CONCATENATE("Input!",RSE_Setup!$B$17,ROW()+1)))</f>
        <v>4.7499999999999999E-3</v>
      </c>
      <c r="C79" s="1" cm="1">
        <f t="array" aca="1" ref="C79" ca="1">IF(ISBLANK(INDIRECT(CONCATENATE("Input!",RSE_Setup!$B$18,ROW()+1))),"",INDIRECT(CONCATENATE("Input!",RSE_Setup!$B$18,ROW()+1)))</f>
        <v>5.5556000000000001E-2</v>
      </c>
      <c r="D79" s="1" cm="1">
        <f t="array" aca="1" ref="D79" ca="1">IF(ISBLANK(INDIRECT(CONCATENATE("Input!",RSE_Setup!$B$19,ROW()+1))),"",INDIRECT(CONCATENATE("Input!",RSE_Setup!$B$19,ROW()+1)))</f>
        <v>6000</v>
      </c>
      <c r="E79" s="1" cm="1">
        <f t="array" aca="1" ref="E79" ca="1">IF(ISBLANK(INDIRECT(CONCATENATE("Input!",RSE_Setup!$B$27,ROW()+1))),"",INDIRECT(CONCATENATE("Input!",RSE_Setup!$B$27,ROW()+1)))</f>
        <v>705.21943799999997</v>
      </c>
      <c r="F79" s="1">
        <f ca="1"/>
        <v>735.55922904205283</v>
      </c>
    </row>
    <row r="80" spans="1:6" x14ac:dyDescent="0.3">
      <c r="A80" s="1" cm="1">
        <f t="array" aca="1" ref="A80" ca="1">IF(ISBLANK(INDIRECT(CONCATENATE("Input!",RSE_Setup!$B$16,ROW()+1))),"",INDIRECT(CONCATENATE("Input!",RSE_Setup!$B$16,ROW()+1)))</f>
        <v>5.0000000000000001E-4</v>
      </c>
      <c r="B80" s="1" cm="1">
        <f t="array" aca="1" ref="B80" ca="1">IF(ISBLANK(INDIRECT(CONCATENATE("Input!",RSE_Setup!$B$17,ROW()+1))),"",INDIRECT(CONCATENATE("Input!",RSE_Setup!$B$17,ROW()+1)))</f>
        <v>4.7499999999999999E-3</v>
      </c>
      <c r="C80" s="1" cm="1">
        <f t="array" aca="1" ref="C80" ca="1">IF(ISBLANK(INDIRECT(CONCATENATE("Input!",RSE_Setup!$B$18,ROW()+1))),"",INDIRECT(CONCATENATE("Input!",RSE_Setup!$B$18,ROW()+1)))</f>
        <v>3.2258000000000002E-2</v>
      </c>
      <c r="D80" s="1" cm="1">
        <f t="array" aca="1" ref="D80" ca="1">IF(ISBLANK(INDIRECT(CONCATENATE("Input!",RSE_Setup!$B$19,ROW()+1))),"",INDIRECT(CONCATENATE("Input!",RSE_Setup!$B$19,ROW()+1)))</f>
        <v>6000</v>
      </c>
      <c r="E80" s="1" cm="1">
        <f t="array" aca="1" ref="E80" ca="1">IF(ISBLANK(INDIRECT(CONCATENATE("Input!",RSE_Setup!$B$27,ROW()+1))),"",INDIRECT(CONCATENATE("Input!",RSE_Setup!$B$27,ROW()+1)))</f>
        <v>761.91981199999998</v>
      </c>
      <c r="F80" s="1">
        <f ca="1"/>
        <v>750.13922643702278</v>
      </c>
    </row>
    <row r="81" spans="1:6" x14ac:dyDescent="0.3">
      <c r="A81" s="1" cm="1">
        <f t="array" aca="1" ref="A81" ca="1">IF(ISBLANK(INDIRECT(CONCATENATE("Input!",RSE_Setup!$B$16,ROW()+1))),"",INDIRECT(CONCATENATE("Input!",RSE_Setup!$B$16,ROW()+1)))</f>
        <v>5.0000000000000001E-4</v>
      </c>
      <c r="B81" s="1" cm="1">
        <f t="array" aca="1" ref="B81" ca="1">IF(ISBLANK(INDIRECT(CONCATENATE("Input!",RSE_Setup!$B$17,ROW()+1))),"",INDIRECT(CONCATENATE("Input!",RSE_Setup!$B$17,ROW()+1)))</f>
        <v>4.7499999999999999E-3</v>
      </c>
      <c r="C81" s="1" cm="1">
        <f t="array" aca="1" ref="C81" ca="1">IF(ISBLANK(INDIRECT(CONCATENATE("Input!",RSE_Setup!$B$18,ROW()+1))),"",INDIRECT(CONCATENATE("Input!",RSE_Setup!$B$18,ROW()+1)))</f>
        <v>3.2258000000000002E-2</v>
      </c>
      <c r="D81" s="1" cm="1">
        <f t="array" aca="1" ref="D81" ca="1">IF(ISBLANK(INDIRECT(CONCATENATE("Input!",RSE_Setup!$B$19,ROW()+1))),"",INDIRECT(CONCATENATE("Input!",RSE_Setup!$B$19,ROW()+1)))</f>
        <v>8000</v>
      </c>
      <c r="E81" s="1" cm="1">
        <f t="array" aca="1" ref="E81" ca="1">IF(ISBLANK(INDIRECT(CONCATENATE("Input!",RSE_Setup!$B$27,ROW()+1))),"",INDIRECT(CONCATENATE("Input!",RSE_Setup!$B$27,ROW()+1)))</f>
        <v>1005.86634</v>
      </c>
      <c r="F81" s="1">
        <f ca="1"/>
        <v>996.91700563384131</v>
      </c>
    </row>
    <row r="82" spans="1:6" x14ac:dyDescent="0.3">
      <c r="A82" s="1" cm="1">
        <f t="array" aca="1" ref="A82" ca="1">IF(ISBLANK(INDIRECT(CONCATENATE("Input!",RSE_Setup!$B$16,ROW()+1))),"",INDIRECT(CONCATENATE("Input!",RSE_Setup!$B$16,ROW()+1)))</f>
        <v>5.0000000000000001E-4</v>
      </c>
      <c r="B82" s="1" cm="1">
        <f t="array" aca="1" ref="B82" ca="1">IF(ISBLANK(INDIRECT(CONCATENATE("Input!",RSE_Setup!$B$17,ROW()+1))),"",INDIRECT(CONCATENATE("Input!",RSE_Setup!$B$17,ROW()+1)))</f>
        <v>4.7499999999999999E-3</v>
      </c>
      <c r="C82" s="1" cm="1">
        <f t="array" aca="1" ref="C82" ca="1">IF(ISBLANK(INDIRECT(CONCATENATE("Input!",RSE_Setup!$B$18,ROW()+1))),"",INDIRECT(CONCATENATE("Input!",RSE_Setup!$B$18,ROW()+1)))</f>
        <v>3.2258000000000002E-2</v>
      </c>
      <c r="D82" s="1" cm="1">
        <f t="array" aca="1" ref="D82" ca="1">IF(ISBLANK(INDIRECT(CONCATENATE("Input!",RSE_Setup!$B$19,ROW()+1))),"",INDIRECT(CONCATENATE("Input!",RSE_Setup!$B$19,ROW()+1)))</f>
        <v>10000</v>
      </c>
      <c r="E82" s="1" cm="1">
        <f t="array" aca="1" ref="E82" ca="1">IF(ISBLANK(INDIRECT(CONCATENATE("Input!",RSE_Setup!$B$27,ROW()+1))),"",INDIRECT(CONCATENATE("Input!",RSE_Setup!$B$27,ROW()+1)))</f>
        <v>1247.916023</v>
      </c>
      <c r="F82" s="1">
        <f ca="1"/>
        <v>1246.1549316191674</v>
      </c>
    </row>
    <row r="83" spans="1:6" x14ac:dyDescent="0.3">
      <c r="A83" s="1" cm="1">
        <f t="array" aca="1" ref="A83" ca="1">IF(ISBLANK(INDIRECT(CONCATENATE("Input!",RSE_Setup!$B$16,ROW()+1))),"",INDIRECT(CONCATENATE("Input!",RSE_Setup!$B$16,ROW()+1)))</f>
        <v>5.0000000000000001E-4</v>
      </c>
      <c r="B83" s="1" cm="1">
        <f t="array" aca="1" ref="B83" ca="1">IF(ISBLANK(INDIRECT(CONCATENATE("Input!",RSE_Setup!$B$17,ROW()+1))),"",INDIRECT(CONCATENATE("Input!",RSE_Setup!$B$17,ROW()+1)))</f>
        <v>6.4999999999999997E-3</v>
      </c>
      <c r="C83" s="1" cm="1">
        <f t="array" aca="1" ref="C83" ca="1">IF(ISBLANK(INDIRECT(CONCATENATE("Input!",RSE_Setup!$B$18,ROW()+1))),"",INDIRECT(CONCATENATE("Input!",RSE_Setup!$B$18,ROW()+1)))</f>
        <v>5.5556000000000001E-2</v>
      </c>
      <c r="D83" s="1" cm="1">
        <f t="array" aca="1" ref="D83" ca="1">IF(ISBLANK(INDIRECT(CONCATENATE("Input!",RSE_Setup!$B$19,ROW()+1))),"",INDIRECT(CONCATENATE("Input!",RSE_Setup!$B$19,ROW()+1)))</f>
        <v>3375</v>
      </c>
      <c r="E83" s="1" cm="1">
        <f t="array" aca="1" ref="E83" ca="1">IF(ISBLANK(INDIRECT(CONCATENATE("Input!",RSE_Setup!$B$27,ROW()+1))),"",INDIRECT(CONCATENATE("Input!",RSE_Setup!$B$27,ROW()+1)))</f>
        <v>455.40557200000001</v>
      </c>
      <c r="F83" s="1">
        <f ca="1"/>
        <v>449.09435012863901</v>
      </c>
    </row>
    <row r="84" spans="1:6" x14ac:dyDescent="0.3">
      <c r="A84" s="1" cm="1">
        <f t="array" aca="1" ref="A84" ca="1">IF(ISBLANK(INDIRECT(CONCATENATE("Input!",RSE_Setup!$B$16,ROW()+1))),"",INDIRECT(CONCATENATE("Input!",RSE_Setup!$B$16,ROW()+1)))</f>
        <v>5.0000000000000001E-4</v>
      </c>
      <c r="B84" s="1" cm="1">
        <f t="array" aca="1" ref="B84" ca="1">IF(ISBLANK(INDIRECT(CONCATENATE("Input!",RSE_Setup!$B$17,ROW()+1))),"",INDIRECT(CONCATENATE("Input!",RSE_Setup!$B$17,ROW()+1)))</f>
        <v>6.4999999999999997E-3</v>
      </c>
      <c r="C84" s="1" cm="1">
        <f t="array" aca="1" ref="C84" ca="1">IF(ISBLANK(INDIRECT(CONCATENATE("Input!",RSE_Setup!$B$18,ROW()+1))),"",INDIRECT(CONCATENATE("Input!",RSE_Setup!$B$18,ROW()+1)))</f>
        <v>5.5556000000000001E-2</v>
      </c>
      <c r="D84" s="1" cm="1">
        <f t="array" aca="1" ref="D84" ca="1">IF(ISBLANK(INDIRECT(CONCATENATE("Input!",RSE_Setup!$B$19,ROW()+1))),"",INDIRECT(CONCATENATE("Input!",RSE_Setup!$B$19,ROW()+1)))</f>
        <v>4500</v>
      </c>
      <c r="E84" s="1" cm="1">
        <f t="array" aca="1" ref="E84" ca="1">IF(ISBLANK(INDIRECT(CONCATENATE("Input!",RSE_Setup!$B$27,ROW()+1))),"",INDIRECT(CONCATENATE("Input!",RSE_Setup!$B$27,ROW()+1)))</f>
        <v>595.47598800000003</v>
      </c>
      <c r="F84" s="1">
        <f ca="1"/>
        <v>589.58326653508334</v>
      </c>
    </row>
    <row r="85" spans="1:6" x14ac:dyDescent="0.3">
      <c r="A85" s="1" cm="1">
        <f t="array" aca="1" ref="A85" ca="1">IF(ISBLANK(INDIRECT(CONCATENATE("Input!",RSE_Setup!$B$16,ROW()+1))),"",INDIRECT(CONCATENATE("Input!",RSE_Setup!$B$16,ROW()+1)))</f>
        <v>5.0000000000000001E-4</v>
      </c>
      <c r="B85" s="1" cm="1">
        <f t="array" aca="1" ref="B85" ca="1">IF(ISBLANK(INDIRECT(CONCATENATE("Input!",RSE_Setup!$B$17,ROW()+1))),"",INDIRECT(CONCATENATE("Input!",RSE_Setup!$B$17,ROW()+1)))</f>
        <v>6.4999999999999997E-3</v>
      </c>
      <c r="C85" s="1" cm="1">
        <f t="array" aca="1" ref="C85" ca="1">IF(ISBLANK(INDIRECT(CONCATENATE("Input!",RSE_Setup!$B$18,ROW()+1))),"",INDIRECT(CONCATENATE("Input!",RSE_Setup!$B$18,ROW()+1)))</f>
        <v>5.5556000000000001E-2</v>
      </c>
      <c r="D85" s="1" cm="1">
        <f t="array" aca="1" ref="D85" ca="1">IF(ISBLANK(INDIRECT(CONCATENATE("Input!",RSE_Setup!$B$19,ROW()+1))),"",INDIRECT(CONCATENATE("Input!",RSE_Setup!$B$19,ROW()+1)))</f>
        <v>6000</v>
      </c>
      <c r="E85" s="1" cm="1">
        <f t="array" aca="1" ref="E85" ca="1">IF(ISBLANK(INDIRECT(CONCATENATE("Input!",RSE_Setup!$B$27,ROW()+1))),"",INDIRECT(CONCATENATE("Input!",RSE_Setup!$B$27,ROW()+1)))</f>
        <v>746.277692</v>
      </c>
      <c r="F85" s="1">
        <f ca="1"/>
        <v>778.11267524114453</v>
      </c>
    </row>
    <row r="86" spans="1:6" x14ac:dyDescent="0.3">
      <c r="A86" s="1" cm="1">
        <f t="array" aca="1" ref="A86" ca="1">IF(ISBLANK(INDIRECT(CONCATENATE("Input!",RSE_Setup!$B$16,ROW()+1))),"",INDIRECT(CONCATENATE("Input!",RSE_Setup!$B$16,ROW()+1)))</f>
        <v>5.0000000000000001E-4</v>
      </c>
      <c r="B86" s="1" cm="1">
        <f t="array" aca="1" ref="B86" ca="1">IF(ISBLANK(INDIRECT(CONCATENATE("Input!",RSE_Setup!$B$17,ROW()+1))),"",INDIRECT(CONCATENATE("Input!",RSE_Setup!$B$17,ROW()+1)))</f>
        <v>6.4999999999999997E-3</v>
      </c>
      <c r="C86" s="1" cm="1">
        <f t="array" aca="1" ref="C86" ca="1">IF(ISBLANK(INDIRECT(CONCATENATE("Input!",RSE_Setup!$B$18,ROW()+1))),"",INDIRECT(CONCATENATE("Input!",RSE_Setup!$B$18,ROW()+1)))</f>
        <v>3.2258000000000002E-2</v>
      </c>
      <c r="D86" s="1" cm="1">
        <f t="array" aca="1" ref="D86" ca="1">IF(ISBLANK(INDIRECT(CONCATENATE("Input!",RSE_Setup!$B$19,ROW()+1))),"",INDIRECT(CONCATENATE("Input!",RSE_Setup!$B$19,ROW()+1)))</f>
        <v>6000</v>
      </c>
      <c r="E86" s="1" cm="1">
        <f t="array" aca="1" ref="E86" ca="1">IF(ISBLANK(INDIRECT(CONCATENATE("Input!",RSE_Setup!$B$27,ROW()+1))),"",INDIRECT(CONCATENATE("Input!",RSE_Setup!$B$27,ROW()+1)))</f>
        <v>807.17893900000001</v>
      </c>
      <c r="F86" s="1">
        <f ca="1"/>
        <v>793.11141107501874</v>
      </c>
    </row>
    <row r="87" spans="1:6" x14ac:dyDescent="0.3">
      <c r="A87" s="1" cm="1">
        <f t="array" aca="1" ref="A87" ca="1">IF(ISBLANK(INDIRECT(CONCATENATE("Input!",RSE_Setup!$B$16,ROW()+1))),"",INDIRECT(CONCATENATE("Input!",RSE_Setup!$B$16,ROW()+1)))</f>
        <v>7.5000000000000002E-4</v>
      </c>
      <c r="B87" s="1" cm="1">
        <f t="array" aca="1" ref="B87" ca="1">IF(ISBLANK(INDIRECT(CONCATENATE("Input!",RSE_Setup!$B$17,ROW()+1))),"",INDIRECT(CONCATENATE("Input!",RSE_Setup!$B$17,ROW()+1)))</f>
        <v>4.0000000000000001E-3</v>
      </c>
      <c r="C87" s="1" cm="1">
        <f t="array" aca="1" ref="C87" ca="1">IF(ISBLANK(INDIRECT(CONCATENATE("Input!",RSE_Setup!$B$18,ROW()+1))),"",INDIRECT(CONCATENATE("Input!",RSE_Setup!$B$18,ROW()+1)))</f>
        <v>5.5556000000000001E-2</v>
      </c>
      <c r="D87" s="1" cm="1">
        <f t="array" aca="1" ref="D87" ca="1">IF(ISBLANK(INDIRECT(CONCATENATE("Input!",RSE_Setup!$B$19,ROW()+1))),"",INDIRECT(CONCATENATE("Input!",RSE_Setup!$B$19,ROW()+1)))</f>
        <v>3375</v>
      </c>
      <c r="E87" s="1" cm="1">
        <f t="array" aca="1" ref="E87" ca="1">IF(ISBLANK(INDIRECT(CONCATENATE("Input!",RSE_Setup!$B$27,ROW()+1))),"",INDIRECT(CONCATENATE("Input!",RSE_Setup!$B$27,ROW()+1)))</f>
        <v>429.03838999999999</v>
      </c>
      <c r="F87" s="1">
        <f ca="1"/>
        <v>420.96042033822903</v>
      </c>
    </row>
    <row r="88" spans="1:6" x14ac:dyDescent="0.3">
      <c r="A88" s="1" cm="1">
        <f t="array" aca="1" ref="A88" ca="1">IF(ISBLANK(INDIRECT(CONCATENATE("Input!",RSE_Setup!$B$16,ROW()+1))),"",INDIRECT(CONCATENATE("Input!",RSE_Setup!$B$16,ROW()+1)))</f>
        <v>7.5000000000000002E-4</v>
      </c>
      <c r="B88" s="1" cm="1">
        <f t="array" aca="1" ref="B88" ca="1">IF(ISBLANK(INDIRECT(CONCATENATE("Input!",RSE_Setup!$B$17,ROW()+1))),"",INDIRECT(CONCATENATE("Input!",RSE_Setup!$B$17,ROW()+1)))</f>
        <v>4.0000000000000001E-3</v>
      </c>
      <c r="C88" s="1" cm="1">
        <f t="array" aca="1" ref="C88" ca="1">IF(ISBLANK(INDIRECT(CONCATENATE("Input!",RSE_Setup!$B$18,ROW()+1))),"",INDIRECT(CONCATENATE("Input!",RSE_Setup!$B$18,ROW()+1)))</f>
        <v>5.5556000000000001E-2</v>
      </c>
      <c r="D88" s="1" cm="1">
        <f t="array" aca="1" ref="D88" ca="1">IF(ISBLANK(INDIRECT(CONCATENATE("Input!",RSE_Setup!$B$19,ROW()+1))),"",INDIRECT(CONCATENATE("Input!",RSE_Setup!$B$19,ROW()+1)))</f>
        <v>4500</v>
      </c>
      <c r="E88" s="1" cm="1">
        <f t="array" aca="1" ref="E88" ca="1">IF(ISBLANK(INDIRECT(CONCATENATE("Input!",RSE_Setup!$B$27,ROW()+1))),"",INDIRECT(CONCATENATE("Input!",RSE_Setup!$B$27,ROW()+1)))</f>
        <v>560.42382699999996</v>
      </c>
      <c r="F88" s="1">
        <f ca="1"/>
        <v>552.35878361121127</v>
      </c>
    </row>
    <row r="89" spans="1:6" x14ac:dyDescent="0.3">
      <c r="A89" s="1" cm="1">
        <f t="array" aca="1" ref="A89" ca="1">IF(ISBLANK(INDIRECT(CONCATENATE("Input!",RSE_Setup!$B$16,ROW()+1))),"",INDIRECT(CONCATENATE("Input!",RSE_Setup!$B$16,ROW()+1)))</f>
        <v>7.5000000000000002E-4</v>
      </c>
      <c r="B89" s="1" cm="1">
        <f t="array" aca="1" ref="B89" ca="1">IF(ISBLANK(INDIRECT(CONCATENATE("Input!",RSE_Setup!$B$17,ROW()+1))),"",INDIRECT(CONCATENATE("Input!",RSE_Setup!$B$17,ROW()+1)))</f>
        <v>4.0000000000000001E-3</v>
      </c>
      <c r="C89" s="1" cm="1">
        <f t="array" aca="1" ref="C89" ca="1">IF(ISBLANK(INDIRECT(CONCATENATE("Input!",RSE_Setup!$B$18,ROW()+1))),"",INDIRECT(CONCATENATE("Input!",RSE_Setup!$B$18,ROW()+1)))</f>
        <v>5.5556000000000001E-2</v>
      </c>
      <c r="D89" s="1" cm="1">
        <f t="array" aca="1" ref="D89" ca="1">IF(ISBLANK(INDIRECT(CONCATENATE("Input!",RSE_Setup!$B$19,ROW()+1))),"",INDIRECT(CONCATENATE("Input!",RSE_Setup!$B$19,ROW()+1)))</f>
        <v>6000</v>
      </c>
      <c r="E89" s="1" cm="1">
        <f t="array" aca="1" ref="E89" ca="1">IF(ISBLANK(INDIRECT(CONCATENATE("Input!",RSE_Setup!$B$27,ROW()+1))),"",INDIRECT(CONCATENATE("Input!",RSE_Setup!$B$27,ROW()+1)))</f>
        <v>705.97502899999995</v>
      </c>
      <c r="F89" s="1">
        <f ca="1"/>
        <v>728.7674548059897</v>
      </c>
    </row>
    <row r="90" spans="1:6" x14ac:dyDescent="0.3">
      <c r="A90" s="1" cm="1">
        <f t="array" aca="1" ref="A90" ca="1">IF(ISBLANK(INDIRECT(CONCATENATE("Input!",RSE_Setup!$B$16,ROW()+1))),"",INDIRECT(CONCATENATE("Input!",RSE_Setup!$B$16,ROW()+1)))</f>
        <v>7.5000000000000002E-4</v>
      </c>
      <c r="B90" s="1" cm="1">
        <f t="array" aca="1" ref="B90" ca="1">IF(ISBLANK(INDIRECT(CONCATENATE("Input!",RSE_Setup!$B$17,ROW()+1))),"",INDIRECT(CONCATENATE("Input!",RSE_Setup!$B$17,ROW()+1)))</f>
        <v>4.0000000000000001E-3</v>
      </c>
      <c r="C90" s="1" cm="1">
        <f t="array" aca="1" ref="C90" ca="1">IF(ISBLANK(INDIRECT(CONCATENATE("Input!",RSE_Setup!$B$18,ROW()+1))),"",INDIRECT(CONCATENATE("Input!",RSE_Setup!$B$18,ROW()+1)))</f>
        <v>3.2258000000000002E-2</v>
      </c>
      <c r="D90" s="1" cm="1">
        <f t="array" aca="1" ref="D90" ca="1">IF(ISBLANK(INDIRECT(CONCATENATE("Input!",RSE_Setup!$B$19,ROW()+1))),"",INDIRECT(CONCATENATE("Input!",RSE_Setup!$B$19,ROW()+1)))</f>
        <v>6000</v>
      </c>
      <c r="E90" s="1" cm="1">
        <f t="array" aca="1" ref="E90" ca="1">IF(ISBLANK(INDIRECT(CONCATENATE("Input!",RSE_Setup!$B$27,ROW()+1))),"",INDIRECT(CONCATENATE("Input!",RSE_Setup!$B$27,ROW()+1)))</f>
        <v>757.16547000000003</v>
      </c>
      <c r="F90" s="1">
        <f ca="1"/>
        <v>744.0058608304181</v>
      </c>
    </row>
    <row r="91" spans="1:6" x14ac:dyDescent="0.3">
      <c r="A91" s="1" cm="1">
        <f t="array" aca="1" ref="A91" ca="1">IF(ISBLANK(INDIRECT(CONCATENATE("Input!",RSE_Setup!$B$16,ROW()+1))),"",INDIRECT(CONCATENATE("Input!",RSE_Setup!$B$16,ROW()+1)))</f>
        <v>7.5000000000000002E-4</v>
      </c>
      <c r="B91" s="1" cm="1">
        <f t="array" aca="1" ref="B91" ca="1">IF(ISBLANK(INDIRECT(CONCATENATE("Input!",RSE_Setup!$B$17,ROW()+1))),"",INDIRECT(CONCATENATE("Input!",RSE_Setup!$B$17,ROW()+1)))</f>
        <v>6.0000000000000001E-3</v>
      </c>
      <c r="C91" s="1" cm="1">
        <f t="array" aca="1" ref="C91" ca="1">IF(ISBLANK(INDIRECT(CONCATENATE("Input!",RSE_Setup!$B$18,ROW()+1))),"",INDIRECT(CONCATENATE("Input!",RSE_Setup!$B$18,ROW()+1)))</f>
        <v>5.5556000000000001E-2</v>
      </c>
      <c r="D91" s="1" cm="1">
        <f t="array" aca="1" ref="D91" ca="1">IF(ISBLANK(INDIRECT(CONCATENATE("Input!",RSE_Setup!$B$19,ROW()+1))),"",INDIRECT(CONCATENATE("Input!",RSE_Setup!$B$19,ROW()+1)))</f>
        <v>3375</v>
      </c>
      <c r="E91" s="1" cm="1">
        <f t="array" aca="1" ref="E91" ca="1">IF(ISBLANK(INDIRECT(CONCATENATE("Input!",RSE_Setup!$B$27,ROW()+1))),"",INDIRECT(CONCATENATE("Input!",RSE_Setup!$B$27,ROW()+1)))</f>
        <v>456.35897999999997</v>
      </c>
      <c r="F91" s="1">
        <f ca="1"/>
        <v>449.80684999305095</v>
      </c>
    </row>
    <row r="92" spans="1:6" x14ac:dyDescent="0.3">
      <c r="A92" s="1" cm="1">
        <f t="array" aca="1" ref="A92" ca="1">IF(ISBLANK(INDIRECT(CONCATENATE("Input!",RSE_Setup!$B$16,ROW()+1))),"",INDIRECT(CONCATENATE("Input!",RSE_Setup!$B$16,ROW()+1)))</f>
        <v>7.5000000000000002E-4</v>
      </c>
      <c r="B92" s="1" cm="1">
        <f t="array" aca="1" ref="B92" ca="1">IF(ISBLANK(INDIRECT(CONCATENATE("Input!",RSE_Setup!$B$17,ROW()+1))),"",INDIRECT(CONCATENATE("Input!",RSE_Setup!$B$17,ROW()+1)))</f>
        <v>6.0000000000000001E-3</v>
      </c>
      <c r="C92" s="1" cm="1">
        <f t="array" aca="1" ref="C92" ca="1">IF(ISBLANK(INDIRECT(CONCATENATE("Input!",RSE_Setup!$B$18,ROW()+1))),"",INDIRECT(CONCATENATE("Input!",RSE_Setup!$B$18,ROW()+1)))</f>
        <v>5.5556000000000001E-2</v>
      </c>
      <c r="D92" s="1" cm="1">
        <f t="array" aca="1" ref="D92" ca="1">IF(ISBLANK(INDIRECT(CONCATENATE("Input!",RSE_Setup!$B$19,ROW()+1))),"",INDIRECT(CONCATENATE("Input!",RSE_Setup!$B$19,ROW()+1)))</f>
        <v>4500</v>
      </c>
      <c r="E92" s="1" cm="1">
        <f t="array" aca="1" ref="E92" ca="1">IF(ISBLANK(INDIRECT(CONCATENATE("Input!",RSE_Setup!$B$27,ROW()+1))),"",INDIRECT(CONCATENATE("Input!",RSE_Setup!$B$27,ROW()+1)))</f>
        <v>595.51658599999996</v>
      </c>
      <c r="F92" s="1">
        <f ca="1"/>
        <v>589.47565961661905</v>
      </c>
    </row>
    <row r="93" spans="1:6" x14ac:dyDescent="0.3">
      <c r="A93" s="1" cm="1">
        <f t="array" aca="1" ref="A93" ca="1">IF(ISBLANK(INDIRECT(CONCATENATE("Input!",RSE_Setup!$B$16,ROW()+1))),"",INDIRECT(CONCATENATE("Input!",RSE_Setup!$B$16,ROW()+1)))</f>
        <v>7.5000000000000002E-4</v>
      </c>
      <c r="B93" s="1" cm="1">
        <f t="array" aca="1" ref="B93" ca="1">IF(ISBLANK(INDIRECT(CONCATENATE("Input!",RSE_Setup!$B$17,ROW()+1))),"",INDIRECT(CONCATENATE("Input!",RSE_Setup!$B$17,ROW()+1)))</f>
        <v>6.0000000000000001E-3</v>
      </c>
      <c r="C93" s="1" cm="1">
        <f t="array" aca="1" ref="C93" ca="1">IF(ISBLANK(INDIRECT(CONCATENATE("Input!",RSE_Setup!$B$18,ROW()+1))),"",INDIRECT(CONCATENATE("Input!",RSE_Setup!$B$18,ROW()+1)))</f>
        <v>5.5556000000000001E-2</v>
      </c>
      <c r="D93" s="1" cm="1">
        <f t="array" aca="1" ref="D93" ca="1">IF(ISBLANK(INDIRECT(CONCATENATE("Input!",RSE_Setup!$B$19,ROW()+1))),"",INDIRECT(CONCATENATE("Input!",RSE_Setup!$B$19,ROW()+1)))</f>
        <v>6000</v>
      </c>
      <c r="E93" s="1" cm="1">
        <f t="array" aca="1" ref="E93" ca="1">IF(ISBLANK(INDIRECT(CONCATENATE("Input!",RSE_Setup!$B$27,ROW()+1))),"",INDIRECT(CONCATENATE("Input!",RSE_Setup!$B$27,ROW()+1)))</f>
        <v>744.80454099999997</v>
      </c>
      <c r="F93" s="1">
        <f ca="1"/>
        <v>776.91159261217854</v>
      </c>
    </row>
    <row r="94" spans="1:6" x14ac:dyDescent="0.3">
      <c r="A94" s="1" cm="1">
        <f t="array" aca="1" ref="A94" ca="1">IF(ISBLANK(INDIRECT(CONCATENATE("Input!",RSE_Setup!$B$16,ROW()+1))),"",INDIRECT(CONCATENATE("Input!",RSE_Setup!$B$16,ROW()+1)))</f>
        <v>7.5000000000000002E-4</v>
      </c>
      <c r="B94" s="1" cm="1">
        <f t="array" aca="1" ref="B94" ca="1">IF(ISBLANK(INDIRECT(CONCATENATE("Input!",RSE_Setup!$B$17,ROW()+1))),"",INDIRECT(CONCATENATE("Input!",RSE_Setup!$B$17,ROW()+1)))</f>
        <v>6.0000000000000001E-3</v>
      </c>
      <c r="C94" s="1" cm="1">
        <f t="array" aca="1" ref="C94" ca="1">IF(ISBLANK(INDIRECT(CONCATENATE("Input!",RSE_Setup!$B$18,ROW()+1))),"",INDIRECT(CONCATENATE("Input!",RSE_Setup!$B$18,ROW()+1)))</f>
        <v>3.2258000000000002E-2</v>
      </c>
      <c r="D94" s="1" cm="1">
        <f t="array" aca="1" ref="D94" ca="1">IF(ISBLANK(INDIRECT(CONCATENATE("Input!",RSE_Setup!$B$19,ROW()+1))),"",INDIRECT(CONCATENATE("Input!",RSE_Setup!$B$19,ROW()+1)))</f>
        <v>6000</v>
      </c>
      <c r="E94" s="1" cm="1">
        <f t="array" aca="1" ref="E94" ca="1">IF(ISBLANK(INDIRECT(CONCATENATE("Input!",RSE_Setup!$B$27,ROW()+1))),"",INDIRECT(CONCATENATE("Input!",RSE_Setup!$B$27,ROW()+1)))</f>
        <v>810.18099199999995</v>
      </c>
      <c r="F94" s="1">
        <f ca="1"/>
        <v>792.62855685249792</v>
      </c>
    </row>
    <row r="95" spans="1:6" x14ac:dyDescent="0.3">
      <c r="A95" s="1" cm="1">
        <f t="array" aca="1" ref="A95" ca="1">IF(ISBLANK(INDIRECT(CONCATENATE("Input!",RSE_Setup!$B$16,ROW()+1))),"",INDIRECT(CONCATENATE("Input!",RSE_Setup!$B$16,ROW()+1)))</f>
        <v>7.5000000000000002E-4</v>
      </c>
      <c r="B95" s="1" cm="1">
        <f t="array" aca="1" ref="B95" ca="1">IF(ISBLANK(INDIRECT(CONCATENATE("Input!",RSE_Setup!$B$17,ROW()+1))),"",INDIRECT(CONCATENATE("Input!",RSE_Setup!$B$17,ROW()+1)))</f>
        <v>8.0000000000000002E-3</v>
      </c>
      <c r="C95" s="1" cm="1">
        <f t="array" aca="1" ref="C95" ca="1">IF(ISBLANK(INDIRECT(CONCATENATE("Input!",RSE_Setup!$B$18,ROW()+1))),"",INDIRECT(CONCATENATE("Input!",RSE_Setup!$B$18,ROW()+1)))</f>
        <v>5.5556000000000001E-2</v>
      </c>
      <c r="D95" s="1" cm="1">
        <f t="array" aca="1" ref="D95" ca="1">IF(ISBLANK(INDIRECT(CONCATENATE("Input!",RSE_Setup!$B$19,ROW()+1))),"",INDIRECT(CONCATENATE("Input!",RSE_Setup!$B$19,ROW()+1)))</f>
        <v>4500</v>
      </c>
      <c r="E95" s="1" cm="1">
        <f t="array" aca="1" ref="E95" ca="1">IF(ISBLANK(INDIRECT(CONCATENATE("Input!",RSE_Setup!$B$27,ROW()+1))),"",INDIRECT(CONCATENATE("Input!",RSE_Setup!$B$27,ROW()+1)))</f>
        <v>635.15332599999999</v>
      </c>
      <c r="F95" s="1">
        <f ca="1"/>
        <v>631.08954208522891</v>
      </c>
    </row>
    <row r="96" spans="1:6" x14ac:dyDescent="0.3">
      <c r="A96" s="1" cm="1">
        <f t="array" aca="1" ref="A96" ca="1">IF(ISBLANK(INDIRECT(CONCATENATE("Input!",RSE_Setup!$B$16,ROW()+1))),"",INDIRECT(CONCATENATE("Input!",RSE_Setup!$B$16,ROW()+1)))</f>
        <v>7.5000000000000002E-4</v>
      </c>
      <c r="B96" s="1" cm="1">
        <f t="array" aca="1" ref="B96" ca="1">IF(ISBLANK(INDIRECT(CONCATENATE("Input!",RSE_Setup!$B$17,ROW()+1))),"",INDIRECT(CONCATENATE("Input!",RSE_Setup!$B$17,ROW()+1)))</f>
        <v>8.0000000000000002E-3</v>
      </c>
      <c r="C96" s="1" cm="1">
        <f t="array" aca="1" ref="C96" ca="1">IF(ISBLANK(INDIRECT(CONCATENATE("Input!",RSE_Setup!$B$18,ROW()+1))),"",INDIRECT(CONCATENATE("Input!",RSE_Setup!$B$18,ROW()+1)))</f>
        <v>5.5556000000000001E-2</v>
      </c>
      <c r="D96" s="1" cm="1">
        <f t="array" aca="1" ref="D96" ca="1">IF(ISBLANK(INDIRECT(CONCATENATE("Input!",RSE_Setup!$B$19,ROW()+1))),"",INDIRECT(CONCATENATE("Input!",RSE_Setup!$B$19,ROW()+1)))</f>
        <v>6000</v>
      </c>
      <c r="E96" s="1" cm="1">
        <f t="array" aca="1" ref="E96" ca="1">IF(ISBLANK(INDIRECT(CONCATENATE("Input!",RSE_Setup!$B$27,ROW()+1))),"",INDIRECT(CONCATENATE("Input!",RSE_Setup!$B$27,ROW()+1)))</f>
        <v>800.39901899999995</v>
      </c>
      <c r="F96" s="1">
        <f ca="1"/>
        <v>829.55273688156933</v>
      </c>
    </row>
    <row r="97" spans="1:6" x14ac:dyDescent="0.3">
      <c r="A97" s="1" cm="1">
        <f t="array" aca="1" ref="A97" ca="1">IF(ISBLANK(INDIRECT(CONCATENATE("Input!",RSE_Setup!$B$16,ROW()+1))),"",INDIRECT(CONCATENATE("Input!",RSE_Setup!$B$16,ROW()+1)))</f>
        <v>7.5000000000000002E-4</v>
      </c>
      <c r="B97" s="1" cm="1">
        <f t="array" aca="1" ref="B97" ca="1">IF(ISBLANK(INDIRECT(CONCATENATE("Input!",RSE_Setup!$B$17,ROW()+1))),"",INDIRECT(CONCATENATE("Input!",RSE_Setup!$B$17,ROW()+1)))</f>
        <v>8.0000000000000002E-3</v>
      </c>
      <c r="C97" s="1" cm="1">
        <f t="array" aca="1" ref="C97" ca="1">IF(ISBLANK(INDIRECT(CONCATENATE("Input!",RSE_Setup!$B$18,ROW()+1))),"",INDIRECT(CONCATENATE("Input!",RSE_Setup!$B$18,ROW()+1)))</f>
        <v>3.2258000000000002E-2</v>
      </c>
      <c r="D97" s="1" cm="1">
        <f t="array" aca="1" ref="D97" ca="1">IF(ISBLANK(INDIRECT(CONCATENATE("Input!",RSE_Setup!$B$19,ROW()+1))),"",INDIRECT(CONCATENATE("Input!",RSE_Setup!$B$19,ROW()+1)))</f>
        <v>6000</v>
      </c>
      <c r="E97" s="1" cm="1">
        <f t="array" aca="1" ref="E97" ca="1">IF(ISBLANK(INDIRECT(CONCATENATE("Input!",RSE_Setup!$B$27,ROW()+1))),"",INDIRECT(CONCATENATE("Input!",RSE_Setup!$B$27,ROW()+1)))</f>
        <v>858.61251600000003</v>
      </c>
      <c r="F97" s="1">
        <f ca="1"/>
        <v>845.74825933777947</v>
      </c>
    </row>
    <row r="98" spans="1:6" x14ac:dyDescent="0.3">
      <c r="A98" s="1" cm="1">
        <f t="array" aca="1" ref="A98" ca="1">IF(ISBLANK(INDIRECT(CONCATENATE("Input!",RSE_Setup!$B$16,ROW()+1))),"",INDIRECT(CONCATENATE("Input!",RSE_Setup!$B$16,ROW()+1)))</f>
        <v>1E-3</v>
      </c>
      <c r="B98" s="1" cm="1">
        <f t="array" aca="1" ref="B98" ca="1">IF(ISBLANK(INDIRECT(CONCATENATE("Input!",RSE_Setup!$B$17,ROW()+1))),"",INDIRECT(CONCATENATE("Input!",RSE_Setup!$B$17,ROW()+1)))</f>
        <v>5.0000000000000001E-3</v>
      </c>
      <c r="C98" s="1" cm="1">
        <f t="array" aca="1" ref="C98" ca="1">IF(ISBLANK(INDIRECT(CONCATENATE("Input!",RSE_Setup!$B$18,ROW()+1))),"",INDIRECT(CONCATENATE("Input!",RSE_Setup!$B$18,ROW()+1)))</f>
        <v>5.5556000000000001E-2</v>
      </c>
      <c r="D98" s="1" cm="1">
        <f t="array" aca="1" ref="D98" ca="1">IF(ISBLANK(INDIRECT(CONCATENATE("Input!",RSE_Setup!$B$19,ROW()+1))),"",INDIRECT(CONCATENATE("Input!",RSE_Setup!$B$19,ROW()+1)))</f>
        <v>3375</v>
      </c>
      <c r="E98" s="1" cm="1">
        <f t="array" aca="1" ref="E98" ca="1">IF(ISBLANK(INDIRECT(CONCATENATE("Input!",RSE_Setup!$B$27,ROW()+1))),"",INDIRECT(CONCATENATE("Input!",RSE_Setup!$B$27,ROW()+1)))</f>
        <v>450.27389599999998</v>
      </c>
      <c r="F98" s="1">
        <f ca="1"/>
        <v>442.66639400230696</v>
      </c>
    </row>
    <row r="99" spans="1:6" x14ac:dyDescent="0.3">
      <c r="A99" s="1" cm="1">
        <f t="array" aca="1" ref="A99" ca="1">IF(ISBLANK(INDIRECT(CONCATENATE("Input!",RSE_Setup!$B$16,ROW()+1))),"",INDIRECT(CONCATENATE("Input!",RSE_Setup!$B$16,ROW()+1)))</f>
        <v>1E-3</v>
      </c>
      <c r="B99" s="1" cm="1">
        <f t="array" aca="1" ref="B99" ca="1">IF(ISBLANK(INDIRECT(CONCATENATE("Input!",RSE_Setup!$B$17,ROW()+1))),"",INDIRECT(CONCATENATE("Input!",RSE_Setup!$B$17,ROW()+1)))</f>
        <v>5.0000000000000001E-3</v>
      </c>
      <c r="C99" s="1" cm="1">
        <f t="array" aca="1" ref="C99" ca="1">IF(ISBLANK(INDIRECT(CONCATENATE("Input!",RSE_Setup!$B$18,ROW()+1))),"",INDIRECT(CONCATENATE("Input!",RSE_Setup!$B$18,ROW()+1)))</f>
        <v>5.5556000000000001E-2</v>
      </c>
      <c r="D99" s="1" cm="1">
        <f t="array" aca="1" ref="D99" ca="1">IF(ISBLANK(INDIRECT(CONCATENATE("Input!",RSE_Setup!$B$19,ROW()+1))),"",INDIRECT(CONCATENATE("Input!",RSE_Setup!$B$19,ROW()+1)))</f>
        <v>4500</v>
      </c>
      <c r="E99" s="1" cm="1">
        <f t="array" aca="1" ref="E99" ca="1">IF(ISBLANK(INDIRECT(CONCATENATE("Input!",RSE_Setup!$B$27,ROW()+1))),"",INDIRECT(CONCATENATE("Input!",RSE_Setup!$B$27,ROW()+1)))</f>
        <v>586.84529499999996</v>
      </c>
      <c r="F99" s="1">
        <f ca="1"/>
        <v>579.44748525535226</v>
      </c>
    </row>
    <row r="100" spans="1:6" x14ac:dyDescent="0.3">
      <c r="A100" s="1" cm="1">
        <f t="array" aca="1" ref="A100" ca="1">IF(ISBLANK(INDIRECT(CONCATENATE("Input!",RSE_Setup!$B$16,ROW()+1))),"",INDIRECT(CONCATENATE("Input!",RSE_Setup!$B$16,ROW()+1)))</f>
        <v>1E-3</v>
      </c>
      <c r="B100" s="1" cm="1">
        <f t="array" aca="1" ref="B100" ca="1">IF(ISBLANK(INDIRECT(CONCATENATE("Input!",RSE_Setup!$B$17,ROW()+1))),"",INDIRECT(CONCATENATE("Input!",RSE_Setup!$B$17,ROW()+1)))</f>
        <v>5.0000000000000001E-3</v>
      </c>
      <c r="C100" s="1" cm="1">
        <f t="array" aca="1" ref="C100" ca="1">IF(ISBLANK(INDIRECT(CONCATENATE("Input!",RSE_Setup!$B$18,ROW()+1))),"",INDIRECT(CONCATENATE("Input!",RSE_Setup!$B$18,ROW()+1)))</f>
        <v>5.5556000000000001E-2</v>
      </c>
      <c r="D100" s="1" cm="1">
        <f t="array" aca="1" ref="D100" ca="1">IF(ISBLANK(INDIRECT(CONCATENATE("Input!",RSE_Setup!$B$19,ROW()+1))),"",INDIRECT(CONCATENATE("Input!",RSE_Setup!$B$19,ROW()+1)))</f>
        <v>6000</v>
      </c>
      <c r="E100" s="1" cm="1">
        <f t="array" aca="1" ref="E100" ca="1">IF(ISBLANK(INDIRECT(CONCATENATE("Input!",RSE_Setup!$B$27,ROW()+1))),"",INDIRECT(CONCATENATE("Input!",RSE_Setup!$B$27,ROW()+1)))</f>
        <v>733.79187899999999</v>
      </c>
      <c r="F100" s="1">
        <f ca="1"/>
        <v>763.03312709021452</v>
      </c>
    </row>
    <row r="101" spans="1:6" x14ac:dyDescent="0.3">
      <c r="A101" s="1" cm="1">
        <f t="array" aca="1" ref="A101" ca="1">IF(ISBLANK(INDIRECT(CONCATENATE("Input!",RSE_Setup!$B$16,ROW()+1))),"",INDIRECT(CONCATENATE("Input!",RSE_Setup!$B$16,ROW()+1)))</f>
        <v>1E-3</v>
      </c>
      <c r="B101" s="1" cm="1">
        <f t="array" aca="1" ref="B101" ca="1">IF(ISBLANK(INDIRECT(CONCATENATE("Input!",RSE_Setup!$B$17,ROW()+1))),"",INDIRECT(CONCATENATE("Input!",RSE_Setup!$B$17,ROW()+1)))</f>
        <v>5.0000000000000001E-3</v>
      </c>
      <c r="C101" s="1" cm="1">
        <f t="array" aca="1" ref="C101" ca="1">IF(ISBLANK(INDIRECT(CONCATENATE("Input!",RSE_Setup!$B$18,ROW()+1))),"",INDIRECT(CONCATENATE("Input!",RSE_Setup!$B$18,ROW()+1)))</f>
        <v>3.2258000000000002E-2</v>
      </c>
      <c r="D101" s="1" cm="1">
        <f t="array" aca="1" ref="D101" ca="1">IF(ISBLANK(INDIRECT(CONCATENATE("Input!",RSE_Setup!$B$19,ROW()+1))),"",INDIRECT(CONCATENATE("Input!",RSE_Setup!$B$19,ROW()+1)))</f>
        <v>6000</v>
      </c>
      <c r="E101" s="1" cm="1">
        <f t="array" aca="1" ref="E101" ca="1">IF(ISBLANK(INDIRECT(CONCATENATE("Input!",RSE_Setup!$B$27,ROW()+1))),"",INDIRECT(CONCATENATE("Input!",RSE_Setup!$B$27,ROW()+1)))</f>
        <v>799.08325500000001</v>
      </c>
      <c r="F101" s="1">
        <f ca="1"/>
        <v>779.34868018300619</v>
      </c>
    </row>
    <row r="102" spans="1:6" x14ac:dyDescent="0.3">
      <c r="A102" s="1" cm="1">
        <f t="array" aca="1" ref="A102" ca="1">IF(ISBLANK(INDIRECT(CONCATENATE("Input!",RSE_Setup!$B$16,ROW()+1))),"",INDIRECT(CONCATENATE("Input!",RSE_Setup!$B$16,ROW()+1)))</f>
        <v>1E-3</v>
      </c>
      <c r="B102" s="1" cm="1">
        <f t="array" aca="1" ref="B102" ca="1">IF(ISBLANK(INDIRECT(CONCATENATE("Input!",RSE_Setup!$B$17,ROW()+1))),"",INDIRECT(CONCATENATE("Input!",RSE_Setup!$B$17,ROW()+1)))</f>
        <v>6.4999999999999997E-3</v>
      </c>
      <c r="C102" s="1" cm="1">
        <f t="array" aca="1" ref="C102" ca="1">IF(ISBLANK(INDIRECT(CONCATENATE("Input!",RSE_Setup!$B$18,ROW()+1))),"",INDIRECT(CONCATENATE("Input!",RSE_Setup!$B$18,ROW()+1)))</f>
        <v>5.5556000000000001E-2</v>
      </c>
      <c r="D102" s="1" cm="1">
        <f t="array" aca="1" ref="D102" ca="1">IF(ISBLANK(INDIRECT(CONCATENATE("Input!",RSE_Setup!$B$19,ROW()+1))),"",INDIRECT(CONCATENATE("Input!",RSE_Setup!$B$19,ROW()+1)))</f>
        <v>3375</v>
      </c>
      <c r="E102" s="1" cm="1">
        <f t="array" aca="1" ref="E102" ca="1">IF(ISBLANK(INDIRECT(CONCATENATE("Input!",RSE_Setup!$B$27,ROW()+1))),"",INDIRECT(CONCATENATE("Input!",RSE_Setup!$B$27,ROW()+1)))</f>
        <v>471.12537900000001</v>
      </c>
      <c r="F102" s="1">
        <f ca="1"/>
        <v>466.25370609928939</v>
      </c>
    </row>
    <row r="103" spans="1:6" x14ac:dyDescent="0.3">
      <c r="A103" s="1" cm="1">
        <f t="array" aca="1" ref="A103" ca="1">IF(ISBLANK(INDIRECT(CONCATENATE("Input!",RSE_Setup!$B$16,ROW()+1))),"",INDIRECT(CONCATENATE("Input!",RSE_Setup!$B$16,ROW()+1)))</f>
        <v>1E-3</v>
      </c>
      <c r="B103" s="1" cm="1">
        <f t="array" aca="1" ref="B103" ca="1">IF(ISBLANK(INDIRECT(CONCATENATE("Input!",RSE_Setup!$B$17,ROW()+1))),"",INDIRECT(CONCATENATE("Input!",RSE_Setup!$B$17,ROW()+1)))</f>
        <v>6.4999999999999997E-3</v>
      </c>
      <c r="C103" s="1" cm="1">
        <f t="array" aca="1" ref="C103" ca="1">IF(ISBLANK(INDIRECT(CONCATENATE("Input!",RSE_Setup!$B$18,ROW()+1))),"",INDIRECT(CONCATENATE("Input!",RSE_Setup!$B$18,ROW()+1)))</f>
        <v>5.5556000000000001E-2</v>
      </c>
      <c r="D103" s="1" cm="1">
        <f t="array" aca="1" ref="D103" ca="1">IF(ISBLANK(INDIRECT(CONCATENATE("Input!",RSE_Setup!$B$19,ROW()+1))),"",INDIRECT(CONCATENATE("Input!",RSE_Setup!$B$19,ROW()+1)))</f>
        <v>4500</v>
      </c>
      <c r="E103" s="1" cm="1">
        <f t="array" aca="1" ref="E103" ca="1">IF(ISBLANK(INDIRECT(CONCATENATE("Input!",RSE_Setup!$B$27,ROW()+1))),"",INDIRECT(CONCATENATE("Input!",RSE_Setup!$B$27,ROW()+1)))</f>
        <v>616.92599600000005</v>
      </c>
      <c r="F103" s="1">
        <f ca="1"/>
        <v>609.2376321152741</v>
      </c>
    </row>
    <row r="104" spans="1:6" x14ac:dyDescent="0.3">
      <c r="A104" s="1" cm="1">
        <f t="array" aca="1" ref="A104" ca="1">IF(ISBLANK(INDIRECT(CONCATENATE("Input!",RSE_Setup!$B$16,ROW()+1))),"",INDIRECT(CONCATENATE("Input!",RSE_Setup!$B$16,ROW()+1)))</f>
        <v>1E-3</v>
      </c>
      <c r="B104" s="1" cm="1">
        <f t="array" aca="1" ref="B104" ca="1">IF(ISBLANK(INDIRECT(CONCATENATE("Input!",RSE_Setup!$B$17,ROW()+1))),"",INDIRECT(CONCATENATE("Input!",RSE_Setup!$B$17,ROW()+1)))</f>
        <v>6.4999999999999997E-3</v>
      </c>
      <c r="C104" s="1" cm="1">
        <f t="array" aca="1" ref="C104" ca="1">IF(ISBLANK(INDIRECT(CONCATENATE("Input!",RSE_Setup!$B$18,ROW()+1))),"",INDIRECT(CONCATENATE("Input!",RSE_Setup!$B$18,ROW()+1)))</f>
        <v>5.5556000000000001E-2</v>
      </c>
      <c r="D104" s="1" cm="1">
        <f t="array" aca="1" ref="D104" ca="1">IF(ISBLANK(INDIRECT(CONCATENATE("Input!",RSE_Setup!$B$19,ROW()+1))),"",INDIRECT(CONCATENATE("Input!",RSE_Setup!$B$19,ROW()+1)))</f>
        <v>6000</v>
      </c>
      <c r="E104" s="1" cm="1">
        <f t="array" aca="1" ref="E104" ca="1">IF(ISBLANK(INDIRECT(CONCATENATE("Input!",RSE_Setup!$B$27,ROW()+1))),"",INDIRECT(CONCATENATE("Input!",RSE_Setup!$B$27,ROW()+1)))</f>
        <v>773.78931499999999</v>
      </c>
      <c r="F104" s="1">
        <f ca="1"/>
        <v>801.09372030072234</v>
      </c>
    </row>
    <row r="105" spans="1:6" x14ac:dyDescent="0.3">
      <c r="A105" s="1" cm="1">
        <f t="array" aca="1" ref="A105" ca="1">IF(ISBLANK(INDIRECT(CONCATENATE("Input!",RSE_Setup!$B$16,ROW()+1))),"",INDIRECT(CONCATENATE("Input!",RSE_Setup!$B$16,ROW()+1)))</f>
        <v>1E-3</v>
      </c>
      <c r="B105" s="1" cm="1">
        <f t="array" aca="1" ref="B105" ca="1">IF(ISBLANK(INDIRECT(CONCATENATE("Input!",RSE_Setup!$B$17,ROW()+1))),"",INDIRECT(CONCATENATE("Input!",RSE_Setup!$B$17,ROW()+1)))</f>
        <v>6.4999999999999997E-3</v>
      </c>
      <c r="C105" s="1" cm="1">
        <f t="array" aca="1" ref="C105" ca="1">IF(ISBLANK(INDIRECT(CONCATENATE("Input!",RSE_Setup!$B$18,ROW()+1))),"",INDIRECT(CONCATENATE("Input!",RSE_Setup!$B$18,ROW()+1)))</f>
        <v>3.2258000000000002E-2</v>
      </c>
      <c r="D105" s="1" cm="1">
        <f t="array" aca="1" ref="D105" ca="1">IF(ISBLANK(INDIRECT(CONCATENATE("Input!",RSE_Setup!$B$19,ROW()+1))),"",INDIRECT(CONCATENATE("Input!",RSE_Setup!$B$19,ROW()+1)))</f>
        <v>6000</v>
      </c>
      <c r="E105" s="1" cm="1">
        <f t="array" aca="1" ref="E105" ca="1">IF(ISBLANK(INDIRECT(CONCATENATE("Input!",RSE_Setup!$B$27,ROW()+1))),"",INDIRECT(CONCATENATE("Input!",RSE_Setup!$B$27,ROW()+1)))</f>
        <v>837.181872</v>
      </c>
      <c r="F105" s="1">
        <f ca="1"/>
        <v>817.768192055432</v>
      </c>
    </row>
    <row r="106" spans="1:6" x14ac:dyDescent="0.3">
      <c r="A106" s="1" cm="1">
        <f t="array" aca="1" ref="A106" ca="1">IF(ISBLANK(INDIRECT(CONCATENATE("Input!",RSE_Setup!$B$16,ROW()+1))),"",INDIRECT(CONCATENATE("Input!",RSE_Setup!$B$16,ROW()+1)))</f>
        <v>1E-3</v>
      </c>
      <c r="B106" s="1" cm="1">
        <f t="array" aca="1" ref="B106" ca="1">IF(ISBLANK(INDIRECT(CONCATENATE("Input!",RSE_Setup!$B$17,ROW()+1))),"",INDIRECT(CONCATENATE("Input!",RSE_Setup!$B$17,ROW()+1)))</f>
        <v>8.0000000000000002E-3</v>
      </c>
      <c r="C106" s="1" cm="1">
        <f t="array" aca="1" ref="C106" ca="1">IF(ISBLANK(INDIRECT(CONCATENATE("Input!",RSE_Setup!$B$18,ROW()+1))),"",INDIRECT(CONCATENATE("Input!",RSE_Setup!$B$18,ROW()+1)))</f>
        <v>5.5556000000000001E-2</v>
      </c>
      <c r="D106" s="1" cm="1">
        <f t="array" aca="1" ref="D106" ca="1">IF(ISBLANK(INDIRECT(CONCATENATE("Input!",RSE_Setup!$B$19,ROW()+1))),"",INDIRECT(CONCATENATE("Input!",RSE_Setup!$B$19,ROW()+1)))</f>
        <v>4500</v>
      </c>
      <c r="E106" s="1" cm="1">
        <f t="array" aca="1" ref="E106" ca="1">IF(ISBLANK(INDIRECT(CONCATENATE("Input!",RSE_Setup!$B$27,ROW()+1))),"",INDIRECT(CONCATENATE("Input!",RSE_Setup!$B$27,ROW()+1)))</f>
        <v>645.67090900000005</v>
      </c>
      <c r="F106" s="1">
        <f ca="1"/>
        <v>641.55734511074706</v>
      </c>
    </row>
    <row r="107" spans="1:6" x14ac:dyDescent="0.3">
      <c r="A107" s="1" cm="1">
        <f t="array" aca="1" ref="A107" ca="1">IF(ISBLANK(INDIRECT(CONCATENATE("Input!",RSE_Setup!$B$16,ROW()+1))),"",INDIRECT(CONCATENATE("Input!",RSE_Setup!$B$16,ROW()+1)))</f>
        <v>1E-3</v>
      </c>
      <c r="B107" s="1" cm="1">
        <f t="array" aca="1" ref="B107" ca="1">IF(ISBLANK(INDIRECT(CONCATENATE("Input!",RSE_Setup!$B$17,ROW()+1))),"",INDIRECT(CONCATENATE("Input!",RSE_Setup!$B$17,ROW()+1)))</f>
        <v>8.0000000000000002E-3</v>
      </c>
      <c r="C107" s="1" cm="1">
        <f t="array" aca="1" ref="C107" ca="1">IF(ISBLANK(INDIRECT(CONCATENATE("Input!",RSE_Setup!$B$18,ROW()+1))),"",INDIRECT(CONCATENATE("Input!",RSE_Setup!$B$18,ROW()+1)))</f>
        <v>5.5556000000000001E-2</v>
      </c>
      <c r="D107" s="1" cm="1">
        <f t="array" aca="1" ref="D107" ca="1">IF(ISBLANK(INDIRECT(CONCATENATE("Input!",RSE_Setup!$B$19,ROW()+1))),"",INDIRECT(CONCATENATE("Input!",RSE_Setup!$B$19,ROW()+1)))</f>
        <v>6000</v>
      </c>
      <c r="E107" s="1" cm="1">
        <f t="array" aca="1" ref="E107" ca="1">IF(ISBLANK(INDIRECT(CONCATENATE("Input!",RSE_Setup!$B$27,ROW()+1))),"",INDIRECT(CONCATENATE("Input!",RSE_Setup!$B$27,ROW()+1)))</f>
        <v>814.37224100000003</v>
      </c>
      <c r="F107" s="1">
        <f ca="1"/>
        <v>841.68387964678129</v>
      </c>
    </row>
    <row r="108" spans="1:6" x14ac:dyDescent="0.3">
      <c r="A108" s="1" cm="1">
        <f t="array" aca="1" ref="A108" ca="1">IF(ISBLANK(INDIRECT(CONCATENATE("Input!",RSE_Setup!$B$16,ROW()+1))),"",INDIRECT(CONCATENATE("Input!",RSE_Setup!$B$16,ROW()+1)))</f>
        <v>1E-3</v>
      </c>
      <c r="B108" s="1" cm="1">
        <f t="array" aca="1" ref="B108" ca="1">IF(ISBLANK(INDIRECT(CONCATENATE("Input!",RSE_Setup!$B$17,ROW()+1))),"",INDIRECT(CONCATENATE("Input!",RSE_Setup!$B$17,ROW()+1)))</f>
        <v>8.0000000000000002E-3</v>
      </c>
      <c r="C108" s="1" cm="1">
        <f t="array" aca="1" ref="C108" ca="1">IF(ISBLANK(INDIRECT(CONCATENATE("Input!",RSE_Setup!$B$18,ROW()+1))),"",INDIRECT(CONCATENATE("Input!",RSE_Setup!$B$18,ROW()+1)))</f>
        <v>3.2258000000000002E-2</v>
      </c>
      <c r="D108" s="1" cm="1">
        <f t="array" aca="1" ref="D108" ca="1">IF(ISBLANK(INDIRECT(CONCATENATE("Input!",RSE_Setup!$B$19,ROW()+1))),"",INDIRECT(CONCATENATE("Input!",RSE_Setup!$B$19,ROW()+1)))</f>
        <v>6000</v>
      </c>
      <c r="E108" s="1" cm="1">
        <f t="array" aca="1" ref="E108" ca="1">IF(ISBLANK(INDIRECT(CONCATENATE("Input!",RSE_Setup!$B$27,ROW()+1))),"",INDIRECT(CONCATENATE("Input!",RSE_Setup!$B$27,ROW()+1)))</f>
        <v>876.96456699999999</v>
      </c>
      <c r="F108" s="1">
        <f ca="1"/>
        <v>858.71727006340893</v>
      </c>
    </row>
    <row r="109" spans="1:6" x14ac:dyDescent="0.3">
      <c r="A109" s="1" cm="1">
        <f t="array" aca="1" ref="A109" ca="1">IF(ISBLANK(INDIRECT(CONCATENATE("Input!",RSE_Setup!$B$16,ROW()+1))),"",INDIRECT(CONCATENATE("Input!",RSE_Setup!$B$16,ROW()+1)))</f>
        <v>2.9999999999999997E-4</v>
      </c>
      <c r="B109" s="1" cm="1">
        <f t="array" aca="1" ref="B109" ca="1">IF(ISBLANK(INDIRECT(CONCATENATE("Input!",RSE_Setup!$B$17,ROW()+1))),"",INDIRECT(CONCATENATE("Input!",RSE_Setup!$B$17,ROW()+1)))</f>
        <v>2E-3</v>
      </c>
      <c r="C109" s="1" cm="1">
        <f t="array" aca="1" ref="C109" ca="1">IF(ISBLANK(INDIRECT(CONCATENATE("Input!",RSE_Setup!$B$18,ROW()+1))),"",INDIRECT(CONCATENATE("Input!",RSE_Setup!$B$18,ROW()+1)))</f>
        <v>5.5556000000000001E-2</v>
      </c>
      <c r="D109" s="1" cm="1">
        <f t="array" aca="1" ref="D109" ca="1">IF(ISBLANK(INDIRECT(CONCATENATE("Input!",RSE_Setup!$B$19,ROW()+1))),"",INDIRECT(CONCATENATE("Input!",RSE_Setup!$B$19,ROW()+1)))</f>
        <v>5500</v>
      </c>
      <c r="E109" s="1" cm="1">
        <f t="array" aca="1" ref="E109" ca="1">IF(ISBLANK(INDIRECT(CONCATENATE("Input!",RSE_Setup!$B$27,ROW()+1))),"",INDIRECT(CONCATENATE("Input!",RSE_Setup!$B$27,ROW()+1)))</f>
        <v>626.49805700000002</v>
      </c>
      <c r="F109" s="1">
        <f ca="1"/>
        <v>613.71554733929656</v>
      </c>
    </row>
    <row r="110" spans="1:6" x14ac:dyDescent="0.3">
      <c r="A110" s="1" cm="1">
        <f t="array" aca="1" ref="A110" ca="1">IF(ISBLANK(INDIRECT(CONCATENATE("Input!",RSE_Setup!$B$16,ROW()+1))),"",INDIRECT(CONCATENATE("Input!",RSE_Setup!$B$16,ROW()+1)))</f>
        <v>2.9999999999999997E-4</v>
      </c>
      <c r="B110" s="1" cm="1">
        <f t="array" aca="1" ref="B110" ca="1">IF(ISBLANK(INDIRECT(CONCATENATE("Input!",RSE_Setup!$B$17,ROW()+1))),"",INDIRECT(CONCATENATE("Input!",RSE_Setup!$B$17,ROW()+1)))</f>
        <v>2E-3</v>
      </c>
      <c r="C110" s="1" cm="1">
        <f t="array" aca="1" ref="C110" ca="1">IF(ISBLANK(INDIRECT(CONCATENATE("Input!",RSE_Setup!$B$18,ROW()+1))),"",INDIRECT(CONCATENATE("Input!",RSE_Setup!$B$18,ROW()+1)))</f>
        <v>5.5556000000000001E-2</v>
      </c>
      <c r="D110" s="1" cm="1">
        <f t="array" aca="1" ref="D110" ca="1">IF(ISBLANK(INDIRECT(CONCATENATE("Input!",RSE_Setup!$B$19,ROW()+1))),"",INDIRECT(CONCATENATE("Input!",RSE_Setup!$B$19,ROW()+1)))</f>
        <v>7500</v>
      </c>
      <c r="E110" s="1" cm="1">
        <f t="array" aca="1" ref="E110" ca="1">IF(ISBLANK(INDIRECT(CONCATENATE("Input!",RSE_Setup!$B$27,ROW()+1))),"",INDIRECT(CONCATENATE("Input!",RSE_Setup!$B$27,ROW()+1)))</f>
        <v>836.56758600000001</v>
      </c>
      <c r="F110" s="1">
        <f ca="1"/>
        <v>831.76966956551234</v>
      </c>
    </row>
    <row r="111" spans="1:6" x14ac:dyDescent="0.3">
      <c r="A111" s="1" cm="1">
        <f t="array" aca="1" ref="A111" ca="1">IF(ISBLANK(INDIRECT(CONCATENATE("Input!",RSE_Setup!$B$16,ROW()+1))),"",INDIRECT(CONCATENATE("Input!",RSE_Setup!$B$16,ROW()+1)))</f>
        <v>2.9999999999999997E-4</v>
      </c>
      <c r="B111" s="1" cm="1">
        <f t="array" aca="1" ref="B111" ca="1">IF(ISBLANK(INDIRECT(CONCATENATE("Input!",RSE_Setup!$B$17,ROW()+1))),"",INDIRECT(CONCATENATE("Input!",RSE_Setup!$B$17,ROW()+1)))</f>
        <v>2E-3</v>
      </c>
      <c r="C111" s="1" cm="1">
        <f t="array" aca="1" ref="C111" ca="1">IF(ISBLANK(INDIRECT(CONCATENATE("Input!",RSE_Setup!$B$18,ROW()+1))),"",INDIRECT(CONCATENATE("Input!",RSE_Setup!$B$18,ROW()+1)))</f>
        <v>5.5556000000000001E-2</v>
      </c>
      <c r="D111" s="1" cm="1">
        <f t="array" aca="1" ref="D111" ca="1">IF(ISBLANK(INDIRECT(CONCATENATE("Input!",RSE_Setup!$B$19,ROW()+1))),"",INDIRECT(CONCATENATE("Input!",RSE_Setup!$B$19,ROW()+1)))</f>
        <v>9500</v>
      </c>
      <c r="E111" s="1" cm="1">
        <f t="array" aca="1" ref="E111" ca="1">IF(ISBLANK(INDIRECT(CONCATENATE("Input!",RSE_Setup!$B$27,ROW()+1))),"",INDIRECT(CONCATENATE("Input!",RSE_Setup!$B$27,ROW()+1)))</f>
        <v>1054.919081</v>
      </c>
      <c r="F111" s="1">
        <f ca="1"/>
        <v>1052.2839385802356</v>
      </c>
    </row>
    <row r="112" spans="1:6" x14ac:dyDescent="0.3">
      <c r="A112" s="1" cm="1">
        <f t="array" aca="1" ref="A112" ca="1">IF(ISBLANK(INDIRECT(CONCATENATE("Input!",RSE_Setup!$B$16,ROW()+1))),"",INDIRECT(CONCATENATE("Input!",RSE_Setup!$B$16,ROW()+1)))</f>
        <v>2.9999999999999997E-4</v>
      </c>
      <c r="B112" s="1" cm="1">
        <f t="array" aca="1" ref="B112" ca="1">IF(ISBLANK(INDIRECT(CONCATENATE("Input!",RSE_Setup!$B$17,ROW()+1))),"",INDIRECT(CONCATENATE("Input!",RSE_Setup!$B$17,ROW()+1)))</f>
        <v>2E-3</v>
      </c>
      <c r="C112" s="1" cm="1">
        <f t="array" aca="1" ref="C112" ca="1">IF(ISBLANK(INDIRECT(CONCATENATE("Input!",RSE_Setup!$B$18,ROW()+1))),"",INDIRECT(CONCATENATE("Input!",RSE_Setup!$B$18,ROW()+1)))</f>
        <v>3.2258000000000002E-2</v>
      </c>
      <c r="D112" s="1" cm="1">
        <f t="array" aca="1" ref="D112" ca="1">IF(ISBLANK(INDIRECT(CONCATENATE("Input!",RSE_Setup!$B$19,ROW()+1))),"",INDIRECT(CONCATENATE("Input!",RSE_Setup!$B$19,ROW()+1)))</f>
        <v>9500</v>
      </c>
      <c r="E112" s="1" cm="1">
        <f t="array" aca="1" ref="E112" ca="1">IF(ISBLANK(INDIRECT(CONCATENATE("Input!",RSE_Setup!$B$27,ROW()+1))),"",INDIRECT(CONCATENATE("Input!",RSE_Setup!$B$27,ROW()+1)))</f>
        <v>1078.877925</v>
      </c>
      <c r="F112" s="1">
        <f ca="1"/>
        <v>1076.241677080337</v>
      </c>
    </row>
    <row r="113" spans="1:6" x14ac:dyDescent="0.3">
      <c r="A113" s="1" cm="1">
        <f t="array" aca="1" ref="A113" ca="1">IF(ISBLANK(INDIRECT(CONCATENATE("Input!",RSE_Setup!$B$16,ROW()+1))),"",INDIRECT(CONCATENATE("Input!",RSE_Setup!$B$16,ROW()+1)))</f>
        <v>2.9999999999999997E-4</v>
      </c>
      <c r="B113" s="1" cm="1">
        <f t="array" aca="1" ref="B113" ca="1">IF(ISBLANK(INDIRECT(CONCATENATE("Input!",RSE_Setup!$B$17,ROW()+1))),"",INDIRECT(CONCATENATE("Input!",RSE_Setup!$B$17,ROW()+1)))</f>
        <v>3.0000000000000001E-3</v>
      </c>
      <c r="C113" s="1" cm="1">
        <f t="array" aca="1" ref="C113" ca="1">IF(ISBLANK(INDIRECT(CONCATENATE("Input!",RSE_Setup!$B$18,ROW()+1))),"",INDIRECT(CONCATENATE("Input!",RSE_Setup!$B$18,ROW()+1)))</f>
        <v>5.5556000000000001E-2</v>
      </c>
      <c r="D113" s="1" cm="1">
        <f t="array" aca="1" ref="D113" ca="1">IF(ISBLANK(INDIRECT(CONCATENATE("Input!",RSE_Setup!$B$19,ROW()+1))),"",INDIRECT(CONCATENATE("Input!",RSE_Setup!$B$19,ROW()+1)))</f>
        <v>5500</v>
      </c>
      <c r="E113" s="1" cm="1">
        <f t="array" aca="1" ref="E113" ca="1">IF(ISBLANK(INDIRECT(CONCATENATE("Input!",RSE_Setup!$B$27,ROW()+1))),"",INDIRECT(CONCATENATE("Input!",RSE_Setup!$B$27,ROW()+1)))</f>
        <v>644.34851000000003</v>
      </c>
      <c r="F113" s="1">
        <f ca="1"/>
        <v>632.31386209038442</v>
      </c>
    </row>
    <row r="114" spans="1:6" x14ac:dyDescent="0.3">
      <c r="A114" s="1" cm="1">
        <f t="array" aca="1" ref="A114" ca="1">IF(ISBLANK(INDIRECT(CONCATENATE("Input!",RSE_Setup!$B$16,ROW()+1))),"",INDIRECT(CONCATENATE("Input!",RSE_Setup!$B$16,ROW()+1)))</f>
        <v>2.9999999999999997E-4</v>
      </c>
      <c r="B114" s="1" cm="1">
        <f t="array" aca="1" ref="B114" ca="1">IF(ISBLANK(INDIRECT(CONCATENATE("Input!",RSE_Setup!$B$17,ROW()+1))),"",INDIRECT(CONCATENATE("Input!",RSE_Setup!$B$17,ROW()+1)))</f>
        <v>3.0000000000000001E-3</v>
      </c>
      <c r="C114" s="1" cm="1">
        <f t="array" aca="1" ref="C114" ca="1">IF(ISBLANK(INDIRECT(CONCATENATE("Input!",RSE_Setup!$B$18,ROW()+1))),"",INDIRECT(CONCATENATE("Input!",RSE_Setup!$B$18,ROW()+1)))</f>
        <v>5.5556000000000001E-2</v>
      </c>
      <c r="D114" s="1" cm="1">
        <f t="array" aca="1" ref="D114" ca="1">IF(ISBLANK(INDIRECT(CONCATENATE("Input!",RSE_Setup!$B$19,ROW()+1))),"",INDIRECT(CONCATENATE("Input!",RSE_Setup!$B$19,ROW()+1)))</f>
        <v>7500</v>
      </c>
      <c r="E114" s="1" cm="1">
        <f t="array" aca="1" ref="E114" ca="1">IF(ISBLANK(INDIRECT(CONCATENATE("Input!",RSE_Setup!$B$27,ROW()+1))),"",INDIRECT(CONCATENATE("Input!",RSE_Setup!$B$27,ROW()+1)))</f>
        <v>863.74883599999998</v>
      </c>
      <c r="F114" s="1">
        <f ca="1"/>
        <v>857.71949218378757</v>
      </c>
    </row>
    <row r="115" spans="1:6" x14ac:dyDescent="0.3">
      <c r="A115" s="1" cm="1">
        <f t="array" aca="1" ref="A115" ca="1">IF(ISBLANK(INDIRECT(CONCATENATE("Input!",RSE_Setup!$B$16,ROW()+1))),"",INDIRECT(CONCATENATE("Input!",RSE_Setup!$B$16,ROW()+1)))</f>
        <v>2.9999999999999997E-4</v>
      </c>
      <c r="B115" s="1" cm="1">
        <f t="array" aca="1" ref="B115" ca="1">IF(ISBLANK(INDIRECT(CONCATENATE("Input!",RSE_Setup!$B$17,ROW()+1))),"",INDIRECT(CONCATENATE("Input!",RSE_Setup!$B$17,ROW()+1)))</f>
        <v>3.0000000000000001E-3</v>
      </c>
      <c r="C115" s="1" cm="1">
        <f t="array" aca="1" ref="C115" ca="1">IF(ISBLANK(INDIRECT(CONCATENATE("Input!",RSE_Setup!$B$18,ROW()+1))),"",INDIRECT(CONCATENATE("Input!",RSE_Setup!$B$18,ROW()+1)))</f>
        <v>5.5556000000000001E-2</v>
      </c>
      <c r="D115" s="1" cm="1">
        <f t="array" aca="1" ref="D115" ca="1">IF(ISBLANK(INDIRECT(CONCATENATE("Input!",RSE_Setup!$B$19,ROW()+1))),"",INDIRECT(CONCATENATE("Input!",RSE_Setup!$B$19,ROW()+1)))</f>
        <v>9500</v>
      </c>
      <c r="E115" s="1" cm="1">
        <f t="array" aca="1" ref="E115" ca="1">IF(ISBLANK(INDIRECT(CONCATENATE("Input!",RSE_Setup!$B$27,ROW()+1))),"",INDIRECT(CONCATENATE("Input!",RSE_Setup!$B$27,ROW()+1)))</f>
        <v>1090.411026</v>
      </c>
      <c r="F115" s="1">
        <f ca="1"/>
        <v>1085.5852690656984</v>
      </c>
    </row>
    <row r="116" spans="1:6" x14ac:dyDescent="0.3">
      <c r="A116" s="1" cm="1">
        <f t="array" aca="1" ref="A116" ca="1">IF(ISBLANK(INDIRECT(CONCATENATE("Input!",RSE_Setup!$B$16,ROW()+1))),"",INDIRECT(CONCATENATE("Input!",RSE_Setup!$B$16,ROW()+1)))</f>
        <v>2.9999999999999997E-4</v>
      </c>
      <c r="B116" s="1" cm="1">
        <f t="array" aca="1" ref="B116" ca="1">IF(ISBLANK(INDIRECT(CONCATENATE("Input!",RSE_Setup!$B$17,ROW()+1))),"",INDIRECT(CONCATENATE("Input!",RSE_Setup!$B$17,ROW()+1)))</f>
        <v>3.0000000000000001E-3</v>
      </c>
      <c r="C116" s="1" cm="1">
        <f t="array" aca="1" ref="C116" ca="1">IF(ISBLANK(INDIRECT(CONCATENATE("Input!",RSE_Setup!$B$18,ROW()+1))),"",INDIRECT(CONCATENATE("Input!",RSE_Setup!$B$18,ROW()+1)))</f>
        <v>3.2258000000000002E-2</v>
      </c>
      <c r="D116" s="1" cm="1">
        <f t="array" aca="1" ref="D116" ca="1">IF(ISBLANK(INDIRECT(CONCATENATE("Input!",RSE_Setup!$B$19,ROW()+1))),"",INDIRECT(CONCATENATE("Input!",RSE_Setup!$B$19,ROW()+1)))</f>
        <v>9500</v>
      </c>
      <c r="E116" s="1" cm="1">
        <f t="array" aca="1" ref="E116" ca="1">IF(ISBLANK(INDIRECT(CONCATENATE("Input!",RSE_Setup!$B$27,ROW()+1))),"",INDIRECT(CONCATENATE("Input!",RSE_Setup!$B$27,ROW()+1)))</f>
        <v>1115.058276</v>
      </c>
      <c r="F116" s="1">
        <f ca="1"/>
        <v>1109.7822866737449</v>
      </c>
    </row>
    <row r="117" spans="1:6" x14ac:dyDescent="0.3">
      <c r="A117" s="1" cm="1">
        <f t="array" aca="1" ref="A117" ca="1">IF(ISBLANK(INDIRECT(CONCATENATE("Input!",RSE_Setup!$B$16,ROW()+1))),"",INDIRECT(CONCATENATE("Input!",RSE_Setup!$B$16,ROW()+1)))</f>
        <v>2.9999999999999997E-4</v>
      </c>
      <c r="B117" s="1" cm="1">
        <f t="array" aca="1" ref="B117" ca="1">IF(ISBLANK(INDIRECT(CONCATENATE("Input!",RSE_Setup!$B$17,ROW()+1))),"",INDIRECT(CONCATENATE("Input!",RSE_Setup!$B$17,ROW()+1)))</f>
        <v>4.0000000000000001E-3</v>
      </c>
      <c r="C117" s="1" cm="1">
        <f t="array" aca="1" ref="C117" ca="1">IF(ISBLANK(INDIRECT(CONCATENATE("Input!",RSE_Setup!$B$18,ROW()+1))),"",INDIRECT(CONCATENATE("Input!",RSE_Setup!$B$18,ROW()+1)))</f>
        <v>5.5556000000000001E-2</v>
      </c>
      <c r="D117" s="1" cm="1">
        <f t="array" aca="1" ref="D117" ca="1">IF(ISBLANK(INDIRECT(CONCATENATE("Input!",RSE_Setup!$B$19,ROW()+1))),"",INDIRECT(CONCATENATE("Input!",RSE_Setup!$B$19,ROW()+1)))</f>
        <v>5500</v>
      </c>
      <c r="E117" s="1" cm="1">
        <f t="array" aca="1" ref="E117" ca="1">IF(ISBLANK(INDIRECT(CONCATENATE("Input!",RSE_Setup!$B$27,ROW()+1))),"",INDIRECT(CONCATENATE("Input!",RSE_Setup!$B$27,ROW()+1)))</f>
        <v>663.79387899999995</v>
      </c>
      <c r="F117" s="1">
        <f ca="1"/>
        <v>652.03642845727268</v>
      </c>
    </row>
    <row r="118" spans="1:6" x14ac:dyDescent="0.3">
      <c r="A118" s="1" cm="1">
        <f t="array" aca="1" ref="A118" ca="1">IF(ISBLANK(INDIRECT(CONCATENATE("Input!",RSE_Setup!$B$16,ROW()+1))),"",INDIRECT(CONCATENATE("Input!",RSE_Setup!$B$16,ROW()+1)))</f>
        <v>2.9999999999999997E-4</v>
      </c>
      <c r="B118" s="1" cm="1">
        <f t="array" aca="1" ref="B118" ca="1">IF(ISBLANK(INDIRECT(CONCATENATE("Input!",RSE_Setup!$B$17,ROW()+1))),"",INDIRECT(CONCATENATE("Input!",RSE_Setup!$B$17,ROW()+1)))</f>
        <v>4.0000000000000001E-3</v>
      </c>
      <c r="C118" s="1" cm="1">
        <f t="array" aca="1" ref="C118" ca="1">IF(ISBLANK(INDIRECT(CONCATENATE("Input!",RSE_Setup!$B$18,ROW()+1))),"",INDIRECT(CONCATENATE("Input!",RSE_Setup!$B$18,ROW()+1)))</f>
        <v>5.5556000000000001E-2</v>
      </c>
      <c r="D118" s="1" cm="1">
        <f t="array" aca="1" ref="D118" ca="1">IF(ISBLANK(INDIRECT(CONCATENATE("Input!",RSE_Setup!$B$19,ROW()+1))),"",INDIRECT(CONCATENATE("Input!",RSE_Setup!$B$19,ROW()+1)))</f>
        <v>7500</v>
      </c>
      <c r="E118" s="1" cm="1">
        <f t="array" aca="1" ref="E118" ca="1">IF(ISBLANK(INDIRECT(CONCATENATE("Input!",RSE_Setup!$B$27,ROW()+1))),"",INDIRECT(CONCATENATE("Input!",RSE_Setup!$B$27,ROW()+1)))</f>
        <v>888.92853000000002</v>
      </c>
      <c r="F118" s="1">
        <f ca="1"/>
        <v>884.7935664178633</v>
      </c>
    </row>
    <row r="119" spans="1:6" x14ac:dyDescent="0.3">
      <c r="A119" s="1" cm="1">
        <f t="array" aca="1" ref="A119" ca="1">IF(ISBLANK(INDIRECT(CONCATENATE("Input!",RSE_Setup!$B$16,ROW()+1))),"",INDIRECT(CONCATENATE("Input!",RSE_Setup!$B$16,ROW()+1)))</f>
        <v>2.9999999999999997E-4</v>
      </c>
      <c r="B119" s="1" cm="1">
        <f t="array" aca="1" ref="B119" ca="1">IF(ISBLANK(INDIRECT(CONCATENATE("Input!",RSE_Setup!$B$17,ROW()+1))),"",INDIRECT(CONCATENATE("Input!",RSE_Setup!$B$17,ROW()+1)))</f>
        <v>4.0000000000000001E-3</v>
      </c>
      <c r="C119" s="1" cm="1">
        <f t="array" aca="1" ref="C119" ca="1">IF(ISBLANK(INDIRECT(CONCATENATE("Input!",RSE_Setup!$B$18,ROW()+1))),"",INDIRECT(CONCATENATE("Input!",RSE_Setup!$B$18,ROW()+1)))</f>
        <v>5.5556000000000001E-2</v>
      </c>
      <c r="D119" s="1" cm="1">
        <f t="array" aca="1" ref="D119" ca="1">IF(ISBLANK(INDIRECT(CONCATENATE("Input!",RSE_Setup!$B$19,ROW()+1))),"",INDIRECT(CONCATENATE("Input!",RSE_Setup!$B$19,ROW()+1)))</f>
        <v>9500</v>
      </c>
      <c r="E119" s="1" cm="1">
        <f t="array" aca="1" ref="E119" ca="1">IF(ISBLANK(INDIRECT(CONCATENATE("Input!",RSE_Setup!$B$27,ROW()+1))),"",INDIRECT(CONCATENATE("Input!",RSE_Setup!$B$27,ROW()+1)))</f>
        <v>1126.6159869999999</v>
      </c>
      <c r="F119" s="1">
        <f ca="1"/>
        <v>1120.0108511669616</v>
      </c>
    </row>
    <row r="120" spans="1:6" x14ac:dyDescent="0.3">
      <c r="A120" s="1" cm="1">
        <f t="array" aca="1" ref="A120" ca="1">IF(ISBLANK(INDIRECT(CONCATENATE("Input!",RSE_Setup!$B$16,ROW()+1))),"",INDIRECT(CONCATENATE("Input!",RSE_Setup!$B$16,ROW()+1)))</f>
        <v>2.9999999999999997E-4</v>
      </c>
      <c r="B120" s="1" cm="1">
        <f t="array" aca="1" ref="B120" ca="1">IF(ISBLANK(INDIRECT(CONCATENATE("Input!",RSE_Setup!$B$17,ROW()+1))),"",INDIRECT(CONCATENATE("Input!",RSE_Setup!$B$17,ROW()+1)))</f>
        <v>4.0000000000000001E-3</v>
      </c>
      <c r="C120" s="1" cm="1">
        <f t="array" aca="1" ref="C120" ca="1">IF(ISBLANK(INDIRECT(CONCATENATE("Input!",RSE_Setup!$B$18,ROW()+1))),"",INDIRECT(CONCATENATE("Input!",RSE_Setup!$B$18,ROW()+1)))</f>
        <v>3.2258000000000002E-2</v>
      </c>
      <c r="D120" s="1" cm="1">
        <f t="array" aca="1" ref="D120" ca="1">IF(ISBLANK(INDIRECT(CONCATENATE("Input!",RSE_Setup!$B$19,ROW()+1))),"",INDIRECT(CONCATENATE("Input!",RSE_Setup!$B$19,ROW()+1)))</f>
        <v>9500</v>
      </c>
      <c r="E120" s="1" cm="1">
        <f t="array" aca="1" ref="E120" ca="1">IF(ISBLANK(INDIRECT(CONCATENATE("Input!",RSE_Setup!$B$27,ROW()+1))),"",INDIRECT(CONCATENATE("Input!",RSE_Setup!$B$27,ROW()+1)))</f>
        <v>1153.3008689999999</v>
      </c>
      <c r="F120" s="1">
        <f ca="1"/>
        <v>1144.4471478829537</v>
      </c>
    </row>
    <row r="121" spans="1:6" x14ac:dyDescent="0.3">
      <c r="A121" s="1" cm="1">
        <f t="array" aca="1" ref="A121" ca="1">IF(ISBLANK(INDIRECT(CONCATENATE("Input!",RSE_Setup!$B$16,ROW()+1))),"",INDIRECT(CONCATENATE("Input!",RSE_Setup!$B$16,ROW()+1)))</f>
        <v>5.0000000000000001E-4</v>
      </c>
      <c r="B121" s="1" cm="1">
        <f t="array" aca="1" ref="B121" ca="1">IF(ISBLANK(INDIRECT(CONCATENATE("Input!",RSE_Setup!$B$17,ROW()+1))),"",INDIRECT(CONCATENATE("Input!",RSE_Setup!$B$17,ROW()+1)))</f>
        <v>3.0000000000000001E-3</v>
      </c>
      <c r="C121" s="1" cm="1">
        <f t="array" aca="1" ref="C121" ca="1">IF(ISBLANK(INDIRECT(CONCATENATE("Input!",RSE_Setup!$B$18,ROW()+1))),"",INDIRECT(CONCATENATE("Input!",RSE_Setup!$B$18,ROW()+1)))</f>
        <v>0.13333300000000001</v>
      </c>
      <c r="D121" s="1" cm="1">
        <f t="array" aca="1" ref="D121" ca="1">IF(ISBLANK(INDIRECT(CONCATENATE("Input!",RSE_Setup!$B$19,ROW()+1))),"",INDIRECT(CONCATENATE("Input!",RSE_Setup!$B$19,ROW()+1)))</f>
        <v>4000</v>
      </c>
      <c r="E121" s="1" cm="1">
        <f t="array" aca="1" ref="E121" ca="1">IF(ISBLANK(INDIRECT(CONCATENATE("Input!",RSE_Setup!$B$27,ROW()+1))),"",INDIRECT(CONCATENATE("Input!",RSE_Setup!$B$27,ROW()+1)))</f>
        <v>526.79693599999996</v>
      </c>
      <c r="F121" s="1">
        <f ca="1"/>
        <v>544.1195124246974</v>
      </c>
    </row>
    <row r="122" spans="1:6" x14ac:dyDescent="0.3">
      <c r="A122" s="1" cm="1">
        <f t="array" aca="1" ref="A122" ca="1">IF(ISBLANK(INDIRECT(CONCATENATE("Input!",RSE_Setup!$B$16,ROW()+1))),"",INDIRECT(CONCATENATE("Input!",RSE_Setup!$B$16,ROW()+1)))</f>
        <v>5.0000000000000001E-4</v>
      </c>
      <c r="B122" s="1" cm="1">
        <f t="array" aca="1" ref="B122" ca="1">IF(ISBLANK(INDIRECT(CONCATENATE("Input!",RSE_Setup!$B$17,ROW()+1))),"",INDIRECT(CONCATENATE("Input!",RSE_Setup!$B$17,ROW()+1)))</f>
        <v>3.0000000000000001E-3</v>
      </c>
      <c r="C122" s="1" cm="1">
        <f t="array" aca="1" ref="C122" ca="1">IF(ISBLANK(INDIRECT(CONCATENATE("Input!",RSE_Setup!$B$18,ROW()+1))),"",INDIRECT(CONCATENATE("Input!",RSE_Setup!$B$18,ROW()+1)))</f>
        <v>0.111111</v>
      </c>
      <c r="D122" s="1" cm="1">
        <f t="array" aca="1" ref="D122" ca="1">IF(ISBLANK(INDIRECT(CONCATENATE("Input!",RSE_Setup!$B$19,ROW()+1))),"",INDIRECT(CONCATENATE("Input!",RSE_Setup!$B$19,ROW()+1)))</f>
        <v>3750</v>
      </c>
      <c r="E122" s="1" cm="1">
        <f t="array" aca="1" ref="E122" ca="1">IF(ISBLANK(INDIRECT(CONCATENATE("Input!",RSE_Setup!$B$27,ROW()+1))),"",INDIRECT(CONCATENATE("Input!",RSE_Setup!$B$27,ROW()+1)))</f>
        <v>480.969717</v>
      </c>
      <c r="F122" s="1">
        <f ca="1"/>
        <v>481.40877508689971</v>
      </c>
    </row>
    <row r="123" spans="1:6" x14ac:dyDescent="0.3">
      <c r="A123" s="1" cm="1">
        <f t="array" aca="1" ref="A123" ca="1">IF(ISBLANK(INDIRECT(CONCATENATE("Input!",RSE_Setup!$B$16,ROW()+1))),"",INDIRECT(CONCATENATE("Input!",RSE_Setup!$B$16,ROW()+1)))</f>
        <v>5.0000000000000001E-4</v>
      </c>
      <c r="B123" s="1" cm="1">
        <f t="array" aca="1" ref="B123" ca="1">IF(ISBLANK(INDIRECT(CONCATENATE("Input!",RSE_Setup!$B$17,ROW()+1))),"",INDIRECT(CONCATENATE("Input!",RSE_Setup!$B$17,ROW()+1)))</f>
        <v>3.0000000000000001E-3</v>
      </c>
      <c r="C123" s="1" cm="1">
        <f t="array" aca="1" ref="C123" ca="1">IF(ISBLANK(INDIRECT(CONCATENATE("Input!",RSE_Setup!$B$18,ROW()+1))),"",INDIRECT(CONCATENATE("Input!",RSE_Setup!$B$18,ROW()+1)))</f>
        <v>0.111111</v>
      </c>
      <c r="D123" s="1" cm="1">
        <f t="array" aca="1" ref="D123" ca="1">IF(ISBLANK(INDIRECT(CONCATENATE("Input!",RSE_Setup!$B$19,ROW()+1))),"",INDIRECT(CONCATENATE("Input!",RSE_Setup!$B$19,ROW()+1)))</f>
        <v>4750</v>
      </c>
      <c r="E123" s="1" cm="1">
        <f t="array" aca="1" ref="E123" ca="1">IF(ISBLANK(INDIRECT(CONCATENATE("Input!",RSE_Setup!$B$27,ROW()+1))),"",INDIRECT(CONCATENATE("Input!",RSE_Setup!$B$27,ROW()+1)))</f>
        <v>605.05073700000003</v>
      </c>
      <c r="F123" s="1">
        <f ca="1"/>
        <v>586.32087045519415</v>
      </c>
    </row>
    <row r="124" spans="1:6" x14ac:dyDescent="0.3">
      <c r="A124" s="1" cm="1">
        <f t="array" aca="1" ref="A124" ca="1">IF(ISBLANK(INDIRECT(CONCATENATE("Input!",RSE_Setup!$B$16,ROW()+1))),"",INDIRECT(CONCATENATE("Input!",RSE_Setup!$B$16,ROW()+1)))</f>
        <v>5.0000000000000001E-4</v>
      </c>
      <c r="B124" s="1" cm="1">
        <f t="array" aca="1" ref="B124" ca="1">IF(ISBLANK(INDIRECT(CONCATENATE("Input!",RSE_Setup!$B$17,ROW()+1))),"",INDIRECT(CONCATENATE("Input!",RSE_Setup!$B$17,ROW()+1)))</f>
        <v>3.0000000000000001E-3</v>
      </c>
      <c r="C124" s="1" cm="1">
        <f t="array" aca="1" ref="C124" ca="1">IF(ISBLANK(INDIRECT(CONCATENATE("Input!",RSE_Setup!$B$18,ROW()+1))),"",INDIRECT(CONCATENATE("Input!",RSE_Setup!$B$18,ROW()+1)))</f>
        <v>5.5556000000000001E-2</v>
      </c>
      <c r="D124" s="1" cm="1">
        <f t="array" aca="1" ref="D124" ca="1">IF(ISBLANK(INDIRECT(CONCATENATE("Input!",RSE_Setup!$B$19,ROW()+1))),"",INDIRECT(CONCATENATE("Input!",RSE_Setup!$B$19,ROW()+1)))</f>
        <v>5500</v>
      </c>
      <c r="E124" s="1" cm="1">
        <f t="array" aca="1" ref="E124" ca="1">IF(ISBLANK(INDIRECT(CONCATENATE("Input!",RSE_Setup!$B$27,ROW()+1))),"",INDIRECT(CONCATENATE("Input!",RSE_Setup!$B$27,ROW()+1)))</f>
        <v>653.52067199999999</v>
      </c>
      <c r="F124" s="1">
        <f ca="1"/>
        <v>639.88447739050389</v>
      </c>
    </row>
    <row r="125" spans="1:6" x14ac:dyDescent="0.3">
      <c r="A125" s="1" cm="1">
        <f t="array" aca="1" ref="A125" ca="1">IF(ISBLANK(INDIRECT(CONCATENATE("Input!",RSE_Setup!$B$16,ROW()+1))),"",INDIRECT(CONCATENATE("Input!",RSE_Setup!$B$16,ROW()+1)))</f>
        <v>5.0000000000000001E-4</v>
      </c>
      <c r="B125" s="1" cm="1">
        <f t="array" aca="1" ref="B125" ca="1">IF(ISBLANK(INDIRECT(CONCATENATE("Input!",RSE_Setup!$B$17,ROW()+1))),"",INDIRECT(CONCATENATE("Input!",RSE_Setup!$B$17,ROW()+1)))</f>
        <v>3.0000000000000001E-3</v>
      </c>
      <c r="C125" s="1" cm="1">
        <f t="array" aca="1" ref="C125" ca="1">IF(ISBLANK(INDIRECT(CONCATENATE("Input!",RSE_Setup!$B$18,ROW()+1))),"",INDIRECT(CONCATENATE("Input!",RSE_Setup!$B$18,ROW()+1)))</f>
        <v>5.5556000000000001E-2</v>
      </c>
      <c r="D125" s="1" cm="1">
        <f t="array" aca="1" ref="D125" ca="1">IF(ISBLANK(INDIRECT(CONCATENATE("Input!",RSE_Setup!$B$19,ROW()+1))),"",INDIRECT(CONCATENATE("Input!",RSE_Setup!$B$19,ROW()+1)))</f>
        <v>7500</v>
      </c>
      <c r="E125" s="1" cm="1">
        <f t="array" aca="1" ref="E125" ca="1">IF(ISBLANK(INDIRECT(CONCATENATE("Input!",RSE_Setup!$B$27,ROW()+1))),"",INDIRECT(CONCATENATE("Input!",RSE_Setup!$B$27,ROW()+1)))</f>
        <v>875.95689400000003</v>
      </c>
      <c r="F125" s="1">
        <f ca="1"/>
        <v>867.06433653958027</v>
      </c>
    </row>
    <row r="126" spans="1:6" x14ac:dyDescent="0.3">
      <c r="A126" s="1" cm="1">
        <f t="array" aca="1" ref="A126" ca="1">IF(ISBLANK(INDIRECT(CONCATENATE("Input!",RSE_Setup!$B$16,ROW()+1))),"",INDIRECT(CONCATENATE("Input!",RSE_Setup!$B$16,ROW()+1)))</f>
        <v>5.0000000000000001E-4</v>
      </c>
      <c r="B126" s="1" cm="1">
        <f t="array" aca="1" ref="B126" ca="1">IF(ISBLANK(INDIRECT(CONCATENATE("Input!",RSE_Setup!$B$17,ROW()+1))),"",INDIRECT(CONCATENATE("Input!",RSE_Setup!$B$17,ROW()+1)))</f>
        <v>3.0000000000000001E-3</v>
      </c>
      <c r="C126" s="1" cm="1">
        <f t="array" aca="1" ref="C126" ca="1">IF(ISBLANK(INDIRECT(CONCATENATE("Input!",RSE_Setup!$B$18,ROW()+1))),"",INDIRECT(CONCATENATE("Input!",RSE_Setup!$B$18,ROW()+1)))</f>
        <v>5.5556000000000001E-2</v>
      </c>
      <c r="D126" s="1" cm="1">
        <f t="array" aca="1" ref="D126" ca="1">IF(ISBLANK(INDIRECT(CONCATENATE("Input!",RSE_Setup!$B$19,ROW()+1))),"",INDIRECT(CONCATENATE("Input!",RSE_Setup!$B$19,ROW()+1)))</f>
        <v>9500</v>
      </c>
      <c r="E126" s="1" cm="1">
        <f t="array" aca="1" ref="E126" ca="1">IF(ISBLANK(INDIRECT(CONCATENATE("Input!",RSE_Setup!$B$27,ROW()+1))),"",INDIRECT(CONCATENATE("Input!",RSE_Setup!$B$27,ROW()+1)))</f>
        <v>1106.992125</v>
      </c>
      <c r="F126" s="1">
        <f ca="1"/>
        <v>1096.7043424771641</v>
      </c>
    </row>
    <row r="127" spans="1:6" x14ac:dyDescent="0.3">
      <c r="A127" s="1" cm="1">
        <f t="array" aca="1" ref="A127" ca="1">IF(ISBLANK(INDIRECT(CONCATENATE("Input!",RSE_Setup!$B$16,ROW()+1))),"",INDIRECT(CONCATENATE("Input!",RSE_Setup!$B$16,ROW()+1)))</f>
        <v>5.0000000000000001E-4</v>
      </c>
      <c r="B127" s="1" cm="1">
        <f t="array" aca="1" ref="B127" ca="1">IF(ISBLANK(INDIRECT(CONCATENATE("Input!",RSE_Setup!$B$17,ROW()+1))),"",INDIRECT(CONCATENATE("Input!",RSE_Setup!$B$17,ROW()+1)))</f>
        <v>3.0000000000000001E-3</v>
      </c>
      <c r="C127" s="1" cm="1">
        <f t="array" aca="1" ref="C127" ca="1">IF(ISBLANK(INDIRECT(CONCATENATE("Input!",RSE_Setup!$B$18,ROW()+1))),"",INDIRECT(CONCATENATE("Input!",RSE_Setup!$B$18,ROW()+1)))</f>
        <v>3.2258000000000002E-2</v>
      </c>
      <c r="D127" s="1" cm="1">
        <f t="array" aca="1" ref="D127" ca="1">IF(ISBLANK(INDIRECT(CONCATENATE("Input!",RSE_Setup!$B$19,ROW()+1))),"",INDIRECT(CONCATENATE("Input!",RSE_Setup!$B$19,ROW()+1)))</f>
        <v>9500</v>
      </c>
      <c r="E127" s="1" cm="1">
        <f t="array" aca="1" ref="E127" ca="1">IF(ISBLANK(INDIRECT(CONCATENATE("Input!",RSE_Setup!$B$27,ROW()+1))),"",INDIRECT(CONCATENATE("Input!",RSE_Setup!$B$27,ROW()+1)))</f>
        <v>1133.928797</v>
      </c>
      <c r="F127" s="1">
        <f ca="1"/>
        <v>1121.5716544535451</v>
      </c>
    </row>
    <row r="128" spans="1:6" x14ac:dyDescent="0.3">
      <c r="A128" s="1" cm="1">
        <f t="array" aca="1" ref="A128" ca="1">IF(ISBLANK(INDIRECT(CONCATENATE("Input!",RSE_Setup!$B$16,ROW()+1))),"",INDIRECT(CONCATENATE("Input!",RSE_Setup!$B$16,ROW()+1)))</f>
        <v>5.0000000000000001E-4</v>
      </c>
      <c r="B128" s="1" cm="1">
        <f t="array" aca="1" ref="B128" ca="1">IF(ISBLANK(INDIRECT(CONCATENATE("Input!",RSE_Setup!$B$17,ROW()+1))),"",INDIRECT(CONCATENATE("Input!",RSE_Setup!$B$17,ROW()+1)))</f>
        <v>4.7499999999999999E-3</v>
      </c>
      <c r="C128" s="1" cm="1">
        <f t="array" aca="1" ref="C128" ca="1">IF(ISBLANK(INDIRECT(CONCATENATE("Input!",RSE_Setup!$B$18,ROW()+1))),"",INDIRECT(CONCATENATE("Input!",RSE_Setup!$B$18,ROW()+1)))</f>
        <v>0.13333300000000001</v>
      </c>
      <c r="D128" s="1" cm="1">
        <f t="array" aca="1" ref="D128" ca="1">IF(ISBLANK(INDIRECT(CONCATENATE("Input!",RSE_Setup!$B$19,ROW()+1))),"",INDIRECT(CONCATENATE("Input!",RSE_Setup!$B$19,ROW()+1)))</f>
        <v>4000</v>
      </c>
      <c r="E128" s="1" cm="1">
        <f t="array" aca="1" ref="E128" ca="1">IF(ISBLANK(INDIRECT(CONCATENATE("Input!",RSE_Setup!$B$27,ROW()+1))),"",INDIRECT(CONCATENATE("Input!",RSE_Setup!$B$27,ROW()+1)))</f>
        <v>553.67981099999997</v>
      </c>
      <c r="F128" s="1">
        <f ca="1"/>
        <v>568.96690162797324</v>
      </c>
    </row>
    <row r="129" spans="1:6" x14ac:dyDescent="0.3">
      <c r="A129" s="1" cm="1">
        <f t="array" aca="1" ref="A129" ca="1">IF(ISBLANK(INDIRECT(CONCATENATE("Input!",RSE_Setup!$B$16,ROW()+1))),"",INDIRECT(CONCATENATE("Input!",RSE_Setup!$B$16,ROW()+1)))</f>
        <v>5.0000000000000001E-4</v>
      </c>
      <c r="B129" s="1" cm="1">
        <f t="array" aca="1" ref="B129" ca="1">IF(ISBLANK(INDIRECT(CONCATENATE("Input!",RSE_Setup!$B$17,ROW()+1))),"",INDIRECT(CONCATENATE("Input!",RSE_Setup!$B$17,ROW()+1)))</f>
        <v>4.7499999999999999E-3</v>
      </c>
      <c r="C129" s="1" cm="1">
        <f t="array" aca="1" ref="C129" ca="1">IF(ISBLANK(INDIRECT(CONCATENATE("Input!",RSE_Setup!$B$18,ROW()+1))),"",INDIRECT(CONCATENATE("Input!",RSE_Setup!$B$18,ROW()+1)))</f>
        <v>0.111111</v>
      </c>
      <c r="D129" s="1" cm="1">
        <f t="array" aca="1" ref="D129" ca="1">IF(ISBLANK(INDIRECT(CONCATENATE("Input!",RSE_Setup!$B$19,ROW()+1))),"",INDIRECT(CONCATENATE("Input!",RSE_Setup!$B$19,ROW()+1)))</f>
        <v>3750</v>
      </c>
      <c r="E129" s="1" cm="1">
        <f t="array" aca="1" ref="E129" ca="1">IF(ISBLANK(INDIRECT(CONCATENATE("Input!",RSE_Setup!$B$27,ROW()+1))),"",INDIRECT(CONCATENATE("Input!",RSE_Setup!$B$27,ROW()+1)))</f>
        <v>503.60551600000002</v>
      </c>
      <c r="F129" s="1">
        <f ca="1"/>
        <v>505.04742127418513</v>
      </c>
    </row>
    <row r="130" spans="1:6" x14ac:dyDescent="0.3">
      <c r="A130" s="1" cm="1">
        <f t="array" aca="1" ref="A130" ca="1">IF(ISBLANK(INDIRECT(CONCATENATE("Input!",RSE_Setup!$B$16,ROW()+1))),"",INDIRECT(CONCATENATE("Input!",RSE_Setup!$B$16,ROW()+1)))</f>
        <v>5.0000000000000001E-4</v>
      </c>
      <c r="B130" s="1" cm="1">
        <f t="array" aca="1" ref="B130" ca="1">IF(ISBLANK(INDIRECT(CONCATENATE("Input!",RSE_Setup!$B$17,ROW()+1))),"",INDIRECT(CONCATENATE("Input!",RSE_Setup!$B$17,ROW()+1)))</f>
        <v>4.7499999999999999E-3</v>
      </c>
      <c r="C130" s="1" cm="1">
        <f t="array" aca="1" ref="C130" ca="1">IF(ISBLANK(INDIRECT(CONCATENATE("Input!",RSE_Setup!$B$18,ROW()+1))),"",INDIRECT(CONCATENATE("Input!",RSE_Setup!$B$18,ROW()+1)))</f>
        <v>0.111111</v>
      </c>
      <c r="D130" s="1" cm="1">
        <f t="array" aca="1" ref="D130" ca="1">IF(ISBLANK(INDIRECT(CONCATENATE("Input!",RSE_Setup!$B$19,ROW()+1))),"",INDIRECT(CONCATENATE("Input!",RSE_Setup!$B$19,ROW()+1)))</f>
        <v>4750</v>
      </c>
      <c r="E130" s="1" cm="1">
        <f t="array" aca="1" ref="E130" ca="1">IF(ISBLANK(INDIRECT(CONCATENATE("Input!",RSE_Setup!$B$27,ROW()+1))),"",INDIRECT(CONCATENATE("Input!",RSE_Setup!$B$27,ROW()+1)))</f>
        <v>634.80316200000004</v>
      </c>
      <c r="F130" s="1">
        <f ca="1"/>
        <v>616.39208602626854</v>
      </c>
    </row>
    <row r="131" spans="1:6" x14ac:dyDescent="0.3">
      <c r="A131" s="1" cm="1">
        <f t="array" aca="1" ref="A131" ca="1">IF(ISBLANK(INDIRECT(CONCATENATE("Input!",RSE_Setup!$B$16,ROW()+1))),"",INDIRECT(CONCATENATE("Input!",RSE_Setup!$B$16,ROW()+1)))</f>
        <v>5.0000000000000001E-4</v>
      </c>
      <c r="B131" s="1" cm="1">
        <f t="array" aca="1" ref="B131" ca="1">IF(ISBLANK(INDIRECT(CONCATENATE("Input!",RSE_Setup!$B$17,ROW()+1))),"",INDIRECT(CONCATENATE("Input!",RSE_Setup!$B$17,ROW()+1)))</f>
        <v>4.7499999999999999E-3</v>
      </c>
      <c r="C131" s="1" cm="1">
        <f t="array" aca="1" ref="C131" ca="1">IF(ISBLANK(INDIRECT(CONCATENATE("Input!",RSE_Setup!$B$18,ROW()+1))),"",INDIRECT(CONCATENATE("Input!",RSE_Setup!$B$18,ROW()+1)))</f>
        <v>5.5556000000000001E-2</v>
      </c>
      <c r="D131" s="1" cm="1">
        <f t="array" aca="1" ref="D131" ca="1">IF(ISBLANK(INDIRECT(CONCATENATE("Input!",RSE_Setup!$B$19,ROW()+1))),"",INDIRECT(CONCATENATE("Input!",RSE_Setup!$B$19,ROW()+1)))</f>
        <v>5500</v>
      </c>
      <c r="E131" s="1" cm="1">
        <f t="array" aca="1" ref="E131" ca="1">IF(ISBLANK(INDIRECT(CONCATENATE("Input!",RSE_Setup!$B$27,ROW()+1))),"",INDIRECT(CONCATENATE("Input!",RSE_Setup!$B$27,ROW()+1)))</f>
        <v>689.53508299999999</v>
      </c>
      <c r="F131" s="1">
        <f ca="1"/>
        <v>675.77861832431188</v>
      </c>
    </row>
    <row r="132" spans="1:6" x14ac:dyDescent="0.3">
      <c r="A132" s="1" cm="1">
        <f t="array" aca="1" ref="A132" ca="1">IF(ISBLANK(INDIRECT(CONCATENATE("Input!",RSE_Setup!$B$16,ROW()+1))),"",INDIRECT(CONCATENATE("Input!",RSE_Setup!$B$16,ROW()+1)))</f>
        <v>5.0000000000000001E-4</v>
      </c>
      <c r="B132" s="1" cm="1">
        <f t="array" aca="1" ref="B132" ca="1">IF(ISBLANK(INDIRECT(CONCATENATE("Input!",RSE_Setup!$B$17,ROW()+1))),"",INDIRECT(CONCATENATE("Input!",RSE_Setup!$B$17,ROW()+1)))</f>
        <v>4.7499999999999999E-3</v>
      </c>
      <c r="C132" s="1" cm="1">
        <f t="array" aca="1" ref="C132" ca="1">IF(ISBLANK(INDIRECT(CONCATENATE("Input!",RSE_Setup!$B$18,ROW()+1))),"",INDIRECT(CONCATENATE("Input!",RSE_Setup!$B$18,ROW()+1)))</f>
        <v>5.5556000000000001E-2</v>
      </c>
      <c r="D132" s="1" cm="1">
        <f t="array" aca="1" ref="D132" ca="1">IF(ISBLANK(INDIRECT(CONCATENATE("Input!",RSE_Setup!$B$19,ROW()+1))),"",INDIRECT(CONCATENATE("Input!",RSE_Setup!$B$19,ROW()+1)))</f>
        <v>7500</v>
      </c>
      <c r="E132" s="1" cm="1">
        <f t="array" aca="1" ref="E132" ca="1">IF(ISBLANK(INDIRECT(CONCATENATE("Input!",RSE_Setup!$B$27,ROW()+1))),"",INDIRECT(CONCATENATE("Input!",RSE_Setup!$B$27,ROW()+1)))</f>
        <v>922.06036700000004</v>
      </c>
      <c r="F132" s="1">
        <f ca="1"/>
        <v>915.8236162409662</v>
      </c>
    </row>
    <row r="133" spans="1:6" x14ac:dyDescent="0.3">
      <c r="A133" s="1" cm="1">
        <f t="array" aca="1" ref="A133" ca="1">IF(ISBLANK(INDIRECT(CONCATENATE("Input!",RSE_Setup!$B$16,ROW()+1))),"",INDIRECT(CONCATENATE("Input!",RSE_Setup!$B$16,ROW()+1)))</f>
        <v>5.0000000000000001E-4</v>
      </c>
      <c r="B133" s="1" cm="1">
        <f t="array" aca="1" ref="B133" ca="1">IF(ISBLANK(INDIRECT(CONCATENATE("Input!",RSE_Setup!$B$17,ROW()+1))),"",INDIRECT(CONCATENATE("Input!",RSE_Setup!$B$17,ROW()+1)))</f>
        <v>4.7499999999999999E-3</v>
      </c>
      <c r="C133" s="1" cm="1">
        <f t="array" aca="1" ref="C133" ca="1">IF(ISBLANK(INDIRECT(CONCATENATE("Input!",RSE_Setup!$B$18,ROW()+1))),"",INDIRECT(CONCATENATE("Input!",RSE_Setup!$B$18,ROW()+1)))</f>
        <v>5.5556000000000001E-2</v>
      </c>
      <c r="D133" s="1" cm="1">
        <f t="array" aca="1" ref="D133" ca="1">IF(ISBLANK(INDIRECT(CONCATENATE("Input!",RSE_Setup!$B$19,ROW()+1))),"",INDIRECT(CONCATENATE("Input!",RSE_Setup!$B$19,ROW()+1)))</f>
        <v>9500</v>
      </c>
      <c r="E133" s="1" cm="1">
        <f t="array" aca="1" ref="E133" ca="1">IF(ISBLANK(INDIRECT(CONCATENATE("Input!",RSE_Setup!$B$27,ROW()+1))),"",INDIRECT(CONCATENATE("Input!",RSE_Setup!$B$27,ROW()+1)))</f>
        <v>1132.0293670000001</v>
      </c>
      <c r="F133" s="1">
        <f ca="1"/>
        <v>1158.3287609461281</v>
      </c>
    </row>
    <row r="134" spans="1:6" x14ac:dyDescent="0.3">
      <c r="A134" s="1" cm="1">
        <f t="array" aca="1" ref="A134" ca="1">IF(ISBLANK(INDIRECT(CONCATENATE("Input!",RSE_Setup!$B$16,ROW()+1))),"",INDIRECT(CONCATENATE("Input!",RSE_Setup!$B$16,ROW()+1)))</f>
        <v>5.0000000000000001E-4</v>
      </c>
      <c r="B134" s="1" cm="1">
        <f t="array" aca="1" ref="B134" ca="1">IF(ISBLANK(INDIRECT(CONCATENATE("Input!",RSE_Setup!$B$17,ROW()+1))),"",INDIRECT(CONCATENATE("Input!",RSE_Setup!$B$17,ROW()+1)))</f>
        <v>4.7499999999999999E-3</v>
      </c>
      <c r="C134" s="1" cm="1">
        <f t="array" aca="1" ref="C134" ca="1">IF(ISBLANK(INDIRECT(CONCATENATE("Input!",RSE_Setup!$B$18,ROW()+1))),"",INDIRECT(CONCATENATE("Input!",RSE_Setup!$B$18,ROW()+1)))</f>
        <v>3.2258000000000002E-2</v>
      </c>
      <c r="D134" s="1" cm="1">
        <f t="array" aca="1" ref="D134" ca="1">IF(ISBLANK(INDIRECT(CONCATENATE("Input!",RSE_Setup!$B$19,ROW()+1))),"",INDIRECT(CONCATENATE("Input!",RSE_Setup!$B$19,ROW()+1)))</f>
        <v>9500</v>
      </c>
      <c r="E134" s="1" cm="1">
        <f t="array" aca="1" ref="E134" ca="1">IF(ISBLANK(INDIRECT(CONCATENATE("Input!",RSE_Setup!$B$27,ROW()+1))),"",INDIRECT(CONCATENATE("Input!",RSE_Setup!$B$27,ROW()+1)))</f>
        <v>1203.191106</v>
      </c>
      <c r="F134" s="1">
        <f ca="1"/>
        <v>1183.6148113614133</v>
      </c>
    </row>
    <row r="135" spans="1:6" x14ac:dyDescent="0.3">
      <c r="A135" s="1" cm="1">
        <f t="array" aca="1" ref="A135" ca="1">IF(ISBLANK(INDIRECT(CONCATENATE("Input!",RSE_Setup!$B$16,ROW()+1))),"",INDIRECT(CONCATENATE("Input!",RSE_Setup!$B$16,ROW()+1)))</f>
        <v>5.0000000000000001E-4</v>
      </c>
      <c r="B135" s="1" cm="1">
        <f t="array" aca="1" ref="B135" ca="1">IF(ISBLANK(INDIRECT(CONCATENATE("Input!",RSE_Setup!$B$17,ROW()+1))),"",INDIRECT(CONCATENATE("Input!",RSE_Setup!$B$17,ROW()+1)))</f>
        <v>6.4999999999999997E-3</v>
      </c>
      <c r="C135" s="1" cm="1">
        <f t="array" aca="1" ref="C135" ca="1">IF(ISBLANK(INDIRECT(CONCATENATE("Input!",RSE_Setup!$B$18,ROW()+1))),"",INDIRECT(CONCATENATE("Input!",RSE_Setup!$B$18,ROW()+1)))</f>
        <v>0.13333300000000001</v>
      </c>
      <c r="D135" s="1" cm="1">
        <f t="array" aca="1" ref="D135" ca="1">IF(ISBLANK(INDIRECT(CONCATENATE("Input!",RSE_Setup!$B$19,ROW()+1))),"",INDIRECT(CONCATENATE("Input!",RSE_Setup!$B$19,ROW()+1)))</f>
        <v>4000</v>
      </c>
      <c r="E135" s="1" cm="1">
        <f t="array" aca="1" ref="E135" ca="1">IF(ISBLANK(INDIRECT(CONCATENATE("Input!",RSE_Setup!$B$27,ROW()+1))),"",INDIRECT(CONCATENATE("Input!",RSE_Setup!$B$27,ROW()+1)))</f>
        <v>579.99223800000004</v>
      </c>
      <c r="F135" s="1">
        <f ca="1"/>
        <v>597.25731140463802</v>
      </c>
    </row>
    <row r="136" spans="1:6" x14ac:dyDescent="0.3">
      <c r="A136" s="1" cm="1">
        <f t="array" aca="1" ref="A136" ca="1">IF(ISBLANK(INDIRECT(CONCATENATE("Input!",RSE_Setup!$B$16,ROW()+1))),"",INDIRECT(CONCATENATE("Input!",RSE_Setup!$B$16,ROW()+1)))</f>
        <v>5.0000000000000001E-4</v>
      </c>
      <c r="B136" s="1" cm="1">
        <f t="array" aca="1" ref="B136" ca="1">IF(ISBLANK(INDIRECT(CONCATENATE("Input!",RSE_Setup!$B$17,ROW()+1))),"",INDIRECT(CONCATENATE("Input!",RSE_Setup!$B$17,ROW()+1)))</f>
        <v>6.4999999999999997E-3</v>
      </c>
      <c r="C136" s="1" cm="1">
        <f t="array" aca="1" ref="C136" ca="1">IF(ISBLANK(INDIRECT(CONCATENATE("Input!",RSE_Setup!$B$18,ROW()+1))),"",INDIRECT(CONCATENATE("Input!",RSE_Setup!$B$18,ROW()+1)))</f>
        <v>0.111111</v>
      </c>
      <c r="D136" s="1" cm="1">
        <f t="array" aca="1" ref="D136" ca="1">IF(ISBLANK(INDIRECT(CONCATENATE("Input!",RSE_Setup!$B$19,ROW()+1))),"",INDIRECT(CONCATENATE("Input!",RSE_Setup!$B$19,ROW()+1)))</f>
        <v>3750</v>
      </c>
      <c r="E136" s="1" cm="1">
        <f t="array" aca="1" ref="E136" ca="1">IF(ISBLANK(INDIRECT(CONCATENATE("Input!",RSE_Setup!$B$27,ROW()+1))),"",INDIRECT(CONCATENATE("Input!",RSE_Setup!$B$27,ROW()+1)))</f>
        <v>530.50262599999996</v>
      </c>
      <c r="F136" s="1">
        <f ca="1"/>
        <v>532.12908803485925</v>
      </c>
    </row>
    <row r="137" spans="1:6" x14ac:dyDescent="0.3">
      <c r="A137" s="1" cm="1">
        <f t="array" aca="1" ref="A137" ca="1">IF(ISBLANK(INDIRECT(CONCATENATE("Input!",RSE_Setup!$B$16,ROW()+1))),"",INDIRECT(CONCATENATE("Input!",RSE_Setup!$B$16,ROW()+1)))</f>
        <v>5.0000000000000001E-4</v>
      </c>
      <c r="B137" s="1" cm="1">
        <f t="array" aca="1" ref="B137" ca="1">IF(ISBLANK(INDIRECT(CONCATENATE("Input!",RSE_Setup!$B$17,ROW()+1))),"",INDIRECT(CONCATENATE("Input!",RSE_Setup!$B$17,ROW()+1)))</f>
        <v>6.4999999999999997E-3</v>
      </c>
      <c r="C137" s="1" cm="1">
        <f t="array" aca="1" ref="C137" ca="1">IF(ISBLANK(INDIRECT(CONCATENATE("Input!",RSE_Setup!$B$18,ROW()+1))),"",INDIRECT(CONCATENATE("Input!",RSE_Setup!$B$18,ROW()+1)))</f>
        <v>0.111111</v>
      </c>
      <c r="D137" s="1" cm="1">
        <f t="array" aca="1" ref="D137" ca="1">IF(ISBLANK(INDIRECT(CONCATENATE("Input!",RSE_Setup!$B$19,ROW()+1))),"",INDIRECT(CONCATENATE("Input!",RSE_Setup!$B$19,ROW()+1)))</f>
        <v>4750</v>
      </c>
      <c r="E137" s="1" cm="1">
        <f t="array" aca="1" ref="E137" ca="1">IF(ISBLANK(INDIRECT(CONCATENATE("Input!",RSE_Setup!$B$27,ROW()+1))),"",INDIRECT(CONCATENATE("Input!",RSE_Setup!$B$27,ROW()+1)))</f>
        <v>668.13498400000003</v>
      </c>
      <c r="F137" s="1">
        <f ca="1"/>
        <v>649.90632217073176</v>
      </c>
    </row>
    <row r="138" spans="1:6" x14ac:dyDescent="0.3">
      <c r="A138" s="1" cm="1">
        <f t="array" aca="1" ref="A138" ca="1">IF(ISBLANK(INDIRECT(CONCATENATE("Input!",RSE_Setup!$B$16,ROW()+1))),"",INDIRECT(CONCATENATE("Input!",RSE_Setup!$B$16,ROW()+1)))</f>
        <v>5.0000000000000001E-4</v>
      </c>
      <c r="B138" s="1" cm="1">
        <f t="array" aca="1" ref="B138" ca="1">IF(ISBLANK(INDIRECT(CONCATENATE("Input!",RSE_Setup!$B$17,ROW()+1))),"",INDIRECT(CONCATENATE("Input!",RSE_Setup!$B$17,ROW()+1)))</f>
        <v>6.4999999999999997E-3</v>
      </c>
      <c r="C138" s="1" cm="1">
        <f t="array" aca="1" ref="C138" ca="1">IF(ISBLANK(INDIRECT(CONCATENATE("Input!",RSE_Setup!$B$18,ROW()+1))),"",INDIRECT(CONCATENATE("Input!",RSE_Setup!$B$18,ROW()+1)))</f>
        <v>5.5556000000000001E-2</v>
      </c>
      <c r="D138" s="1" cm="1">
        <f t="array" aca="1" ref="D138" ca="1">IF(ISBLANK(INDIRECT(CONCATENATE("Input!",RSE_Setup!$B$19,ROW()+1))),"",INDIRECT(CONCATENATE("Input!",RSE_Setup!$B$19,ROW()+1)))</f>
        <v>5500</v>
      </c>
      <c r="E138" s="1" cm="1">
        <f t="array" aca="1" ref="E138" ca="1">IF(ISBLANK(INDIRECT(CONCATENATE("Input!",RSE_Setup!$B$27,ROW()+1))),"",INDIRECT(CONCATENATE("Input!",RSE_Setup!$B$27,ROW()+1)))</f>
        <v>729.56320700000003</v>
      </c>
      <c r="F138" s="1">
        <f ca="1"/>
        <v>715.11577983150903</v>
      </c>
    </row>
    <row r="139" spans="1:6" x14ac:dyDescent="0.3">
      <c r="A139" s="1" cm="1">
        <f t="array" aca="1" ref="A139" ca="1">IF(ISBLANK(INDIRECT(CONCATENATE("Input!",RSE_Setup!$B$16,ROW()+1))),"",INDIRECT(CONCATENATE("Input!",RSE_Setup!$B$16,ROW()+1)))</f>
        <v>7.5000000000000002E-4</v>
      </c>
      <c r="B139" s="1" cm="1">
        <f t="array" aca="1" ref="B139" ca="1">IF(ISBLANK(INDIRECT(CONCATENATE("Input!",RSE_Setup!$B$17,ROW()+1))),"",INDIRECT(CONCATENATE("Input!",RSE_Setup!$B$17,ROW()+1)))</f>
        <v>4.0000000000000001E-3</v>
      </c>
      <c r="C139" s="1" cm="1">
        <f t="array" aca="1" ref="C139" ca="1">IF(ISBLANK(INDIRECT(CONCATENATE("Input!",RSE_Setup!$B$18,ROW()+1))),"",INDIRECT(CONCATENATE("Input!",RSE_Setup!$B$18,ROW()+1)))</f>
        <v>0.13333300000000001</v>
      </c>
      <c r="D139" s="1" cm="1">
        <f t="array" aca="1" ref="D139" ca="1">IF(ISBLANK(INDIRECT(CONCATENATE("Input!",RSE_Setup!$B$19,ROW()+1))),"",INDIRECT(CONCATENATE("Input!",RSE_Setup!$B$19,ROW()+1)))</f>
        <v>4000</v>
      </c>
      <c r="E139" s="1" cm="1">
        <f t="array" aca="1" ref="E139" ca="1">IF(ISBLANK(INDIRECT(CONCATENATE("Input!",RSE_Setup!$B$27,ROW()+1))),"",INDIRECT(CONCATENATE("Input!",RSE_Setup!$B$27,ROW()+1)))</f>
        <v>552.52830300000005</v>
      </c>
      <c r="F139" s="1">
        <f ca="1"/>
        <v>563.27297008527637</v>
      </c>
    </row>
    <row r="140" spans="1:6" x14ac:dyDescent="0.3">
      <c r="A140" s="1" cm="1">
        <f t="array" aca="1" ref="A140" ca="1">IF(ISBLANK(INDIRECT(CONCATENATE("Input!",RSE_Setup!$B$16,ROW()+1))),"",INDIRECT(CONCATENATE("Input!",RSE_Setup!$B$16,ROW()+1)))</f>
        <v>7.5000000000000002E-4</v>
      </c>
      <c r="B140" s="1" cm="1">
        <f t="array" aca="1" ref="B140" ca="1">IF(ISBLANK(INDIRECT(CONCATENATE("Input!",RSE_Setup!$B$17,ROW()+1))),"",INDIRECT(CONCATENATE("Input!",RSE_Setup!$B$17,ROW()+1)))</f>
        <v>4.0000000000000001E-3</v>
      </c>
      <c r="C140" s="1" cm="1">
        <f t="array" aca="1" ref="C140" ca="1">IF(ISBLANK(INDIRECT(CONCATENATE("Input!",RSE_Setup!$B$18,ROW()+1))),"",INDIRECT(CONCATENATE("Input!",RSE_Setup!$B$18,ROW()+1)))</f>
        <v>0.111111</v>
      </c>
      <c r="D140" s="1" cm="1">
        <f t="array" aca="1" ref="D140" ca="1">IF(ISBLANK(INDIRECT(CONCATENATE("Input!",RSE_Setup!$B$19,ROW()+1))),"",INDIRECT(CONCATENATE("Input!",RSE_Setup!$B$19,ROW()+1)))</f>
        <v>3750</v>
      </c>
      <c r="E140" s="1" cm="1">
        <f t="array" aca="1" ref="E140" ca="1">IF(ISBLANK(INDIRECT(CONCATENATE("Input!",RSE_Setup!$B$27,ROW()+1))),"",INDIRECT(CONCATENATE("Input!",RSE_Setup!$B$27,ROW()+1)))</f>
        <v>501.23218400000002</v>
      </c>
      <c r="F140" s="1">
        <f ca="1"/>
        <v>500.39347084335452</v>
      </c>
    </row>
    <row r="141" spans="1:6" x14ac:dyDescent="0.3">
      <c r="A141" s="1" cm="1">
        <f t="array" aca="1" ref="A141" ca="1">IF(ISBLANK(INDIRECT(CONCATENATE("Input!",RSE_Setup!$B$16,ROW()+1))),"",INDIRECT(CONCATENATE("Input!",RSE_Setup!$B$16,ROW()+1)))</f>
        <v>7.5000000000000002E-4</v>
      </c>
      <c r="B141" s="1" cm="1">
        <f t="array" aca="1" ref="B141" ca="1">IF(ISBLANK(INDIRECT(CONCATENATE("Input!",RSE_Setup!$B$17,ROW()+1))),"",INDIRECT(CONCATENATE("Input!",RSE_Setup!$B$17,ROW()+1)))</f>
        <v>4.0000000000000001E-3</v>
      </c>
      <c r="C141" s="1" cm="1">
        <f t="array" aca="1" ref="C141" ca="1">IF(ISBLANK(INDIRECT(CONCATENATE("Input!",RSE_Setup!$B$18,ROW()+1))),"",INDIRECT(CONCATENATE("Input!",RSE_Setup!$B$18,ROW()+1)))</f>
        <v>0.111111</v>
      </c>
      <c r="D141" s="1" cm="1">
        <f t="array" aca="1" ref="D141" ca="1">IF(ISBLANK(INDIRECT(CONCATENATE("Input!",RSE_Setup!$B$19,ROW()+1))),"",INDIRECT(CONCATENATE("Input!",RSE_Setup!$B$19,ROW()+1)))</f>
        <v>4750</v>
      </c>
      <c r="E141" s="1" cm="1">
        <f t="array" aca="1" ref="E141" ca="1">IF(ISBLANK(INDIRECT(CONCATENATE("Input!",RSE_Setup!$B$27,ROW()+1))),"",INDIRECT(CONCATENATE("Input!",RSE_Setup!$B$27,ROW()+1)))</f>
        <v>631.78796599999998</v>
      </c>
      <c r="F141" s="1">
        <f ca="1"/>
        <v>610.09021330503856</v>
      </c>
    </row>
    <row r="142" spans="1:6" x14ac:dyDescent="0.3">
      <c r="A142" s="1" cm="1">
        <f t="array" aca="1" ref="A142" ca="1">IF(ISBLANK(INDIRECT(CONCATENATE("Input!",RSE_Setup!$B$16,ROW()+1))),"",INDIRECT(CONCATENATE("Input!",RSE_Setup!$B$16,ROW()+1)))</f>
        <v>7.5000000000000002E-4</v>
      </c>
      <c r="B142" s="1" cm="1">
        <f t="array" aca="1" ref="B142" ca="1">IF(ISBLANK(INDIRECT(CONCATENATE("Input!",RSE_Setup!$B$17,ROW()+1))),"",INDIRECT(CONCATENATE("Input!",RSE_Setup!$B$17,ROW()+1)))</f>
        <v>4.0000000000000001E-3</v>
      </c>
      <c r="C142" s="1" cm="1">
        <f t="array" aca="1" ref="C142" ca="1">IF(ISBLANK(INDIRECT(CONCATENATE("Input!",RSE_Setup!$B$18,ROW()+1))),"",INDIRECT(CONCATENATE("Input!",RSE_Setup!$B$18,ROW()+1)))</f>
        <v>5.5556000000000001E-2</v>
      </c>
      <c r="D142" s="1" cm="1">
        <f t="array" aca="1" ref="D142" ca="1">IF(ISBLANK(INDIRECT(CONCATENATE("Input!",RSE_Setup!$B$19,ROW()+1))),"",INDIRECT(CONCATENATE("Input!",RSE_Setup!$B$19,ROW()+1)))</f>
        <v>5500</v>
      </c>
      <c r="E142" s="1" cm="1">
        <f t="array" aca="1" ref="E142" ca="1">IF(ISBLANK(INDIRECT(CONCATENATE("Input!",RSE_Setup!$B$27,ROW()+1))),"",INDIRECT(CONCATENATE("Input!",RSE_Setup!$B$27,ROW()+1)))</f>
        <v>655.98385399999995</v>
      </c>
      <c r="F142" s="1">
        <f ca="1"/>
        <v>669.81080523344849</v>
      </c>
    </row>
    <row r="143" spans="1:6" x14ac:dyDescent="0.3">
      <c r="A143" s="1" cm="1">
        <f t="array" aca="1" ref="A143" ca="1">IF(ISBLANK(INDIRECT(CONCATENATE("Input!",RSE_Setup!$B$16,ROW()+1))),"",INDIRECT(CONCATENATE("Input!",RSE_Setup!$B$16,ROW()+1)))</f>
        <v>7.5000000000000002E-4</v>
      </c>
      <c r="B143" s="1" cm="1">
        <f t="array" aca="1" ref="B143" ca="1">IF(ISBLANK(INDIRECT(CONCATENATE("Input!",RSE_Setup!$B$17,ROW()+1))),"",INDIRECT(CONCATENATE("Input!",RSE_Setup!$B$17,ROW()+1)))</f>
        <v>6.0000000000000001E-3</v>
      </c>
      <c r="C143" s="1" cm="1">
        <f t="array" aca="1" ref="C143" ca="1">IF(ISBLANK(INDIRECT(CONCATENATE("Input!",RSE_Setup!$B$18,ROW()+1))),"",INDIRECT(CONCATENATE("Input!",RSE_Setup!$B$18,ROW()+1)))</f>
        <v>0.13333300000000001</v>
      </c>
      <c r="D143" s="1" cm="1">
        <f t="array" aca="1" ref="D143" ca="1">IF(ISBLANK(INDIRECT(CONCATENATE("Input!",RSE_Setup!$B$19,ROW()+1))),"",INDIRECT(CONCATENATE("Input!",RSE_Setup!$B$19,ROW()+1)))</f>
        <v>4000</v>
      </c>
      <c r="E143" s="1" cm="1">
        <f t="array" aca="1" ref="E143" ca="1">IF(ISBLANK(INDIRECT(CONCATENATE("Input!",RSE_Setup!$B$27,ROW()+1))),"",INDIRECT(CONCATENATE("Input!",RSE_Setup!$B$27,ROW()+1)))</f>
        <v>577.83570999999995</v>
      </c>
      <c r="F143" s="1">
        <f ca="1"/>
        <v>595.11649483726319</v>
      </c>
    </row>
    <row r="144" spans="1:6" x14ac:dyDescent="0.3">
      <c r="A144" s="1" cm="1">
        <f t="array" aca="1" ref="A144" ca="1">IF(ISBLANK(INDIRECT(CONCATENATE("Input!",RSE_Setup!$B$16,ROW()+1))),"",INDIRECT(CONCATENATE("Input!",RSE_Setup!$B$16,ROW()+1)))</f>
        <v>7.5000000000000002E-4</v>
      </c>
      <c r="B144" s="1" cm="1">
        <f t="array" aca="1" ref="B144" ca="1">IF(ISBLANK(INDIRECT(CONCATENATE("Input!",RSE_Setup!$B$17,ROW()+1))),"",INDIRECT(CONCATENATE("Input!",RSE_Setup!$B$17,ROW()+1)))</f>
        <v>6.0000000000000001E-3</v>
      </c>
      <c r="C144" s="1" cm="1">
        <f t="array" aca="1" ref="C144" ca="1">IF(ISBLANK(INDIRECT(CONCATENATE("Input!",RSE_Setup!$B$18,ROW()+1))),"",INDIRECT(CONCATENATE("Input!",RSE_Setup!$B$18,ROW()+1)))</f>
        <v>0.111111</v>
      </c>
      <c r="D144" s="1" cm="1">
        <f t="array" aca="1" ref="D144" ca="1">IF(ISBLANK(INDIRECT(CONCATENATE("Input!",RSE_Setup!$B$19,ROW()+1))),"",INDIRECT(CONCATENATE("Input!",RSE_Setup!$B$19,ROW()+1)))</f>
        <v>3750</v>
      </c>
      <c r="E144" s="1" cm="1">
        <f t="array" aca="1" ref="E144" ca="1">IF(ISBLANK(INDIRECT(CONCATENATE("Input!",RSE_Setup!$B$27,ROW()+1))),"",INDIRECT(CONCATENATE("Input!",RSE_Setup!$B$27,ROW()+1)))</f>
        <v>528.21549200000004</v>
      </c>
      <c r="F144" s="1">
        <f ca="1"/>
        <v>530.855575005638</v>
      </c>
    </row>
    <row r="145" spans="1:6" x14ac:dyDescent="0.3">
      <c r="A145" s="1" cm="1">
        <f t="array" aca="1" ref="A145" ca="1">IF(ISBLANK(INDIRECT(CONCATENATE("Input!",RSE_Setup!$B$16,ROW()+1))),"",INDIRECT(CONCATENATE("Input!",RSE_Setup!$B$16,ROW()+1)))</f>
        <v>7.5000000000000002E-4</v>
      </c>
      <c r="B145" s="1" cm="1">
        <f t="array" aca="1" ref="B145" ca="1">IF(ISBLANK(INDIRECT(CONCATENATE("Input!",RSE_Setup!$B$17,ROW()+1))),"",INDIRECT(CONCATENATE("Input!",RSE_Setup!$B$17,ROW()+1)))</f>
        <v>6.0000000000000001E-3</v>
      </c>
      <c r="C145" s="1" cm="1">
        <f t="array" aca="1" ref="C145" ca="1">IF(ISBLANK(INDIRECT(CONCATENATE("Input!",RSE_Setup!$B$18,ROW()+1))),"",INDIRECT(CONCATENATE("Input!",RSE_Setup!$B$18,ROW()+1)))</f>
        <v>0.111111</v>
      </c>
      <c r="D145" s="1" cm="1">
        <f t="array" aca="1" ref="D145" ca="1">IF(ISBLANK(INDIRECT(CONCATENATE("Input!",RSE_Setup!$B$19,ROW()+1))),"",INDIRECT(CONCATENATE("Input!",RSE_Setup!$B$19,ROW()+1)))</f>
        <v>4750</v>
      </c>
      <c r="E145" s="1" cm="1">
        <f t="array" aca="1" ref="E145" ca="1">IF(ISBLANK(INDIRECT(CONCATENATE("Input!",RSE_Setup!$B$27,ROW()+1))),"",INDIRECT(CONCATENATE("Input!",RSE_Setup!$B$27,ROW()+1)))</f>
        <v>666.45120699999995</v>
      </c>
      <c r="F145" s="1">
        <f ca="1"/>
        <v>647.90382533450929</v>
      </c>
    </row>
    <row r="146" spans="1:6" x14ac:dyDescent="0.3">
      <c r="A146" s="1" cm="1">
        <f t="array" aca="1" ref="A146" ca="1">IF(ISBLANK(INDIRECT(CONCATENATE("Input!",RSE_Setup!$B$16,ROW()+1))),"",INDIRECT(CONCATENATE("Input!",RSE_Setup!$B$16,ROW()+1)))</f>
        <v>7.5000000000000002E-4</v>
      </c>
      <c r="B146" s="1" cm="1">
        <f t="array" aca="1" ref="B146" ca="1">IF(ISBLANK(INDIRECT(CONCATENATE("Input!",RSE_Setup!$B$17,ROW()+1))),"",INDIRECT(CONCATENATE("Input!",RSE_Setup!$B$17,ROW()+1)))</f>
        <v>6.0000000000000001E-3</v>
      </c>
      <c r="C146" s="1" cm="1">
        <f t="array" aca="1" ref="C146" ca="1">IF(ISBLANK(INDIRECT(CONCATENATE("Input!",RSE_Setup!$B$18,ROW()+1))),"",INDIRECT(CONCATENATE("Input!",RSE_Setup!$B$18,ROW()+1)))</f>
        <v>5.5556000000000001E-2</v>
      </c>
      <c r="D146" s="1" cm="1">
        <f t="array" aca="1" ref="D146" ca="1">IF(ISBLANK(INDIRECT(CONCATENATE("Input!",RSE_Setup!$B$19,ROW()+1))),"",INDIRECT(CONCATENATE("Input!",RSE_Setup!$B$19,ROW()+1)))</f>
        <v>5500</v>
      </c>
      <c r="E146" s="1" cm="1">
        <f t="array" aca="1" ref="E146" ca="1">IF(ISBLANK(INDIRECT(CONCATENATE("Input!",RSE_Setup!$B$27,ROW()+1))),"",INDIRECT(CONCATENATE("Input!",RSE_Setup!$B$27,ROW()+1)))</f>
        <v>699.77379299999996</v>
      </c>
      <c r="F146" s="1">
        <f ca="1"/>
        <v>714.27918910604365</v>
      </c>
    </row>
    <row r="147" spans="1:6" x14ac:dyDescent="0.3">
      <c r="A147" s="1" cm="1">
        <f t="array" aca="1" ref="A147" ca="1">IF(ISBLANK(INDIRECT(CONCATENATE("Input!",RSE_Setup!$B$16,ROW()+1))),"",INDIRECT(CONCATENATE("Input!",RSE_Setup!$B$16,ROW()+1)))</f>
        <v>7.5000000000000002E-4</v>
      </c>
      <c r="B147" s="1" cm="1">
        <f t="array" aca="1" ref="B147" ca="1">IF(ISBLANK(INDIRECT(CONCATENATE("Input!",RSE_Setup!$B$17,ROW()+1))),"",INDIRECT(CONCATENATE("Input!",RSE_Setup!$B$17,ROW()+1)))</f>
        <v>8.0000000000000002E-3</v>
      </c>
      <c r="C147" s="1" cm="1">
        <f t="array" aca="1" ref="C147" ca="1">IF(ISBLANK(INDIRECT(CONCATENATE("Input!",RSE_Setup!$B$18,ROW()+1))),"",INDIRECT(CONCATENATE("Input!",RSE_Setup!$B$18,ROW()+1)))</f>
        <v>0.111111</v>
      </c>
      <c r="D147" s="1" cm="1">
        <f t="array" aca="1" ref="D147" ca="1">IF(ISBLANK(INDIRECT(CONCATENATE("Input!",RSE_Setup!$B$19,ROW()+1))),"",INDIRECT(CONCATENATE("Input!",RSE_Setup!$B$19,ROW()+1)))</f>
        <v>4750</v>
      </c>
      <c r="E147" s="1" cm="1">
        <f t="array" aca="1" ref="E147" ca="1">IF(ISBLANK(INDIRECT(CONCATENATE("Input!",RSE_Setup!$B$27,ROW()+1))),"",INDIRECT(CONCATENATE("Input!",RSE_Setup!$B$27,ROW()+1)))</f>
        <v>714.85639800000001</v>
      </c>
      <c r="F147" s="1">
        <f ca="1"/>
        <v>690.21444382718232</v>
      </c>
    </row>
    <row r="148" spans="1:6" x14ac:dyDescent="0.3">
      <c r="A148" s="1" cm="1">
        <f t="array" aca="1" ref="A148" ca="1">IF(ISBLANK(INDIRECT(CONCATENATE("Input!",RSE_Setup!$B$16,ROW()+1))),"",INDIRECT(CONCATENATE("Input!",RSE_Setup!$B$16,ROW()+1)))</f>
        <v>7.5000000000000002E-4</v>
      </c>
      <c r="B148" s="1" cm="1">
        <f t="array" aca="1" ref="B148" ca="1">IF(ISBLANK(INDIRECT(CONCATENATE("Input!",RSE_Setup!$B$17,ROW()+1))),"",INDIRECT(CONCATENATE("Input!",RSE_Setup!$B$17,ROW()+1)))</f>
        <v>8.0000000000000002E-3</v>
      </c>
      <c r="C148" s="1" cm="1">
        <f t="array" aca="1" ref="C148" ca="1">IF(ISBLANK(INDIRECT(CONCATENATE("Input!",RSE_Setup!$B$18,ROW()+1))),"",INDIRECT(CONCATENATE("Input!",RSE_Setup!$B$18,ROW()+1)))</f>
        <v>5.5556000000000001E-2</v>
      </c>
      <c r="D148" s="1" cm="1">
        <f t="array" aca="1" ref="D148" ca="1">IF(ISBLANK(INDIRECT(CONCATENATE("Input!",RSE_Setup!$B$19,ROW()+1))),"",INDIRECT(CONCATENATE("Input!",RSE_Setup!$B$19,ROW()+1)))</f>
        <v>5500</v>
      </c>
      <c r="E148" s="1" cm="1">
        <f t="array" aca="1" ref="E148" ca="1">IF(ISBLANK(INDIRECT(CONCATENATE("Input!",RSE_Setup!$B$27,ROW()+1))),"",INDIRECT(CONCATENATE("Input!",RSE_Setup!$B$27,ROW()+1)))</f>
        <v>744.95151799999996</v>
      </c>
      <c r="F148" s="1">
        <f ca="1"/>
        <v>763.24457944184087</v>
      </c>
    </row>
    <row r="149" spans="1:6" x14ac:dyDescent="0.3">
      <c r="A149" s="1" cm="1">
        <f t="array" aca="1" ref="A149" ca="1">IF(ISBLANK(INDIRECT(CONCATENATE("Input!",RSE_Setup!$B$16,ROW()+1))),"",INDIRECT(CONCATENATE("Input!",RSE_Setup!$B$16,ROW()+1)))</f>
        <v>1E-3</v>
      </c>
      <c r="B149" s="1" cm="1">
        <f t="array" aca="1" ref="B149" ca="1">IF(ISBLANK(INDIRECT(CONCATENATE("Input!",RSE_Setup!$B$17,ROW()+1))),"",INDIRECT(CONCATENATE("Input!",RSE_Setup!$B$17,ROW()+1)))</f>
        <v>5.0000000000000001E-3</v>
      </c>
      <c r="C149" s="1" cm="1">
        <f t="array" aca="1" ref="C149" ca="1">IF(ISBLANK(INDIRECT(CONCATENATE("Input!",RSE_Setup!$B$18,ROW()+1))),"",INDIRECT(CONCATENATE("Input!",RSE_Setup!$B$18,ROW()+1)))</f>
        <v>0.13333300000000001</v>
      </c>
      <c r="D149" s="1" cm="1">
        <f t="array" aca="1" ref="D149" ca="1">IF(ISBLANK(INDIRECT(CONCATENATE("Input!",RSE_Setup!$B$19,ROW()+1))),"",INDIRECT(CONCATENATE("Input!",RSE_Setup!$B$19,ROW()+1)))</f>
        <v>4000</v>
      </c>
      <c r="E149" s="1" cm="1">
        <f t="array" aca="1" ref="E149" ca="1">IF(ISBLANK(INDIRECT(CONCATENATE("Input!",RSE_Setup!$B$27,ROW()+1))),"",INDIRECT(CONCATENATE("Input!",RSE_Setup!$B$27,ROW()+1)))</f>
        <v>571.46087</v>
      </c>
      <c r="F149" s="1">
        <f ca="1"/>
        <v>584.37344864044132</v>
      </c>
    </row>
    <row r="150" spans="1:6" x14ac:dyDescent="0.3">
      <c r="A150" s="1" cm="1">
        <f t="array" aca="1" ref="A150" ca="1">IF(ISBLANK(INDIRECT(CONCATENATE("Input!",RSE_Setup!$B$16,ROW()+1))),"",INDIRECT(CONCATENATE("Input!",RSE_Setup!$B$16,ROW()+1)))</f>
        <v>1E-3</v>
      </c>
      <c r="B150" s="1" cm="1">
        <f t="array" aca="1" ref="B150" ca="1">IF(ISBLANK(INDIRECT(CONCATENATE("Input!",RSE_Setup!$B$17,ROW()+1))),"",INDIRECT(CONCATENATE("Input!",RSE_Setup!$B$17,ROW()+1)))</f>
        <v>5.0000000000000001E-3</v>
      </c>
      <c r="C150" s="1" cm="1">
        <f t="array" aca="1" ref="C150" ca="1">IF(ISBLANK(INDIRECT(CONCATENATE("Input!",RSE_Setup!$B$18,ROW()+1))),"",INDIRECT(CONCATENATE("Input!",RSE_Setup!$B$18,ROW()+1)))</f>
        <v>0.111111</v>
      </c>
      <c r="D150" s="1" cm="1">
        <f t="array" aca="1" ref="D150" ca="1">IF(ISBLANK(INDIRECT(CONCATENATE("Input!",RSE_Setup!$B$19,ROW()+1))),"",INDIRECT(CONCATENATE("Input!",RSE_Setup!$B$19,ROW()+1)))</f>
        <v>3750</v>
      </c>
      <c r="E150" s="1" cm="1">
        <f t="array" aca="1" ref="E150" ca="1">IF(ISBLANK(INDIRECT(CONCATENATE("Input!",RSE_Setup!$B$27,ROW()+1))),"",INDIRECT(CONCATENATE("Input!",RSE_Setup!$B$27,ROW()+1)))</f>
        <v>522.31678299999999</v>
      </c>
      <c r="F150" s="1">
        <f ca="1"/>
        <v>521.32518749439532</v>
      </c>
    </row>
    <row r="151" spans="1:6" x14ac:dyDescent="0.3">
      <c r="A151" s="1" cm="1">
        <f t="array" aca="1" ref="A151" ca="1">IF(ISBLANK(INDIRECT(CONCATENATE("Input!",RSE_Setup!$B$16,ROW()+1))),"",INDIRECT(CONCATENATE("Input!",RSE_Setup!$B$16,ROW()+1)))</f>
        <v>1E-3</v>
      </c>
      <c r="B151" s="1" cm="1">
        <f t="array" aca="1" ref="B151" ca="1">IF(ISBLANK(INDIRECT(CONCATENATE("Input!",RSE_Setup!$B$17,ROW()+1))),"",INDIRECT(CONCATENATE("Input!",RSE_Setup!$B$17,ROW()+1)))</f>
        <v>5.0000000000000001E-3</v>
      </c>
      <c r="C151" s="1" cm="1">
        <f t="array" aca="1" ref="C151" ca="1">IF(ISBLANK(INDIRECT(CONCATENATE("Input!",RSE_Setup!$B$18,ROW()+1))),"",INDIRECT(CONCATENATE("Input!",RSE_Setup!$B$18,ROW()+1)))</f>
        <v>0.111111</v>
      </c>
      <c r="D151" s="1" cm="1">
        <f t="array" aca="1" ref="D151" ca="1">IF(ISBLANK(INDIRECT(CONCATENATE("Input!",RSE_Setup!$B$19,ROW()+1))),"",INDIRECT(CONCATENATE("Input!",RSE_Setup!$B$19,ROW()+1)))</f>
        <v>4750</v>
      </c>
      <c r="E151" s="1" cm="1">
        <f t="array" aca="1" ref="E151" ca="1">IF(ISBLANK(INDIRECT(CONCATENATE("Input!",RSE_Setup!$B$27,ROW()+1))),"",INDIRECT(CONCATENATE("Input!",RSE_Setup!$B$27,ROW()+1)))</f>
        <v>658.16158499999995</v>
      </c>
      <c r="F151" s="1">
        <f ca="1"/>
        <v>635.80657704946861</v>
      </c>
    </row>
    <row r="152" spans="1:6" x14ac:dyDescent="0.3">
      <c r="A152" s="1" cm="1">
        <f t="array" aca="1" ref="A152" ca="1">IF(ISBLANK(INDIRECT(CONCATENATE("Input!",RSE_Setup!$B$16,ROW()+1))),"",INDIRECT(CONCATENATE("Input!",RSE_Setup!$B$16,ROW()+1)))</f>
        <v>1E-3</v>
      </c>
      <c r="B152" s="1" cm="1">
        <f t="array" aca="1" ref="B152" ca="1">IF(ISBLANK(INDIRECT(CONCATENATE("Input!",RSE_Setup!$B$17,ROW()+1))),"",INDIRECT(CONCATENATE("Input!",RSE_Setup!$B$17,ROW()+1)))</f>
        <v>5.0000000000000001E-3</v>
      </c>
      <c r="C152" s="1" cm="1">
        <f t="array" aca="1" ref="C152" ca="1">IF(ISBLANK(INDIRECT(CONCATENATE("Input!",RSE_Setup!$B$18,ROW()+1))),"",INDIRECT(CONCATENATE("Input!",RSE_Setup!$B$18,ROW()+1)))</f>
        <v>5.5556000000000001E-2</v>
      </c>
      <c r="D152" s="1" cm="1">
        <f t="array" aca="1" ref="D152" ca="1">IF(ISBLANK(INDIRECT(CONCATENATE("Input!",RSE_Setup!$B$19,ROW()+1))),"",INDIRECT(CONCATENATE("Input!",RSE_Setup!$B$19,ROW()+1)))</f>
        <v>5500</v>
      </c>
      <c r="E152" s="1" cm="1">
        <f t="array" aca="1" ref="E152" ca="1">IF(ISBLANK(INDIRECT(CONCATENATE("Input!",RSE_Setup!$B$27,ROW()+1))),"",INDIRECT(CONCATENATE("Input!",RSE_Setup!$B$27,ROW()+1)))</f>
        <v>689.00483099999997</v>
      </c>
      <c r="F152" s="1">
        <f ca="1"/>
        <v>701.68415397097863</v>
      </c>
    </row>
    <row r="153" spans="1:6" x14ac:dyDescent="0.3">
      <c r="A153" s="1" cm="1">
        <f t="array" aca="1" ref="A153" ca="1">IF(ISBLANK(INDIRECT(CONCATENATE("Input!",RSE_Setup!$B$16,ROW()+1))),"",INDIRECT(CONCATENATE("Input!",RSE_Setup!$B$16,ROW()+1)))</f>
        <v>1E-3</v>
      </c>
      <c r="B153" s="1" cm="1">
        <f t="array" aca="1" ref="B153" ca="1">IF(ISBLANK(INDIRECT(CONCATENATE("Input!",RSE_Setup!$B$17,ROW()+1))),"",INDIRECT(CONCATENATE("Input!",RSE_Setup!$B$17,ROW()+1)))</f>
        <v>6.4999999999999997E-3</v>
      </c>
      <c r="C153" s="1" cm="1">
        <f t="array" aca="1" ref="C153" ca="1">IF(ISBLANK(INDIRECT(CONCATENATE("Input!",RSE_Setup!$B$18,ROW()+1))),"",INDIRECT(CONCATENATE("Input!",RSE_Setup!$B$18,ROW()+1)))</f>
        <v>0.13333300000000001</v>
      </c>
      <c r="D153" s="1" cm="1">
        <f t="array" aca="1" ref="D153" ca="1">IF(ISBLANK(INDIRECT(CONCATENATE("Input!",RSE_Setup!$B$19,ROW()+1))),"",INDIRECT(CONCATENATE("Input!",RSE_Setup!$B$19,ROW()+1)))</f>
        <v>4000</v>
      </c>
      <c r="E153" s="1" cm="1">
        <f t="array" aca="1" ref="E153" ca="1">IF(ISBLANK(INDIRECT(CONCATENATE("Input!",RSE_Setup!$B$27,ROW()+1))),"",INDIRECT(CONCATENATE("Input!",RSE_Setup!$B$27,ROW()+1)))</f>
        <v>598.16795400000001</v>
      </c>
      <c r="F153" s="1">
        <f ca="1"/>
        <v>610.20858206029732</v>
      </c>
    </row>
    <row r="154" spans="1:6" x14ac:dyDescent="0.3">
      <c r="A154" s="1" cm="1">
        <f t="array" aca="1" ref="A154" ca="1">IF(ISBLANK(INDIRECT(CONCATENATE("Input!",RSE_Setup!$B$16,ROW()+1))),"",INDIRECT(CONCATENATE("Input!",RSE_Setup!$B$16,ROW()+1)))</f>
        <v>1E-3</v>
      </c>
      <c r="B154" s="1" cm="1">
        <f t="array" aca="1" ref="B154" ca="1">IF(ISBLANK(INDIRECT(CONCATENATE("Input!",RSE_Setup!$B$17,ROW()+1))),"",INDIRECT(CONCATENATE("Input!",RSE_Setup!$B$17,ROW()+1)))</f>
        <v>6.4999999999999997E-3</v>
      </c>
      <c r="C154" s="1" cm="1">
        <f t="array" aca="1" ref="C154" ca="1">IF(ISBLANK(INDIRECT(CONCATENATE("Input!",RSE_Setup!$B$18,ROW()+1))),"",INDIRECT(CONCATENATE("Input!",RSE_Setup!$B$18,ROW()+1)))</f>
        <v>0.111111</v>
      </c>
      <c r="D154" s="1" cm="1">
        <f t="array" aca="1" ref="D154" ca="1">IF(ISBLANK(INDIRECT(CONCATENATE("Input!",RSE_Setup!$B$19,ROW()+1))),"",INDIRECT(CONCATENATE("Input!",RSE_Setup!$B$19,ROW()+1)))</f>
        <v>3750</v>
      </c>
      <c r="E154" s="1" cm="1">
        <f t="array" aca="1" ref="E154" ca="1">IF(ISBLANK(INDIRECT(CONCATENATE("Input!",RSE_Setup!$B$27,ROW()+1))),"",INDIRECT(CONCATENATE("Input!",RSE_Setup!$B$27,ROW()+1)))</f>
        <v>545.72700699999996</v>
      </c>
      <c r="F154" s="1">
        <f ca="1"/>
        <v>546.12425547197381</v>
      </c>
    </row>
    <row r="155" spans="1:6" x14ac:dyDescent="0.3">
      <c r="A155" s="1" cm="1">
        <f t="array" aca="1" ref="A155" ca="1">IF(ISBLANK(INDIRECT(CONCATENATE("Input!",RSE_Setup!$B$16,ROW()+1))),"",INDIRECT(CONCATENATE("Input!",RSE_Setup!$B$16,ROW()+1)))</f>
        <v>1E-3</v>
      </c>
      <c r="B155" s="1" cm="1">
        <f t="array" aca="1" ref="B155" ca="1">IF(ISBLANK(INDIRECT(CONCATENATE("Input!",RSE_Setup!$B$17,ROW()+1))),"",INDIRECT(CONCATENATE("Input!",RSE_Setup!$B$17,ROW()+1)))</f>
        <v>6.4999999999999997E-3</v>
      </c>
      <c r="C155" s="1" cm="1">
        <f t="array" aca="1" ref="C155" ca="1">IF(ISBLANK(INDIRECT(CONCATENATE("Input!",RSE_Setup!$B$18,ROW()+1))),"",INDIRECT(CONCATENATE("Input!",RSE_Setup!$B$18,ROW()+1)))</f>
        <v>0.111111</v>
      </c>
      <c r="D155" s="1" cm="1">
        <f t="array" aca="1" ref="D155" ca="1">IF(ISBLANK(INDIRECT(CONCATENATE("Input!",RSE_Setup!$B$19,ROW()+1))),"",INDIRECT(CONCATENATE("Input!",RSE_Setup!$B$19,ROW()+1)))</f>
        <v>4750</v>
      </c>
      <c r="E155" s="1" cm="1">
        <f t="array" aca="1" ref="E155" ca="1">IF(ISBLANK(INDIRECT(CONCATENATE("Input!",RSE_Setup!$B$27,ROW()+1))),"",INDIRECT(CONCATENATE("Input!",RSE_Setup!$B$27,ROW()+1)))</f>
        <v>687.16228000000001</v>
      </c>
      <c r="F155" s="1">
        <f ca="1"/>
        <v>666.11927592743768</v>
      </c>
    </row>
    <row r="156" spans="1:6" x14ac:dyDescent="0.3">
      <c r="A156" s="1" cm="1">
        <f t="array" aca="1" ref="A156" ca="1">IF(ISBLANK(INDIRECT(CONCATENATE("Input!",RSE_Setup!$B$16,ROW()+1))),"",INDIRECT(CONCATENATE("Input!",RSE_Setup!$B$16,ROW()+1)))</f>
        <v>1E-3</v>
      </c>
      <c r="B156" s="1" cm="1">
        <f t="array" aca="1" ref="B156" ca="1">IF(ISBLANK(INDIRECT(CONCATENATE("Input!",RSE_Setup!$B$17,ROW()+1))),"",INDIRECT(CONCATENATE("Input!",RSE_Setup!$B$17,ROW()+1)))</f>
        <v>6.4999999999999997E-3</v>
      </c>
      <c r="C156" s="1" cm="1">
        <f t="array" aca="1" ref="C156" ca="1">IF(ISBLANK(INDIRECT(CONCATENATE("Input!",RSE_Setup!$B$18,ROW()+1))),"",INDIRECT(CONCATENATE("Input!",RSE_Setup!$B$18,ROW()+1)))</f>
        <v>5.5556000000000001E-2</v>
      </c>
      <c r="D156" s="1" cm="1">
        <f t="array" aca="1" ref="D156" ca="1">IF(ISBLANK(INDIRECT(CONCATENATE("Input!",RSE_Setup!$B$19,ROW()+1))),"",INDIRECT(CONCATENATE("Input!",RSE_Setup!$B$19,ROW()+1)))</f>
        <v>5500</v>
      </c>
      <c r="E156" s="1" cm="1">
        <f t="array" aca="1" ref="E156" ca="1">IF(ISBLANK(INDIRECT(CONCATENATE("Input!",RSE_Setup!$B$27,ROW()+1))),"",INDIRECT(CONCATENATE("Input!",RSE_Setup!$B$27,ROW()+1)))</f>
        <v>718.84307000000001</v>
      </c>
      <c r="F156" s="1">
        <f ca="1"/>
        <v>736.98793173129104</v>
      </c>
    </row>
    <row r="157" spans="1:6" x14ac:dyDescent="0.3">
      <c r="A157" s="1" cm="1">
        <f t="array" aca="1" ref="A157" ca="1">IF(ISBLANK(INDIRECT(CONCATENATE("Input!",RSE_Setup!$B$16,ROW()+1))),"",INDIRECT(CONCATENATE("Input!",RSE_Setup!$B$16,ROW()+1)))</f>
        <v>1E-3</v>
      </c>
      <c r="B157" s="1" cm="1">
        <f t="array" aca="1" ref="B157" ca="1">IF(ISBLANK(INDIRECT(CONCATENATE("Input!",RSE_Setup!$B$17,ROW()+1))),"",INDIRECT(CONCATENATE("Input!",RSE_Setup!$B$17,ROW()+1)))</f>
        <v>8.0000000000000002E-3</v>
      </c>
      <c r="C157" s="1" cm="1">
        <f t="array" aca="1" ref="C157" ca="1">IF(ISBLANK(INDIRECT(CONCATENATE("Input!",RSE_Setup!$B$18,ROW()+1))),"",INDIRECT(CONCATENATE("Input!",RSE_Setup!$B$18,ROW()+1)))</f>
        <v>0.111111</v>
      </c>
      <c r="D157" s="1" cm="1">
        <f t="array" aca="1" ref="D157" ca="1">IF(ISBLANK(INDIRECT(CONCATENATE("Input!",RSE_Setup!$B$19,ROW()+1))),"",INDIRECT(CONCATENATE("Input!",RSE_Setup!$B$19,ROW()+1)))</f>
        <v>4750</v>
      </c>
      <c r="E157" s="1" cm="1">
        <f t="array" aca="1" ref="E157" ca="1">IF(ISBLANK(INDIRECT(CONCATENATE("Input!",RSE_Setup!$B$27,ROW()+1))),"",INDIRECT(CONCATENATE("Input!",RSE_Setup!$B$27,ROW()+1)))</f>
        <v>724.59671600000001</v>
      </c>
      <c r="F157" s="1">
        <f ca="1"/>
        <v>698.961540940958</v>
      </c>
    </row>
    <row r="158" spans="1:6" x14ac:dyDescent="0.3">
      <c r="A158" s="1" cm="1">
        <f t="array" aca="1" ref="A158" ca="1">IF(ISBLANK(INDIRECT(CONCATENATE("Input!",RSE_Setup!$B$16,ROW()+1))),"",INDIRECT(CONCATENATE("Input!",RSE_Setup!$B$16,ROW()+1)))</f>
        <v>1E-3</v>
      </c>
      <c r="B158" s="1" cm="1">
        <f t="array" aca="1" ref="B158" ca="1">IF(ISBLANK(INDIRECT(CONCATENATE("Input!",RSE_Setup!$B$17,ROW()+1))),"",INDIRECT(CONCATENATE("Input!",RSE_Setup!$B$17,ROW()+1)))</f>
        <v>8.0000000000000002E-3</v>
      </c>
      <c r="C158" s="1" cm="1">
        <f t="array" aca="1" ref="C158" ca="1">IF(ISBLANK(INDIRECT(CONCATENATE("Input!",RSE_Setup!$B$18,ROW()+1))),"",INDIRECT(CONCATENATE("Input!",RSE_Setup!$B$18,ROW()+1)))</f>
        <v>5.5556000000000001E-2</v>
      </c>
      <c r="D158" s="1" cm="1">
        <f t="array" aca="1" ref="D158" ca="1">IF(ISBLANK(INDIRECT(CONCATENATE("Input!",RSE_Setup!$B$19,ROW()+1))),"",INDIRECT(CONCATENATE("Input!",RSE_Setup!$B$19,ROW()+1)))</f>
        <v>5500</v>
      </c>
      <c r="E158" s="1" cm="1">
        <f t="array" aca="1" ref="E158" ca="1">IF(ISBLANK(INDIRECT(CONCATENATE("Input!",RSE_Setup!$B$27,ROW()+1))),"",INDIRECT(CONCATENATE("Input!",RSE_Setup!$B$27,ROW()+1)))</f>
        <v>759.41014700000005</v>
      </c>
      <c r="F158" s="1">
        <f ca="1"/>
        <v>774.82127562715459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CF97D-43DC-41A7-831F-63B6AE11CD88}">
  <sheetPr codeName="Sheet8"/>
  <dimension ref="A1:G158"/>
  <sheetViews>
    <sheetView workbookViewId="0"/>
  </sheetViews>
  <sheetFormatPr defaultRowHeight="14.4" x14ac:dyDescent="0.3"/>
  <cols>
    <col min="1" max="2" width="8" style="1" bestFit="1" customWidth="1"/>
    <col min="3" max="3" width="9" style="1" bestFit="1" customWidth="1"/>
    <col min="4" max="4" width="6" style="1" bestFit="1" customWidth="1"/>
    <col min="5" max="5" width="11" style="1" bestFit="1" customWidth="1"/>
    <col min="6" max="6" width="12" style="1" bestFit="1" customWidth="1"/>
  </cols>
  <sheetData>
    <row r="1" spans="1:7" x14ac:dyDescent="0.3">
      <c r="A1" s="1" t="s">
        <v>32</v>
      </c>
      <c r="B1" s="1" t="s">
        <v>33</v>
      </c>
      <c r="C1" s="1" t="s">
        <v>34</v>
      </c>
      <c r="D1" s="1" t="s">
        <v>35</v>
      </c>
      <c r="E1" s="1" t="s">
        <v>36</v>
      </c>
      <c r="F1" s="1" t="s">
        <v>298</v>
      </c>
      <c r="G1" t="s">
        <v>16</v>
      </c>
    </row>
    <row r="2" spans="1:7" x14ac:dyDescent="0.3">
      <c r="A2" s="1" cm="1">
        <f t="array" aca="1" ref="A2" ca="1">IF(ISBLANK(INDIRECT(CONCATENATE("Input!",RSE_Setup!$B$16,ROW()+1))),"",INDIRECT(CONCATENATE("Input!",RSE_Setup!$B$16,ROW()+1)))</f>
        <v>5.0000000000000001E-4</v>
      </c>
      <c r="B2" s="1" cm="1">
        <f t="array" aca="1" ref="B2" ca="1">IF(ISBLANK(INDIRECT(CONCATENATE("Input!",RSE_Setup!$B$17,ROW()+1))),"",INDIRECT(CONCATENATE("Input!",RSE_Setup!$B$17,ROW()+1)))</f>
        <v>3.0000000000000001E-3</v>
      </c>
      <c r="C2" s="1" cm="1">
        <f t="array" aca="1" ref="C2" ca="1">IF(ISBLANK(INDIRECT(CONCATENATE("Input!",RSE_Setup!$B$18,ROW()+1))),"",INDIRECT(CONCATENATE("Input!",RSE_Setup!$B$18,ROW()+1)))</f>
        <v>3.2258000000000002E-2</v>
      </c>
      <c r="D2" s="1" cm="1">
        <f t="array" aca="1" ref="D2" ca="1">IF(ISBLANK(INDIRECT(CONCATENATE("Input!",RSE_Setup!$B$19,ROW()+1))),"",INDIRECT(CONCATENATE("Input!",RSE_Setup!$B$19,ROW()+1)))</f>
        <v>3250</v>
      </c>
      <c r="E2" s="1" cm="1">
        <f t="array" aca="1" ref="E2" ca="1">IF(ISBLANK(INDIRECT(CONCATENATE("Input!",RSE_Setup!$B$28,ROW()+1))),"",INDIRECT(CONCATENATE("Input!",RSE_Setup!$B$28,ROW()+1)))</f>
        <v>168.70164</v>
      </c>
      <c r="F2" s="1" cm="1">
        <f t="array" aca="1" ref="F2:F158" ca="1">(18.2415318556849 + 0 * 1 + 21678.5610857458 * RLHP20 + -18789.2057225698 * RLHP60 + 565.579149609437 * HP_ETW + 0.019568857612267 * ETW + -144017.803942532 * RLHP20^2 + -2385114.15476176 * RLHP20 * RLHP60 + 15763.4214937194 * RLHP20 * HP_ETW + -8.62756868375708 * RLHP20 * ETW + 2268470.90177975 * RLHP60^2 + -111828.36052425 * RLHP60 * HP_ETW + 12.6834066798886 * RLHP60 * ETW + 2470.11170076689 * HP_ETW^2 + -0.0299695547331948 * HP_ETW * ETW + -1.72032741829752E-07 * ETW^2)</f>
        <v>168.04586988044466</v>
      </c>
      <c r="G2" t="s">
        <v>307</v>
      </c>
    </row>
    <row r="3" spans="1:7" x14ac:dyDescent="0.3">
      <c r="A3" s="1" cm="1">
        <f t="array" aca="1" ref="A3" ca="1">IF(ISBLANK(INDIRECT(CONCATENATE("Input!",RSE_Setup!$B$16,ROW()+1))),"",INDIRECT(CONCATENATE("Input!",RSE_Setup!$B$16,ROW()+1)))</f>
        <v>5.0000000000000001E-4</v>
      </c>
      <c r="B3" s="1" cm="1">
        <f t="array" aca="1" ref="B3" ca="1">IF(ISBLANK(INDIRECT(CONCATENATE("Input!",RSE_Setup!$B$17,ROW()+1))),"",INDIRECT(CONCATENATE("Input!",RSE_Setup!$B$17,ROW()+1)))</f>
        <v>3.0000000000000001E-3</v>
      </c>
      <c r="C3" s="1" cm="1">
        <f t="array" aca="1" ref="C3" ca="1">IF(ISBLANK(INDIRECT(CONCATENATE("Input!",RSE_Setup!$B$18,ROW()+1))),"",INDIRECT(CONCATENATE("Input!",RSE_Setup!$B$18,ROW()+1)))</f>
        <v>3.2258000000000002E-2</v>
      </c>
      <c r="D3" s="1" cm="1">
        <f t="array" aca="1" ref="D3" ca="1">IF(ISBLANK(INDIRECT(CONCATENATE("Input!",RSE_Setup!$B$19,ROW()+1))),"",INDIRECT(CONCATENATE("Input!",RSE_Setup!$B$19,ROW()+1)))</f>
        <v>4250</v>
      </c>
      <c r="E3" s="1" cm="1">
        <f t="array" aca="1" ref="E3" ca="1">IF(ISBLANK(INDIRECT(CONCATENATE("Input!",RSE_Setup!$B$28,ROW()+1))),"",INDIRECT(CONCATENATE("Input!",RSE_Setup!$B$28,ROW()+1)))</f>
        <v>215.92046300000001</v>
      </c>
      <c r="F3" s="1">
        <f ca="1"/>
        <v>219.09415973019242</v>
      </c>
    </row>
    <row r="4" spans="1:7" x14ac:dyDescent="0.3">
      <c r="A4" s="1" cm="1">
        <f t="array" aca="1" ref="A4" ca="1">IF(ISBLANK(INDIRECT(CONCATENATE("Input!",RSE_Setup!$B$16,ROW()+1))),"",INDIRECT(CONCATENATE("Input!",RSE_Setup!$B$16,ROW()+1)))</f>
        <v>5.0000000000000001E-4</v>
      </c>
      <c r="B4" s="1" cm="1">
        <f t="array" aca="1" ref="B4" ca="1">IF(ISBLANK(INDIRECT(CONCATENATE("Input!",RSE_Setup!$B$17,ROW()+1))),"",INDIRECT(CONCATENATE("Input!",RSE_Setup!$B$17,ROW()+1)))</f>
        <v>4.7499999999999999E-3</v>
      </c>
      <c r="C4" s="1" cm="1">
        <f t="array" aca="1" ref="C4" ca="1">IF(ISBLANK(INDIRECT(CONCATENATE("Input!",RSE_Setup!$B$18,ROW()+1))),"",INDIRECT(CONCATENATE("Input!",RSE_Setup!$B$18,ROW()+1)))</f>
        <v>3.2258000000000002E-2</v>
      </c>
      <c r="D4" s="1" cm="1">
        <f t="array" aca="1" ref="D4" ca="1">IF(ISBLANK(INDIRECT(CONCATENATE("Input!",RSE_Setup!$B$19,ROW()+1))),"",INDIRECT(CONCATENATE("Input!",RSE_Setup!$B$19,ROW()+1)))</f>
        <v>3250</v>
      </c>
      <c r="E4" s="1" cm="1">
        <f t="array" aca="1" ref="E4" ca="1">IF(ISBLANK(INDIRECT(CONCATENATE("Input!",RSE_Setup!$B$28,ROW()+1))),"",INDIRECT(CONCATENATE("Input!",RSE_Setup!$B$28,ROW()+1)))</f>
        <v>233.27793</v>
      </c>
      <c r="F4" s="1">
        <f ca="1"/>
        <v>229.66791838365054</v>
      </c>
    </row>
    <row r="5" spans="1:7" x14ac:dyDescent="0.3">
      <c r="A5" s="1" cm="1">
        <f t="array" aca="1" ref="A5" ca="1">IF(ISBLANK(INDIRECT(CONCATENATE("Input!",RSE_Setup!$B$16,ROW()+1))),"",INDIRECT(CONCATENATE("Input!",RSE_Setup!$B$16,ROW()+1)))</f>
        <v>5.0000000000000001E-4</v>
      </c>
      <c r="B5" s="1" cm="1">
        <f t="array" aca="1" ref="B5" ca="1">IF(ISBLANK(INDIRECT(CONCATENATE("Input!",RSE_Setup!$B$17,ROW()+1))),"",INDIRECT(CONCATENATE("Input!",RSE_Setup!$B$17,ROW()+1)))</f>
        <v>4.7499999999999999E-3</v>
      </c>
      <c r="C5" s="1" cm="1">
        <f t="array" aca="1" ref="C5" ca="1">IF(ISBLANK(INDIRECT(CONCATENATE("Input!",RSE_Setup!$B$18,ROW()+1))),"",INDIRECT(CONCATENATE("Input!",RSE_Setup!$B$18,ROW()+1)))</f>
        <v>3.2258000000000002E-2</v>
      </c>
      <c r="D5" s="1" cm="1">
        <f t="array" aca="1" ref="D5" ca="1">IF(ISBLANK(INDIRECT(CONCATENATE("Input!",RSE_Setup!$B$19,ROW()+1))),"",INDIRECT(CONCATENATE("Input!",RSE_Setup!$B$19,ROW()+1)))</f>
        <v>4250</v>
      </c>
      <c r="E5" s="1" cm="1">
        <f t="array" aca="1" ref="E5" ca="1">IF(ISBLANK(INDIRECT(CONCATENATE("Input!",RSE_Setup!$B$28,ROW()+1))),"",INDIRECT(CONCATENATE("Input!",RSE_Setup!$B$28,ROW()+1)))</f>
        <v>301.19882699999999</v>
      </c>
      <c r="F5" s="1">
        <f ca="1"/>
        <v>302.91216992320324</v>
      </c>
    </row>
    <row r="6" spans="1:7" x14ac:dyDescent="0.3">
      <c r="A6" s="1" cm="1">
        <f t="array" aca="1" ref="A6" ca="1">IF(ISBLANK(INDIRECT(CONCATENATE("Input!",RSE_Setup!$B$16,ROW()+1))),"",INDIRECT(CONCATENATE("Input!",RSE_Setup!$B$16,ROW()+1)))</f>
        <v>5.0000000000000001E-4</v>
      </c>
      <c r="B6" s="1" cm="1">
        <f t="array" aca="1" ref="B6" ca="1">IF(ISBLANK(INDIRECT(CONCATENATE("Input!",RSE_Setup!$B$17,ROW()+1))),"",INDIRECT(CONCATENATE("Input!",RSE_Setup!$B$17,ROW()+1)))</f>
        <v>6.4999999999999997E-3</v>
      </c>
      <c r="C6" s="1" cm="1">
        <f t="array" aca="1" ref="C6" ca="1">IF(ISBLANK(INDIRECT(CONCATENATE("Input!",RSE_Setup!$B$18,ROW()+1))),"",INDIRECT(CONCATENATE("Input!",RSE_Setup!$B$18,ROW()+1)))</f>
        <v>3.2258000000000002E-2</v>
      </c>
      <c r="D6" s="1" cm="1">
        <f t="array" aca="1" ref="D6" ca="1">IF(ISBLANK(INDIRECT(CONCATENATE("Input!",RSE_Setup!$B$19,ROW()+1))),"",INDIRECT(CONCATENATE("Input!",RSE_Setup!$B$19,ROW()+1)))</f>
        <v>3250</v>
      </c>
      <c r="E6" s="1" cm="1">
        <f t="array" aca="1" ref="E6" ca="1">IF(ISBLANK(INDIRECT(CONCATENATE("Input!",RSE_Setup!$B$28,ROW()+1))),"",INDIRECT(CONCATENATE("Input!",RSE_Setup!$B$28,ROW()+1)))</f>
        <v>300.74313899999999</v>
      </c>
      <c r="F6" s="1">
        <f ca="1"/>
        <v>305.18435116025739</v>
      </c>
    </row>
    <row r="7" spans="1:7" x14ac:dyDescent="0.3">
      <c r="A7" s="1" cm="1">
        <f t="array" aca="1" ref="A7" ca="1">IF(ISBLANK(INDIRECT(CONCATENATE("Input!",RSE_Setup!$B$16,ROW()+1))),"",INDIRECT(CONCATENATE("Input!",RSE_Setup!$B$16,ROW()+1)))</f>
        <v>5.0000000000000001E-4</v>
      </c>
      <c r="B7" s="1" cm="1">
        <f t="array" aca="1" ref="B7" ca="1">IF(ISBLANK(INDIRECT(CONCATENATE("Input!",RSE_Setup!$B$17,ROW()+1))),"",INDIRECT(CONCATENATE("Input!",RSE_Setup!$B$17,ROW()+1)))</f>
        <v>6.4999999999999997E-3</v>
      </c>
      <c r="C7" s="1" cm="1">
        <f t="array" aca="1" ref="C7" ca="1">IF(ISBLANK(INDIRECT(CONCATENATE("Input!",RSE_Setup!$B$18,ROW()+1))),"",INDIRECT(CONCATENATE("Input!",RSE_Setup!$B$18,ROW()+1)))</f>
        <v>3.2258000000000002E-2</v>
      </c>
      <c r="D7" s="1" cm="1">
        <f t="array" aca="1" ref="D7" ca="1">IF(ISBLANK(INDIRECT(CONCATENATE("Input!",RSE_Setup!$B$19,ROW()+1))),"",INDIRECT(CONCATENATE("Input!",RSE_Setup!$B$19,ROW()+1)))</f>
        <v>4250</v>
      </c>
      <c r="E7" s="1" cm="1">
        <f t="array" aca="1" ref="E7" ca="1">IF(ISBLANK(INDIRECT(CONCATENATE("Input!",RSE_Setup!$B$28,ROW()+1))),"",INDIRECT(CONCATENATE("Input!",RSE_Setup!$B$28,ROW()+1)))</f>
        <v>397.58553499999999</v>
      </c>
      <c r="F7" s="1">
        <f ca="1"/>
        <v>400.62456438961516</v>
      </c>
    </row>
    <row r="8" spans="1:7" x14ac:dyDescent="0.3">
      <c r="A8" s="1" cm="1">
        <f t="array" aca="1" ref="A8" ca="1">IF(ISBLANK(INDIRECT(CONCATENATE("Input!",RSE_Setup!$B$16,ROW()+1))),"",INDIRECT(CONCATENATE("Input!",RSE_Setup!$B$16,ROW()+1)))</f>
        <v>7.5000000000000002E-4</v>
      </c>
      <c r="B8" s="1" cm="1">
        <f t="array" aca="1" ref="B8" ca="1">IF(ISBLANK(INDIRECT(CONCATENATE("Input!",RSE_Setup!$B$17,ROW()+1))),"",INDIRECT(CONCATENATE("Input!",RSE_Setup!$B$17,ROW()+1)))</f>
        <v>4.0000000000000001E-3</v>
      </c>
      <c r="C8" s="1" cm="1">
        <f t="array" aca="1" ref="C8" ca="1">IF(ISBLANK(INDIRECT(CONCATENATE("Input!",RSE_Setup!$B$18,ROW()+1))),"",INDIRECT(CONCATENATE("Input!",RSE_Setup!$B$18,ROW()+1)))</f>
        <v>3.2258000000000002E-2</v>
      </c>
      <c r="D8" s="1" cm="1">
        <f t="array" aca="1" ref="D8" ca="1">IF(ISBLANK(INDIRECT(CONCATENATE("Input!",RSE_Setup!$B$19,ROW()+1))),"",INDIRECT(CONCATENATE("Input!",RSE_Setup!$B$19,ROW()+1)))</f>
        <v>3250</v>
      </c>
      <c r="E8" s="1" cm="1">
        <f t="array" aca="1" ref="E8" ca="1">IF(ISBLANK(INDIRECT(CONCATENATE("Input!",RSE_Setup!$B$28,ROW()+1))),"",INDIRECT(CONCATENATE("Input!",RSE_Setup!$B$28,ROW()+1)))</f>
        <v>198.96360100000001</v>
      </c>
      <c r="F8" s="1">
        <f ca="1"/>
        <v>197.66386095882501</v>
      </c>
    </row>
    <row r="9" spans="1:7" x14ac:dyDescent="0.3">
      <c r="A9" s="1" cm="1">
        <f t="array" aca="1" ref="A9" ca="1">IF(ISBLANK(INDIRECT(CONCATENATE("Input!",RSE_Setup!$B$16,ROW()+1))),"",INDIRECT(CONCATENATE("Input!",RSE_Setup!$B$16,ROW()+1)))</f>
        <v>7.5000000000000002E-4</v>
      </c>
      <c r="B9" s="1" cm="1">
        <f t="array" aca="1" ref="B9" ca="1">IF(ISBLANK(INDIRECT(CONCATENATE("Input!",RSE_Setup!$B$17,ROW()+1))),"",INDIRECT(CONCATENATE("Input!",RSE_Setup!$B$17,ROW()+1)))</f>
        <v>4.0000000000000001E-3</v>
      </c>
      <c r="C9" s="1" cm="1">
        <f t="array" aca="1" ref="C9" ca="1">IF(ISBLANK(INDIRECT(CONCATENATE("Input!",RSE_Setup!$B$18,ROW()+1))),"",INDIRECT(CONCATENATE("Input!",RSE_Setup!$B$18,ROW()+1)))</f>
        <v>3.2258000000000002E-2</v>
      </c>
      <c r="D9" s="1" cm="1">
        <f t="array" aca="1" ref="D9" ca="1">IF(ISBLANK(INDIRECT(CONCATENATE("Input!",RSE_Setup!$B$19,ROW()+1))),"",INDIRECT(CONCATENATE("Input!",RSE_Setup!$B$19,ROW()+1)))</f>
        <v>4250</v>
      </c>
      <c r="E9" s="1" cm="1">
        <f t="array" aca="1" ref="E9" ca="1">IF(ISBLANK(INDIRECT(CONCATENATE("Input!",RSE_Setup!$B$28,ROW()+1))),"",INDIRECT(CONCATENATE("Input!",RSE_Setup!$B$28,ROW()+1)))</f>
        <v>257.49034799999998</v>
      </c>
      <c r="F9" s="1">
        <f ca="1"/>
        <v>259.23866531752208</v>
      </c>
    </row>
    <row r="10" spans="1:7" x14ac:dyDescent="0.3">
      <c r="A10" s="1" cm="1">
        <f t="array" aca="1" ref="A10" ca="1">IF(ISBLANK(INDIRECT(CONCATENATE("Input!",RSE_Setup!$B$16,ROW()+1))),"",INDIRECT(CONCATENATE("Input!",RSE_Setup!$B$16,ROW()+1)))</f>
        <v>7.5000000000000002E-4</v>
      </c>
      <c r="B10" s="1" cm="1">
        <f t="array" aca="1" ref="B10" ca="1">IF(ISBLANK(INDIRECT(CONCATENATE("Input!",RSE_Setup!$B$17,ROW()+1))),"",INDIRECT(CONCATENATE("Input!",RSE_Setup!$B$17,ROW()+1)))</f>
        <v>6.0000000000000001E-3</v>
      </c>
      <c r="C10" s="1" cm="1">
        <f t="array" aca="1" ref="C10" ca="1">IF(ISBLANK(INDIRECT(CONCATENATE("Input!",RSE_Setup!$B$18,ROW()+1))),"",INDIRECT(CONCATENATE("Input!",RSE_Setup!$B$18,ROW()+1)))</f>
        <v>3.2258000000000002E-2</v>
      </c>
      <c r="D10" s="1" cm="1">
        <f t="array" aca="1" ref="D10" ca="1">IF(ISBLANK(INDIRECT(CONCATENATE("Input!",RSE_Setup!$B$19,ROW()+1))),"",INDIRECT(CONCATENATE("Input!",RSE_Setup!$B$19,ROW()+1)))</f>
        <v>3250</v>
      </c>
      <c r="E10" s="1" cm="1">
        <f t="array" aca="1" ref="E10" ca="1">IF(ISBLANK(INDIRECT(CONCATENATE("Input!",RSE_Setup!$B$28,ROW()+1))),"",INDIRECT(CONCATENATE("Input!",RSE_Setup!$B$28,ROW()+1)))</f>
        <v>275.63861600000001</v>
      </c>
      <c r="F10" s="1">
        <f ca="1"/>
        <v>277.10462122883121</v>
      </c>
    </row>
    <row r="11" spans="1:7" x14ac:dyDescent="0.3">
      <c r="A11" s="1" cm="1">
        <f t="array" aca="1" ref="A11" ca="1">IF(ISBLANK(INDIRECT(CONCATENATE("Input!",RSE_Setup!$B$16,ROW()+1))),"",INDIRECT(CONCATENATE("Input!",RSE_Setup!$B$16,ROW()+1)))</f>
        <v>7.5000000000000002E-4</v>
      </c>
      <c r="B11" s="1" cm="1">
        <f t="array" aca="1" ref="B11" ca="1">IF(ISBLANK(INDIRECT(CONCATENATE("Input!",RSE_Setup!$B$17,ROW()+1))),"",INDIRECT(CONCATENATE("Input!",RSE_Setup!$B$17,ROW()+1)))</f>
        <v>6.0000000000000001E-3</v>
      </c>
      <c r="C11" s="1" cm="1">
        <f t="array" aca="1" ref="C11" ca="1">IF(ISBLANK(INDIRECT(CONCATENATE("Input!",RSE_Setup!$B$18,ROW()+1))),"",INDIRECT(CONCATENATE("Input!",RSE_Setup!$B$18,ROW()+1)))</f>
        <v>3.2258000000000002E-2</v>
      </c>
      <c r="D11" s="1" cm="1">
        <f t="array" aca="1" ref="D11" ca="1">IF(ISBLANK(INDIRECT(CONCATENATE("Input!",RSE_Setup!$B$19,ROW()+1))),"",INDIRECT(CONCATENATE("Input!",RSE_Setup!$B$19,ROW()+1)))</f>
        <v>4250</v>
      </c>
      <c r="E11" s="1" cm="1">
        <f t="array" aca="1" ref="E11" ca="1">IF(ISBLANK(INDIRECT(CONCATENATE("Input!",RSE_Setup!$B$28,ROW()+1))),"",INDIRECT(CONCATENATE("Input!",RSE_Setup!$B$28,ROW()+1)))</f>
        <v>360.64714600000002</v>
      </c>
      <c r="F11" s="1">
        <f ca="1"/>
        <v>364.04623894730537</v>
      </c>
    </row>
    <row r="12" spans="1:7" x14ac:dyDescent="0.3">
      <c r="A12" s="1" cm="1">
        <f t="array" aca="1" ref="A12" ca="1">IF(ISBLANK(INDIRECT(CONCATENATE("Input!",RSE_Setup!$B$16,ROW()+1))),"",INDIRECT(CONCATENATE("Input!",RSE_Setup!$B$16,ROW()+1)))</f>
        <v>7.5000000000000002E-4</v>
      </c>
      <c r="B12" s="1" cm="1">
        <f t="array" aca="1" ref="B12" ca="1">IF(ISBLANK(INDIRECT(CONCATENATE("Input!",RSE_Setup!$B$17,ROW()+1))),"",INDIRECT(CONCATENATE("Input!",RSE_Setup!$B$17,ROW()+1)))</f>
        <v>8.0000000000000002E-3</v>
      </c>
      <c r="C12" s="1" cm="1">
        <f t="array" aca="1" ref="C12" ca="1">IF(ISBLANK(INDIRECT(CONCATENATE("Input!",RSE_Setup!$B$18,ROW()+1))),"",INDIRECT(CONCATENATE("Input!",RSE_Setup!$B$18,ROW()+1)))</f>
        <v>3.2258000000000002E-2</v>
      </c>
      <c r="D12" s="1" cm="1">
        <f t="array" aca="1" ref="D12" ca="1">IF(ISBLANK(INDIRECT(CONCATENATE("Input!",RSE_Setup!$B$19,ROW()+1))),"",INDIRECT(CONCATENATE("Input!",RSE_Setup!$B$19,ROW()+1)))</f>
        <v>4250</v>
      </c>
      <c r="E12" s="1" cm="1">
        <f t="array" aca="1" ref="E12" ca="1">IF(ISBLANK(INDIRECT(CONCATENATE("Input!",RSE_Setup!$B$28,ROW()+1))),"",INDIRECT(CONCATENATE("Input!",RSE_Setup!$B$28,ROW()+1)))</f>
        <v>486.81286299999999</v>
      </c>
      <c r="F12" s="1">
        <f ca="1"/>
        <v>487.00157979132672</v>
      </c>
    </row>
    <row r="13" spans="1:7" x14ac:dyDescent="0.3">
      <c r="A13" s="1" cm="1">
        <f t="array" aca="1" ref="A13" ca="1">IF(ISBLANK(INDIRECT(CONCATENATE("Input!",RSE_Setup!$B$16,ROW()+1))),"",INDIRECT(CONCATENATE("Input!",RSE_Setup!$B$16,ROW()+1)))</f>
        <v>1E-3</v>
      </c>
      <c r="B13" s="1" cm="1">
        <f t="array" aca="1" ref="B13" ca="1">IF(ISBLANK(INDIRECT(CONCATENATE("Input!",RSE_Setup!$B$17,ROW()+1))),"",INDIRECT(CONCATENATE("Input!",RSE_Setup!$B$17,ROW()+1)))</f>
        <v>5.0000000000000001E-3</v>
      </c>
      <c r="C13" s="1" cm="1">
        <f t="array" aca="1" ref="C13" ca="1">IF(ISBLANK(INDIRECT(CONCATENATE("Input!",RSE_Setup!$B$18,ROW()+1))),"",INDIRECT(CONCATENATE("Input!",RSE_Setup!$B$18,ROW()+1)))</f>
        <v>3.2258000000000002E-2</v>
      </c>
      <c r="D13" s="1" cm="1">
        <f t="array" aca="1" ref="D13" ca="1">IF(ISBLANK(INDIRECT(CONCATENATE("Input!",RSE_Setup!$B$19,ROW()+1))),"",INDIRECT(CONCATENATE("Input!",RSE_Setup!$B$19,ROW()+1)))</f>
        <v>3250</v>
      </c>
      <c r="E13" s="1" cm="1">
        <f t="array" aca="1" ref="E13" ca="1">IF(ISBLANK(INDIRECT(CONCATENATE("Input!",RSE_Setup!$B$28,ROW()+1))),"",INDIRECT(CONCATENATE("Input!",RSE_Setup!$B$28,ROW()+1)))</f>
        <v>232.02024700000001</v>
      </c>
      <c r="F13" s="1">
        <f ca="1"/>
        <v>230.60823453789124</v>
      </c>
    </row>
    <row r="14" spans="1:7" x14ac:dyDescent="0.3">
      <c r="A14" s="1" cm="1">
        <f t="array" aca="1" ref="A14" ca="1">IF(ISBLANK(INDIRECT(CONCATENATE("Input!",RSE_Setup!$B$16,ROW()+1))),"",INDIRECT(CONCATENATE("Input!",RSE_Setup!$B$16,ROW()+1)))</f>
        <v>1E-3</v>
      </c>
      <c r="B14" s="1" cm="1">
        <f t="array" aca="1" ref="B14" ca="1">IF(ISBLANK(INDIRECT(CONCATENATE("Input!",RSE_Setup!$B$17,ROW()+1))),"",INDIRECT(CONCATENATE("Input!",RSE_Setup!$B$17,ROW()+1)))</f>
        <v>5.0000000000000001E-3</v>
      </c>
      <c r="C14" s="1" cm="1">
        <f t="array" aca="1" ref="C14" ca="1">IF(ISBLANK(INDIRECT(CONCATENATE("Input!",RSE_Setup!$B$18,ROW()+1))),"",INDIRECT(CONCATENATE("Input!",RSE_Setup!$B$18,ROW()+1)))</f>
        <v>3.2258000000000002E-2</v>
      </c>
      <c r="D14" s="1" cm="1">
        <f t="array" aca="1" ref="D14" ca="1">IF(ISBLANK(INDIRECT(CONCATENATE("Input!",RSE_Setup!$B$19,ROW()+1))),"",INDIRECT(CONCATENATE("Input!",RSE_Setup!$B$19,ROW()+1)))</f>
        <v>4250</v>
      </c>
      <c r="E14" s="1" cm="1">
        <f t="array" aca="1" ref="E14" ca="1">IF(ISBLANK(INDIRECT(CONCATENATE("Input!",RSE_Setup!$B$28,ROW()+1))),"",INDIRECT(CONCATENATE("Input!",RSE_Setup!$B$28,ROW()+1)))</f>
        <v>300.56853799999999</v>
      </c>
      <c r="F14" s="1">
        <f ca="1"/>
        <v>302.70955340553758</v>
      </c>
    </row>
    <row r="15" spans="1:7" x14ac:dyDescent="0.3">
      <c r="A15" s="1" cm="1">
        <f t="array" aca="1" ref="A15" ca="1">IF(ISBLANK(INDIRECT(CONCATENATE("Input!",RSE_Setup!$B$16,ROW()+1))),"",INDIRECT(CONCATENATE("Input!",RSE_Setup!$B$16,ROW()+1)))</f>
        <v>1E-3</v>
      </c>
      <c r="B15" s="1" cm="1">
        <f t="array" aca="1" ref="B15" ca="1">IF(ISBLANK(INDIRECT(CONCATENATE("Input!",RSE_Setup!$B$17,ROW()+1))),"",INDIRECT(CONCATENATE("Input!",RSE_Setup!$B$17,ROW()+1)))</f>
        <v>6.4999999999999997E-3</v>
      </c>
      <c r="C15" s="1" cm="1">
        <f t="array" aca="1" ref="C15" ca="1">IF(ISBLANK(INDIRECT(CONCATENATE("Input!",RSE_Setup!$B$18,ROW()+1))),"",INDIRECT(CONCATENATE("Input!",RSE_Setup!$B$18,ROW()+1)))</f>
        <v>3.2258000000000002E-2</v>
      </c>
      <c r="D15" s="1" cm="1">
        <f t="array" aca="1" ref="D15" ca="1">IF(ISBLANK(INDIRECT(CONCATENATE("Input!",RSE_Setup!$B$19,ROW()+1))),"",INDIRECT(CONCATENATE("Input!",RSE_Setup!$B$19,ROW()+1)))</f>
        <v>3250</v>
      </c>
      <c r="E15" s="1" cm="1">
        <f t="array" aca="1" ref="E15" ca="1">IF(ISBLANK(INDIRECT(CONCATENATE("Input!",RSE_Setup!$B$28,ROW()+1))),"",INDIRECT(CONCATENATE("Input!",RSE_Setup!$B$28,ROW()+1)))</f>
        <v>289.47889900000001</v>
      </c>
      <c r="F15" s="1">
        <f ca="1"/>
        <v>294.39844646136464</v>
      </c>
    </row>
    <row r="16" spans="1:7" x14ac:dyDescent="0.3">
      <c r="A16" s="1" cm="1">
        <f t="array" aca="1" ref="A16" ca="1">IF(ISBLANK(INDIRECT(CONCATENATE("Input!",RSE_Setup!$B$16,ROW()+1))),"",INDIRECT(CONCATENATE("Input!",RSE_Setup!$B$16,ROW()+1)))</f>
        <v>1E-3</v>
      </c>
      <c r="B16" s="1" cm="1">
        <f t="array" aca="1" ref="B16" ca="1">IF(ISBLANK(INDIRECT(CONCATENATE("Input!",RSE_Setup!$B$17,ROW()+1))),"",INDIRECT(CONCATENATE("Input!",RSE_Setup!$B$17,ROW()+1)))</f>
        <v>6.4999999999999997E-3</v>
      </c>
      <c r="C16" s="1" cm="1">
        <f t="array" aca="1" ref="C16" ca="1">IF(ISBLANK(INDIRECT(CONCATENATE("Input!",RSE_Setup!$B$18,ROW()+1))),"",INDIRECT(CONCATENATE("Input!",RSE_Setup!$B$18,ROW()+1)))</f>
        <v>3.2258000000000002E-2</v>
      </c>
      <c r="D16" s="1" cm="1">
        <f t="array" aca="1" ref="D16" ca="1">IF(ISBLANK(INDIRECT(CONCATENATE("Input!",RSE_Setup!$B$19,ROW()+1))),"",INDIRECT(CONCATENATE("Input!",RSE_Setup!$B$19,ROW()+1)))</f>
        <v>4250</v>
      </c>
      <c r="E16" s="1" cm="1">
        <f t="array" aca="1" ref="E16" ca="1">IF(ISBLANK(INDIRECT(CONCATENATE("Input!",RSE_Setup!$B$28,ROW()+1))),"",INDIRECT(CONCATENATE("Input!",RSE_Setup!$B$28,ROW()+1)))</f>
        <v>380.67385999999999</v>
      </c>
      <c r="F16" s="1">
        <f ca="1"/>
        <v>385.52487534884386</v>
      </c>
    </row>
    <row r="17" spans="1:6" x14ac:dyDescent="0.3">
      <c r="A17" s="1" cm="1">
        <f t="array" aca="1" ref="A17" ca="1">IF(ISBLANK(INDIRECT(CONCATENATE("Input!",RSE_Setup!$B$16,ROW()+1))),"",INDIRECT(CONCATENATE("Input!",RSE_Setup!$B$16,ROW()+1)))</f>
        <v>1E-3</v>
      </c>
      <c r="B17" s="1" cm="1">
        <f t="array" aca="1" ref="B17" ca="1">IF(ISBLANK(INDIRECT(CONCATENATE("Input!",RSE_Setup!$B$17,ROW()+1))),"",INDIRECT(CONCATENATE("Input!",RSE_Setup!$B$17,ROW()+1)))</f>
        <v>8.0000000000000002E-3</v>
      </c>
      <c r="C17" s="1" cm="1">
        <f t="array" aca="1" ref="C17" ca="1">IF(ISBLANK(INDIRECT(CONCATENATE("Input!",RSE_Setup!$B$18,ROW()+1))),"",INDIRECT(CONCATENATE("Input!",RSE_Setup!$B$18,ROW()+1)))</f>
        <v>3.2258000000000002E-2</v>
      </c>
      <c r="D17" s="1" cm="1">
        <f t="array" aca="1" ref="D17" ca="1">IF(ISBLANK(INDIRECT(CONCATENATE("Input!",RSE_Setup!$B$19,ROW()+1))),"",INDIRECT(CONCATENATE("Input!",RSE_Setup!$B$19,ROW()+1)))</f>
        <v>4250</v>
      </c>
      <c r="E17" s="1" cm="1">
        <f t="array" aca="1" ref="E17" ca="1">IF(ISBLANK(INDIRECT(CONCATENATE("Input!",RSE_Setup!$B$28,ROW()+1))),"",INDIRECT(CONCATENATE("Input!",RSE_Setup!$B$28,ROW()+1)))</f>
        <v>476.91112199999998</v>
      </c>
      <c r="F17" s="1">
        <f ca="1"/>
        <v>478.54831635015904</v>
      </c>
    </row>
    <row r="18" spans="1:6" x14ac:dyDescent="0.3">
      <c r="A18" s="1" cm="1">
        <f t="array" aca="1" ref="A18" ca="1">IF(ISBLANK(INDIRECT(CONCATENATE("Input!",RSE_Setup!$B$16,ROW()+1))),"",INDIRECT(CONCATENATE("Input!",RSE_Setup!$B$16,ROW()+1)))</f>
        <v>2.9999999999999997E-4</v>
      </c>
      <c r="B18" s="1" cm="1">
        <f t="array" aca="1" ref="B18" ca="1">IF(ISBLANK(INDIRECT(CONCATENATE("Input!",RSE_Setup!$B$17,ROW()+1))),"",INDIRECT(CONCATENATE("Input!",RSE_Setup!$B$17,ROW()+1)))</f>
        <v>2E-3</v>
      </c>
      <c r="C18" s="1" cm="1">
        <f t="array" aca="1" ref="C18" ca="1">IF(ISBLANK(INDIRECT(CONCATENATE("Input!",RSE_Setup!$B$18,ROW()+1))),"",INDIRECT(CONCATENATE("Input!",RSE_Setup!$B$18,ROW()+1)))</f>
        <v>3.2258000000000002E-2</v>
      </c>
      <c r="D18" s="1" cm="1">
        <f t="array" aca="1" ref="D18" ca="1">IF(ISBLANK(INDIRECT(CONCATENATE("Input!",RSE_Setup!$B$19,ROW()+1))),"",INDIRECT(CONCATENATE("Input!",RSE_Setup!$B$19,ROW()+1)))</f>
        <v>5250</v>
      </c>
      <c r="E18" s="1" cm="1">
        <f t="array" aca="1" ref="E18" ca="1">IF(ISBLANK(INDIRECT(CONCATENATE("Input!",RSE_Setup!$B$28,ROW()+1))),"",INDIRECT(CONCATENATE("Input!",RSE_Setup!$B$28,ROW()+1)))</f>
        <v>216.76514700000001</v>
      </c>
      <c r="F18" s="1">
        <f ca="1"/>
        <v>221.05589069293106</v>
      </c>
    </row>
    <row r="19" spans="1:6" x14ac:dyDescent="0.3">
      <c r="A19" s="1" cm="1">
        <f t="array" aca="1" ref="A19" ca="1">IF(ISBLANK(INDIRECT(CONCATENATE("Input!",RSE_Setup!$B$16,ROW()+1))),"",INDIRECT(CONCATENATE("Input!",RSE_Setup!$B$16,ROW()+1)))</f>
        <v>2.9999999999999997E-4</v>
      </c>
      <c r="B19" s="1" cm="1">
        <f t="array" aca="1" ref="B19" ca="1">IF(ISBLANK(INDIRECT(CONCATENATE("Input!",RSE_Setup!$B$17,ROW()+1))),"",INDIRECT(CONCATENATE("Input!",RSE_Setup!$B$17,ROW()+1)))</f>
        <v>2E-3</v>
      </c>
      <c r="C19" s="1" cm="1">
        <f t="array" aca="1" ref="C19" ca="1">IF(ISBLANK(INDIRECT(CONCATENATE("Input!",RSE_Setup!$B$18,ROW()+1))),"",INDIRECT(CONCATENATE("Input!",RSE_Setup!$B$18,ROW()+1)))</f>
        <v>3.2258000000000002E-2</v>
      </c>
      <c r="D19" s="1" cm="1">
        <f t="array" aca="1" ref="D19" ca="1">IF(ISBLANK(INDIRECT(CONCATENATE("Input!",RSE_Setup!$B$19,ROW()+1))),"",INDIRECT(CONCATENATE("Input!",RSE_Setup!$B$19,ROW()+1)))</f>
        <v>6500</v>
      </c>
      <c r="E19" s="1" cm="1">
        <f t="array" aca="1" ref="E19" ca="1">IF(ISBLANK(INDIRECT(CONCATENATE("Input!",RSE_Setup!$B$28,ROW()+1))),"",INDIRECT(CONCATENATE("Input!",RSE_Setup!$B$28,ROW()+1)))</f>
        <v>265.02172200000001</v>
      </c>
      <c r="F19" s="1">
        <f ca="1"/>
        <v>270.25496288522368</v>
      </c>
    </row>
    <row r="20" spans="1:6" x14ac:dyDescent="0.3">
      <c r="A20" s="1" cm="1">
        <f t="array" aca="1" ref="A20" ca="1">IF(ISBLANK(INDIRECT(CONCATENATE("Input!",RSE_Setup!$B$16,ROW()+1))),"",INDIRECT(CONCATENATE("Input!",RSE_Setup!$B$16,ROW()+1)))</f>
        <v>2.9999999999999997E-4</v>
      </c>
      <c r="B20" s="1" cm="1">
        <f t="array" aca="1" ref="B20" ca="1">IF(ISBLANK(INDIRECT(CONCATENATE("Input!",RSE_Setup!$B$17,ROW()+1))),"",INDIRECT(CONCATENATE("Input!",RSE_Setup!$B$17,ROW()+1)))</f>
        <v>3.0000000000000001E-3</v>
      </c>
      <c r="C20" s="1" cm="1">
        <f t="array" aca="1" ref="C20" ca="1">IF(ISBLANK(INDIRECT(CONCATENATE("Input!",RSE_Setup!$B$18,ROW()+1))),"",INDIRECT(CONCATENATE("Input!",RSE_Setup!$B$18,ROW()+1)))</f>
        <v>3.2258000000000002E-2</v>
      </c>
      <c r="D20" s="1" cm="1">
        <f t="array" aca="1" ref="D20" ca="1">IF(ISBLANK(INDIRECT(CONCATENATE("Input!",RSE_Setup!$B$19,ROW()+1))),"",INDIRECT(CONCATENATE("Input!",RSE_Setup!$B$19,ROW()+1)))</f>
        <v>5250</v>
      </c>
      <c r="E20" s="1" cm="1">
        <f t="array" aca="1" ref="E20" ca="1">IF(ISBLANK(INDIRECT(CONCATENATE("Input!",RSE_Setup!$B$28,ROW()+1))),"",INDIRECT(CONCATENATE("Input!",RSE_Setup!$B$28,ROW()+1)))</f>
        <v>274.12512500000003</v>
      </c>
      <c r="F20" s="1">
        <f ca="1"/>
        <v>275.87403104845538</v>
      </c>
    </row>
    <row r="21" spans="1:6" x14ac:dyDescent="0.3">
      <c r="A21" s="1" cm="1">
        <f t="array" aca="1" ref="A21" ca="1">IF(ISBLANK(INDIRECT(CONCATENATE("Input!",RSE_Setup!$B$16,ROW()+1))),"",INDIRECT(CONCATENATE("Input!",RSE_Setup!$B$16,ROW()+1)))</f>
        <v>2.9999999999999997E-4</v>
      </c>
      <c r="B21" s="1" cm="1">
        <f t="array" aca="1" ref="B21" ca="1">IF(ISBLANK(INDIRECT(CONCATENATE("Input!",RSE_Setup!$B$17,ROW()+1))),"",INDIRECT(CONCATENATE("Input!",RSE_Setup!$B$17,ROW()+1)))</f>
        <v>3.0000000000000001E-3</v>
      </c>
      <c r="C21" s="1" cm="1">
        <f t="array" aca="1" ref="C21" ca="1">IF(ISBLANK(INDIRECT(CONCATENATE("Input!",RSE_Setup!$B$18,ROW()+1))),"",INDIRECT(CONCATENATE("Input!",RSE_Setup!$B$18,ROW()+1)))</f>
        <v>3.2258000000000002E-2</v>
      </c>
      <c r="D21" s="1" cm="1">
        <f t="array" aca="1" ref="D21" ca="1">IF(ISBLANK(INDIRECT(CONCATENATE("Input!",RSE_Setup!$B$19,ROW()+1))),"",INDIRECT(CONCATENATE("Input!",RSE_Setup!$B$19,ROW()+1)))</f>
        <v>6500</v>
      </c>
      <c r="E21" s="1" cm="1">
        <f t="array" aca="1" ref="E21" ca="1">IF(ISBLANK(INDIRECT(CONCATENATE("Input!",RSE_Setup!$B$28,ROW()+1))),"",INDIRECT(CONCATENATE("Input!",RSE_Setup!$B$28,ROW()+1)))</f>
        <v>335.60003899999998</v>
      </c>
      <c r="F21" s="1">
        <f ca="1"/>
        <v>340.92736159060877</v>
      </c>
    </row>
    <row r="22" spans="1:6" x14ac:dyDescent="0.3">
      <c r="A22" s="1" cm="1">
        <f t="array" aca="1" ref="A22" ca="1">IF(ISBLANK(INDIRECT(CONCATENATE("Input!",RSE_Setup!$B$16,ROW()+1))),"",INDIRECT(CONCATENATE("Input!",RSE_Setup!$B$16,ROW()+1)))</f>
        <v>2.9999999999999997E-4</v>
      </c>
      <c r="B22" s="1" cm="1">
        <f t="array" aca="1" ref="B22" ca="1">IF(ISBLANK(INDIRECT(CONCATENATE("Input!",RSE_Setup!$B$17,ROW()+1))),"",INDIRECT(CONCATENATE("Input!",RSE_Setup!$B$17,ROW()+1)))</f>
        <v>4.0000000000000001E-3</v>
      </c>
      <c r="C22" s="1" cm="1">
        <f t="array" aca="1" ref="C22" ca="1">IF(ISBLANK(INDIRECT(CONCATENATE("Input!",RSE_Setup!$B$18,ROW()+1))),"",INDIRECT(CONCATENATE("Input!",RSE_Setup!$B$18,ROW()+1)))</f>
        <v>3.2258000000000002E-2</v>
      </c>
      <c r="D22" s="1" cm="1">
        <f t="array" aca="1" ref="D22" ca="1">IF(ISBLANK(INDIRECT(CONCATENATE("Input!",RSE_Setup!$B$19,ROW()+1))),"",INDIRECT(CONCATENATE("Input!",RSE_Setup!$B$19,ROW()+1)))</f>
        <v>5250</v>
      </c>
      <c r="E22" s="1" cm="1">
        <f t="array" aca="1" ref="E22" ca="1">IF(ISBLANK(INDIRECT(CONCATENATE("Input!",RSE_Setup!$B$28,ROW()+1))),"",INDIRECT(CONCATENATE("Input!",RSE_Setup!$B$28,ROW()+1)))</f>
        <v>334.531184</v>
      </c>
      <c r="F22" s="1">
        <f ca="1"/>
        <v>335.22911320753917</v>
      </c>
    </row>
    <row r="23" spans="1:6" x14ac:dyDescent="0.3">
      <c r="A23" s="1" cm="1">
        <f t="array" aca="1" ref="A23" ca="1">IF(ISBLANK(INDIRECT(CONCATENATE("Input!",RSE_Setup!$B$16,ROW()+1))),"",INDIRECT(CONCATENATE("Input!",RSE_Setup!$B$16,ROW()+1)))</f>
        <v>2.9999999999999997E-4</v>
      </c>
      <c r="B23" s="1" cm="1">
        <f t="array" aca="1" ref="B23" ca="1">IF(ISBLANK(INDIRECT(CONCATENATE("Input!",RSE_Setup!$B$17,ROW()+1))),"",INDIRECT(CONCATENATE("Input!",RSE_Setup!$B$17,ROW()+1)))</f>
        <v>4.0000000000000001E-3</v>
      </c>
      <c r="C23" s="1" cm="1">
        <f t="array" aca="1" ref="C23" ca="1">IF(ISBLANK(INDIRECT(CONCATENATE("Input!",RSE_Setup!$B$18,ROW()+1))),"",INDIRECT(CONCATENATE("Input!",RSE_Setup!$B$18,ROW()+1)))</f>
        <v>3.2258000000000002E-2</v>
      </c>
      <c r="D23" s="1" cm="1">
        <f t="array" aca="1" ref="D23" ca="1">IF(ISBLANK(INDIRECT(CONCATENATE("Input!",RSE_Setup!$B$19,ROW()+1))),"",INDIRECT(CONCATENATE("Input!",RSE_Setup!$B$19,ROW()+1)))</f>
        <v>6500</v>
      </c>
      <c r="E23" s="1" cm="1">
        <f t="array" aca="1" ref="E23" ca="1">IF(ISBLANK(INDIRECT(CONCATENATE("Input!",RSE_Setup!$B$28,ROW()+1))),"",INDIRECT(CONCATENATE("Input!",RSE_Setup!$B$28,ROW()+1)))</f>
        <v>409.79359099999999</v>
      </c>
      <c r="F23" s="1">
        <f ca="1"/>
        <v>416.1367020995533</v>
      </c>
    </row>
    <row r="24" spans="1:6" x14ac:dyDescent="0.3">
      <c r="A24" s="1" cm="1">
        <f t="array" aca="1" ref="A24" ca="1">IF(ISBLANK(INDIRECT(CONCATENATE("Input!",RSE_Setup!$B$16,ROW()+1))),"",INDIRECT(CONCATENATE("Input!",RSE_Setup!$B$16,ROW()+1)))</f>
        <v>5.0000000000000001E-4</v>
      </c>
      <c r="B24" s="1" cm="1">
        <f t="array" aca="1" ref="B24" ca="1">IF(ISBLANK(INDIRECT(CONCATENATE("Input!",RSE_Setup!$B$17,ROW()+1))),"",INDIRECT(CONCATENATE("Input!",RSE_Setup!$B$17,ROW()+1)))</f>
        <v>3.0000000000000001E-3</v>
      </c>
      <c r="C24" s="1" cm="1">
        <f t="array" aca="1" ref="C24" ca="1">IF(ISBLANK(INDIRECT(CONCATENATE("Input!",RSE_Setup!$B$18,ROW()+1))),"",INDIRECT(CONCATENATE("Input!",RSE_Setup!$B$18,ROW()+1)))</f>
        <v>5.5556000000000001E-2</v>
      </c>
      <c r="D24" s="1" cm="1">
        <f t="array" aca="1" ref="D24" ca="1">IF(ISBLANK(INDIRECT(CONCATENATE("Input!",RSE_Setup!$B$19,ROW()+1))),"",INDIRECT(CONCATENATE("Input!",RSE_Setup!$B$19,ROW()+1)))</f>
        <v>3750</v>
      </c>
      <c r="E24" s="1" cm="1">
        <f t="array" aca="1" ref="E24" ca="1">IF(ISBLANK(INDIRECT(CONCATENATE("Input!",RSE_Setup!$B$28,ROW()+1))),"",INDIRECT(CONCATENATE("Input!",RSE_Setup!$B$28,ROW()+1)))</f>
        <v>200.54295500000001</v>
      </c>
      <c r="F24" s="1">
        <f ca="1"/>
        <v>201.59259585210853</v>
      </c>
    </row>
    <row r="25" spans="1:6" x14ac:dyDescent="0.3">
      <c r="A25" s="1" cm="1">
        <f t="array" aca="1" ref="A25" ca="1">IF(ISBLANK(INDIRECT(CONCATENATE("Input!",RSE_Setup!$B$16,ROW()+1))),"",INDIRECT(CONCATENATE("Input!",RSE_Setup!$B$16,ROW()+1)))</f>
        <v>5.0000000000000001E-4</v>
      </c>
      <c r="B25" s="1" cm="1">
        <f t="array" aca="1" ref="B25" ca="1">IF(ISBLANK(INDIRECT(CONCATENATE("Input!",RSE_Setup!$B$17,ROW()+1))),"",INDIRECT(CONCATENATE("Input!",RSE_Setup!$B$17,ROW()+1)))</f>
        <v>3.0000000000000001E-3</v>
      </c>
      <c r="C25" s="1" cm="1">
        <f t="array" aca="1" ref="C25" ca="1">IF(ISBLANK(INDIRECT(CONCATENATE("Input!",RSE_Setup!$B$18,ROW()+1))),"",INDIRECT(CONCATENATE("Input!",RSE_Setup!$B$18,ROW()+1)))</f>
        <v>3.2258000000000002E-2</v>
      </c>
      <c r="D25" s="1" cm="1">
        <f t="array" aca="1" ref="D25" ca="1">IF(ISBLANK(INDIRECT(CONCATENATE("Input!",RSE_Setup!$B$19,ROW()+1))),"",INDIRECT(CONCATENATE("Input!",RSE_Setup!$B$19,ROW()+1)))</f>
        <v>3750</v>
      </c>
      <c r="E25" s="1" cm="1">
        <f t="array" aca="1" ref="E25" ca="1">IF(ISBLANK(INDIRECT(CONCATENATE("Input!",RSE_Setup!$B$28,ROW()+1))),"",INDIRECT(CONCATENATE("Input!",RSE_Setup!$B$28,ROW()+1)))</f>
        <v>196.04308599999999</v>
      </c>
      <c r="F25" s="1">
        <f ca="1"/>
        <v>193.61302299077593</v>
      </c>
    </row>
    <row r="26" spans="1:6" x14ac:dyDescent="0.3">
      <c r="A26" s="1" cm="1">
        <f t="array" aca="1" ref="A26" ca="1">IF(ISBLANK(INDIRECT(CONCATENATE("Input!",RSE_Setup!$B$16,ROW()+1))),"",INDIRECT(CONCATENATE("Input!",RSE_Setup!$B$16,ROW()+1)))</f>
        <v>5.0000000000000001E-4</v>
      </c>
      <c r="B26" s="1" cm="1">
        <f t="array" aca="1" ref="B26" ca="1">IF(ISBLANK(INDIRECT(CONCATENATE("Input!",RSE_Setup!$B$17,ROW()+1))),"",INDIRECT(CONCATENATE("Input!",RSE_Setup!$B$17,ROW()+1)))</f>
        <v>3.0000000000000001E-3</v>
      </c>
      <c r="C26" s="1" cm="1">
        <f t="array" aca="1" ref="C26" ca="1">IF(ISBLANK(INDIRECT(CONCATENATE("Input!",RSE_Setup!$B$18,ROW()+1))),"",INDIRECT(CONCATENATE("Input!",RSE_Setup!$B$18,ROW()+1)))</f>
        <v>3.2258000000000002E-2</v>
      </c>
      <c r="D26" s="1" cm="1">
        <f t="array" aca="1" ref="D26" ca="1">IF(ISBLANK(INDIRECT(CONCATENATE("Input!",RSE_Setup!$B$19,ROW()+1))),"",INDIRECT(CONCATENATE("Input!",RSE_Setup!$B$19,ROW()+1)))</f>
        <v>5250</v>
      </c>
      <c r="E26" s="1" cm="1">
        <f t="array" aca="1" ref="E26" ca="1">IF(ISBLANK(INDIRECT(CONCATENATE("Input!",RSE_Setup!$B$28,ROW()+1))),"",INDIRECT(CONCATENATE("Input!",RSE_Setup!$B$28,ROW()+1)))</f>
        <v>267.30363299999999</v>
      </c>
      <c r="F26" s="1">
        <f ca="1"/>
        <v>269.79838409628059</v>
      </c>
    </row>
    <row r="27" spans="1:6" x14ac:dyDescent="0.3">
      <c r="A27" s="1" cm="1">
        <f t="array" aca="1" ref="A27" ca="1">IF(ISBLANK(INDIRECT(CONCATENATE("Input!",RSE_Setup!$B$16,ROW()+1))),"",INDIRECT(CONCATENATE("Input!",RSE_Setup!$B$16,ROW()+1)))</f>
        <v>5.0000000000000001E-4</v>
      </c>
      <c r="B27" s="1" cm="1">
        <f t="array" aca="1" ref="B27" ca="1">IF(ISBLANK(INDIRECT(CONCATENATE("Input!",RSE_Setup!$B$17,ROW()+1))),"",INDIRECT(CONCATENATE("Input!",RSE_Setup!$B$17,ROW()+1)))</f>
        <v>3.0000000000000001E-3</v>
      </c>
      <c r="C27" s="1" cm="1">
        <f t="array" aca="1" ref="C27" ca="1">IF(ISBLANK(INDIRECT(CONCATENATE("Input!",RSE_Setup!$B$18,ROW()+1))),"",INDIRECT(CONCATENATE("Input!",RSE_Setup!$B$18,ROW()+1)))</f>
        <v>3.2258000000000002E-2</v>
      </c>
      <c r="D27" s="1" cm="1">
        <f t="array" aca="1" ref="D27" ca="1">IF(ISBLANK(INDIRECT(CONCATENATE("Input!",RSE_Setup!$B$19,ROW()+1))),"",INDIRECT(CONCATENATE("Input!",RSE_Setup!$B$19,ROW()+1)))</f>
        <v>6500</v>
      </c>
      <c r="E27" s="1" cm="1">
        <f t="array" aca="1" ref="E27" ca="1">IF(ISBLANK(INDIRECT(CONCATENATE("Input!",RSE_Setup!$B$28,ROW()+1))),"",INDIRECT(CONCATENATE("Input!",RSE_Setup!$B$28,ROW()+1)))</f>
        <v>327.06854499999997</v>
      </c>
      <c r="F27" s="1">
        <f ca="1"/>
        <v>332.69482246749476</v>
      </c>
    </row>
    <row r="28" spans="1:6" x14ac:dyDescent="0.3">
      <c r="A28" s="1" cm="1">
        <f t="array" aca="1" ref="A28" ca="1">IF(ISBLANK(INDIRECT(CONCATENATE("Input!",RSE_Setup!$B$16,ROW()+1))),"",INDIRECT(CONCATENATE("Input!",RSE_Setup!$B$16,ROW()+1)))</f>
        <v>5.0000000000000001E-4</v>
      </c>
      <c r="B28" s="1" cm="1">
        <f t="array" aca="1" ref="B28" ca="1">IF(ISBLANK(INDIRECT(CONCATENATE("Input!",RSE_Setup!$B$17,ROW()+1))),"",INDIRECT(CONCATENATE("Input!",RSE_Setup!$B$17,ROW()+1)))</f>
        <v>4.7499999999999999E-3</v>
      </c>
      <c r="C28" s="1" cm="1">
        <f t="array" aca="1" ref="C28" ca="1">IF(ISBLANK(INDIRECT(CONCATENATE("Input!",RSE_Setup!$B$18,ROW()+1))),"",INDIRECT(CONCATENATE("Input!",RSE_Setup!$B$18,ROW()+1)))</f>
        <v>5.5556000000000001E-2</v>
      </c>
      <c r="D28" s="1" cm="1">
        <f t="array" aca="1" ref="D28" ca="1">IF(ISBLANK(INDIRECT(CONCATENATE("Input!",RSE_Setup!$B$19,ROW()+1))),"",INDIRECT(CONCATENATE("Input!",RSE_Setup!$B$19,ROW()+1)))</f>
        <v>3000</v>
      </c>
      <c r="E28" s="1" cm="1">
        <f t="array" aca="1" ref="E28" ca="1">IF(ISBLANK(INDIRECT(CONCATENATE("Input!",RSE_Setup!$B$28,ROW()+1))),"",INDIRECT(CONCATENATE("Input!",RSE_Setup!$B$28,ROW()+1)))</f>
        <v>215.65247400000001</v>
      </c>
      <c r="F28" s="1">
        <f ca="1"/>
        <v>215.24693114178913</v>
      </c>
    </row>
    <row r="29" spans="1:6" x14ac:dyDescent="0.3">
      <c r="A29" s="1" cm="1">
        <f t="array" aca="1" ref="A29" ca="1">IF(ISBLANK(INDIRECT(CONCATENATE("Input!",RSE_Setup!$B$16,ROW()+1))),"",INDIRECT(CONCATENATE("Input!",RSE_Setup!$B$16,ROW()+1)))</f>
        <v>5.0000000000000001E-4</v>
      </c>
      <c r="B29" s="1" cm="1">
        <f t="array" aca="1" ref="B29" ca="1">IF(ISBLANK(INDIRECT(CONCATENATE("Input!",RSE_Setup!$B$17,ROW()+1))),"",INDIRECT(CONCATENATE("Input!",RSE_Setup!$B$17,ROW()+1)))</f>
        <v>4.7499999999999999E-3</v>
      </c>
      <c r="C29" s="1" cm="1">
        <f t="array" aca="1" ref="C29" ca="1">IF(ISBLANK(INDIRECT(CONCATENATE("Input!",RSE_Setup!$B$18,ROW()+1))),"",INDIRECT(CONCATENATE("Input!",RSE_Setup!$B$18,ROW()+1)))</f>
        <v>5.5556000000000001E-2</v>
      </c>
      <c r="D29" s="1" cm="1">
        <f t="array" aca="1" ref="D29" ca="1">IF(ISBLANK(INDIRECT(CONCATENATE("Input!",RSE_Setup!$B$19,ROW()+1))),"",INDIRECT(CONCATENATE("Input!",RSE_Setup!$B$19,ROW()+1)))</f>
        <v>3750</v>
      </c>
      <c r="E29" s="1" cm="1">
        <f t="array" aca="1" ref="E29" ca="1">IF(ISBLANK(INDIRECT(CONCATENATE("Input!",RSE_Setup!$B$28,ROW()+1))),"",INDIRECT(CONCATENATE("Input!",RSE_Setup!$B$28,ROW()+1)))</f>
        <v>267.05263200000002</v>
      </c>
      <c r="F29" s="1">
        <f ca="1"/>
        <v>269.75321519910239</v>
      </c>
    </row>
    <row r="30" spans="1:6" x14ac:dyDescent="0.3">
      <c r="A30" s="1" cm="1">
        <f t="array" aca="1" ref="A30" ca="1">IF(ISBLANK(INDIRECT(CONCATENATE("Input!",RSE_Setup!$B$16,ROW()+1))),"",INDIRECT(CONCATENATE("Input!",RSE_Setup!$B$16,ROW()+1)))</f>
        <v>5.0000000000000001E-4</v>
      </c>
      <c r="B30" s="1" cm="1">
        <f t="array" aca="1" ref="B30" ca="1">IF(ISBLANK(INDIRECT(CONCATENATE("Input!",RSE_Setup!$B$17,ROW()+1))),"",INDIRECT(CONCATENATE("Input!",RSE_Setup!$B$17,ROW()+1)))</f>
        <v>4.7499999999999999E-3</v>
      </c>
      <c r="C30" s="1" cm="1">
        <f t="array" aca="1" ref="C30" ca="1">IF(ISBLANK(INDIRECT(CONCATENATE("Input!",RSE_Setup!$B$18,ROW()+1))),"",INDIRECT(CONCATENATE("Input!",RSE_Setup!$B$18,ROW()+1)))</f>
        <v>3.2258000000000002E-2</v>
      </c>
      <c r="D30" s="1" cm="1">
        <f t="array" aca="1" ref="D30" ca="1">IF(ISBLANK(INDIRECT(CONCATENATE("Input!",RSE_Setup!$B$19,ROW()+1))),"",INDIRECT(CONCATENATE("Input!",RSE_Setup!$B$19,ROW()+1)))</f>
        <v>3750</v>
      </c>
      <c r="E30" s="1" cm="1">
        <f t="array" aca="1" ref="E30" ca="1">IF(ISBLANK(INDIRECT(CONCATENATE("Input!",RSE_Setup!$B$28,ROW()+1))),"",INDIRECT(CONCATENATE("Input!",RSE_Setup!$B$28,ROW()+1)))</f>
        <v>272.640962</v>
      </c>
      <c r="F30" s="1">
        <f ca="1"/>
        <v>266.33305233888433</v>
      </c>
    </row>
    <row r="31" spans="1:6" x14ac:dyDescent="0.3">
      <c r="A31" s="1" cm="1">
        <f t="array" aca="1" ref="A31" ca="1">IF(ISBLANK(INDIRECT(CONCATENATE("Input!",RSE_Setup!$B$16,ROW()+1))),"",INDIRECT(CONCATENATE("Input!",RSE_Setup!$B$16,ROW()+1)))</f>
        <v>5.0000000000000001E-4</v>
      </c>
      <c r="B31" s="1" cm="1">
        <f t="array" aca="1" ref="B31" ca="1">IF(ISBLANK(INDIRECT(CONCATENATE("Input!",RSE_Setup!$B$17,ROW()+1))),"",INDIRECT(CONCATENATE("Input!",RSE_Setup!$B$17,ROW()+1)))</f>
        <v>4.7499999999999999E-3</v>
      </c>
      <c r="C31" s="1" cm="1">
        <f t="array" aca="1" ref="C31" ca="1">IF(ISBLANK(INDIRECT(CONCATENATE("Input!",RSE_Setup!$B$18,ROW()+1))),"",INDIRECT(CONCATENATE("Input!",RSE_Setup!$B$18,ROW()+1)))</f>
        <v>3.2258000000000002E-2</v>
      </c>
      <c r="D31" s="1" cm="1">
        <f t="array" aca="1" ref="D31" ca="1">IF(ISBLANK(INDIRECT(CONCATENATE("Input!",RSE_Setup!$B$19,ROW()+1))),"",INDIRECT(CONCATENATE("Input!",RSE_Setup!$B$19,ROW()+1)))</f>
        <v>5250</v>
      </c>
      <c r="E31" s="1" cm="1">
        <f t="array" aca="1" ref="E31" ca="1">IF(ISBLANK(INDIRECT(CONCATENATE("Input!",RSE_Setup!$B$28,ROW()+1))),"",INDIRECT(CONCATENATE("Input!",RSE_Setup!$B$28,ROW()+1)))</f>
        <v>374.13548300000002</v>
      </c>
      <c r="F31" s="1">
        <f ca="1"/>
        <v>375.81235597909654</v>
      </c>
    </row>
    <row r="32" spans="1:6" x14ac:dyDescent="0.3">
      <c r="A32" s="1" cm="1">
        <f t="array" aca="1" ref="A32" ca="1">IF(ISBLANK(INDIRECT(CONCATENATE("Input!",RSE_Setup!$B$16,ROW()+1))),"",INDIRECT(CONCATENATE("Input!",RSE_Setup!$B$16,ROW()+1)))</f>
        <v>5.0000000000000001E-4</v>
      </c>
      <c r="B32" s="1" cm="1">
        <f t="array" aca="1" ref="B32" ca="1">IF(ISBLANK(INDIRECT(CONCATENATE("Input!",RSE_Setup!$B$17,ROW()+1))),"",INDIRECT(CONCATENATE("Input!",RSE_Setup!$B$17,ROW()+1)))</f>
        <v>4.7499999999999999E-3</v>
      </c>
      <c r="C32" s="1" cm="1">
        <f t="array" aca="1" ref="C32" ca="1">IF(ISBLANK(INDIRECT(CONCATENATE("Input!",RSE_Setup!$B$18,ROW()+1))),"",INDIRECT(CONCATENATE("Input!",RSE_Setup!$B$18,ROW()+1)))</f>
        <v>3.2258000000000002E-2</v>
      </c>
      <c r="D32" s="1" cm="1">
        <f t="array" aca="1" ref="D32" ca="1">IF(ISBLANK(INDIRECT(CONCATENATE("Input!",RSE_Setup!$B$19,ROW()+1))),"",INDIRECT(CONCATENATE("Input!",RSE_Setup!$B$19,ROW()+1)))</f>
        <v>6500</v>
      </c>
      <c r="E32" s="1" cm="1">
        <f t="array" aca="1" ref="E32" ca="1">IF(ISBLANK(INDIRECT(CONCATENATE("Input!",RSE_Setup!$B$28,ROW()+1))),"",INDIRECT(CONCATENATE("Input!",RSE_Setup!$B$28,ROW()+1)))</f>
        <v>459.06971399999998</v>
      </c>
      <c r="F32" s="1">
        <f ca="1"/>
        <v>466.45374646256698</v>
      </c>
    </row>
    <row r="33" spans="1:6" x14ac:dyDescent="0.3">
      <c r="A33" s="1" cm="1">
        <f t="array" aca="1" ref="A33" ca="1">IF(ISBLANK(INDIRECT(CONCATENATE("Input!",RSE_Setup!$B$16,ROW()+1))),"",INDIRECT(CONCATENATE("Input!",RSE_Setup!$B$16,ROW()+1)))</f>
        <v>5.0000000000000001E-4</v>
      </c>
      <c r="B33" s="1" cm="1">
        <f t="array" aca="1" ref="B33" ca="1">IF(ISBLANK(INDIRECT(CONCATENATE("Input!",RSE_Setup!$B$17,ROW()+1))),"",INDIRECT(CONCATENATE("Input!",RSE_Setup!$B$17,ROW()+1)))</f>
        <v>6.4999999999999997E-3</v>
      </c>
      <c r="C33" s="1" cm="1">
        <f t="array" aca="1" ref="C33" ca="1">IF(ISBLANK(INDIRECT(CONCATENATE("Input!",RSE_Setup!$B$18,ROW()+1))),"",INDIRECT(CONCATENATE("Input!",RSE_Setup!$B$18,ROW()+1)))</f>
        <v>5.5556000000000001E-2</v>
      </c>
      <c r="D33" s="1" cm="1">
        <f t="array" aca="1" ref="D33" ca="1">IF(ISBLANK(INDIRECT(CONCATENATE("Input!",RSE_Setup!$B$19,ROW()+1))),"",INDIRECT(CONCATENATE("Input!",RSE_Setup!$B$19,ROW()+1)))</f>
        <v>3000</v>
      </c>
      <c r="E33" s="1" cm="1">
        <f t="array" aca="1" ref="E33" ca="1">IF(ISBLANK(INDIRECT(CONCATENATE("Input!",RSE_Setup!$B$28,ROW()+1))),"",INDIRECT(CONCATENATE("Input!",RSE_Setup!$B$28,ROW()+1)))</f>
        <v>278.31309099999999</v>
      </c>
      <c r="F33" s="1">
        <f ca="1"/>
        <v>280.65496349483027</v>
      </c>
    </row>
    <row r="34" spans="1:6" x14ac:dyDescent="0.3">
      <c r="A34" s="1" cm="1">
        <f t="array" aca="1" ref="A34" ca="1">IF(ISBLANK(INDIRECT(CONCATENATE("Input!",RSE_Setup!$B$16,ROW()+1))),"",INDIRECT(CONCATENATE("Input!",RSE_Setup!$B$16,ROW()+1)))</f>
        <v>5.0000000000000001E-4</v>
      </c>
      <c r="B34" s="1" cm="1">
        <f t="array" aca="1" ref="B34" ca="1">IF(ISBLANK(INDIRECT(CONCATENATE("Input!",RSE_Setup!$B$17,ROW()+1))),"",INDIRECT(CONCATENATE("Input!",RSE_Setup!$B$17,ROW()+1)))</f>
        <v>6.4999999999999997E-3</v>
      </c>
      <c r="C34" s="1" cm="1">
        <f t="array" aca="1" ref="C34" ca="1">IF(ISBLANK(INDIRECT(CONCATENATE("Input!",RSE_Setup!$B$18,ROW()+1))),"",INDIRECT(CONCATENATE("Input!",RSE_Setup!$B$18,ROW()+1)))</f>
        <v>5.5556000000000001E-2</v>
      </c>
      <c r="D34" s="1" cm="1">
        <f t="array" aca="1" ref="D34" ca="1">IF(ISBLANK(INDIRECT(CONCATENATE("Input!",RSE_Setup!$B$19,ROW()+1))),"",INDIRECT(CONCATENATE("Input!",RSE_Setup!$B$19,ROW()+1)))</f>
        <v>3750</v>
      </c>
      <c r="E34" s="1" cm="1">
        <f t="array" aca="1" ref="E34" ca="1">IF(ISBLANK(INDIRECT(CONCATENATE("Input!",RSE_Setup!$B$28,ROW()+1))),"",INDIRECT(CONCATENATE("Input!",RSE_Setup!$B$28,ROW()+1)))</f>
        <v>342.47806000000003</v>
      </c>
      <c r="F34" s="1">
        <f ca="1"/>
        <v>351.80821881949743</v>
      </c>
    </row>
    <row r="35" spans="1:6" x14ac:dyDescent="0.3">
      <c r="A35" s="1" cm="1">
        <f t="array" aca="1" ref="A35" ca="1">IF(ISBLANK(INDIRECT(CONCATENATE("Input!",RSE_Setup!$B$16,ROW()+1))),"",INDIRECT(CONCATENATE("Input!",RSE_Setup!$B$16,ROW()+1)))</f>
        <v>5.0000000000000001E-4</v>
      </c>
      <c r="B35" s="1" cm="1">
        <f t="array" aca="1" ref="B35" ca="1">IF(ISBLANK(INDIRECT(CONCATENATE("Input!",RSE_Setup!$B$17,ROW()+1))),"",INDIRECT(CONCATENATE("Input!",RSE_Setup!$B$17,ROW()+1)))</f>
        <v>6.4999999999999997E-3</v>
      </c>
      <c r="C35" s="1" cm="1">
        <f t="array" aca="1" ref="C35" ca="1">IF(ISBLANK(INDIRECT(CONCATENATE("Input!",RSE_Setup!$B$18,ROW()+1))),"",INDIRECT(CONCATENATE("Input!",RSE_Setup!$B$18,ROW()+1)))</f>
        <v>3.2258000000000002E-2</v>
      </c>
      <c r="D35" s="1" cm="1">
        <f t="array" aca="1" ref="D35" ca="1">IF(ISBLANK(INDIRECT(CONCATENATE("Input!",RSE_Setup!$B$19,ROW()+1))),"",INDIRECT(CONCATENATE("Input!",RSE_Setup!$B$19,ROW()+1)))</f>
        <v>3750</v>
      </c>
      <c r="E35" s="1" cm="1">
        <f t="array" aca="1" ref="E35" ca="1">IF(ISBLANK(INDIRECT(CONCATENATE("Input!",RSE_Setup!$B$28,ROW()+1))),"",INDIRECT(CONCATENATE("Input!",RSE_Setup!$B$28,ROW()+1)))</f>
        <v>353.534199</v>
      </c>
      <c r="F35" s="1">
        <f ca="1"/>
        <v>352.94746596039374</v>
      </c>
    </row>
    <row r="36" spans="1:6" x14ac:dyDescent="0.3">
      <c r="A36" s="1" cm="1">
        <f t="array" aca="1" ref="A36" ca="1">IF(ISBLANK(INDIRECT(CONCATENATE("Input!",RSE_Setup!$B$16,ROW()+1))),"",INDIRECT(CONCATENATE("Input!",RSE_Setup!$B$16,ROW()+1)))</f>
        <v>5.0000000000000001E-4</v>
      </c>
      <c r="B36" s="1" cm="1">
        <f t="array" aca="1" ref="B36" ca="1">IF(ISBLANK(INDIRECT(CONCATENATE("Input!",RSE_Setup!$B$17,ROW()+1))),"",INDIRECT(CONCATENATE("Input!",RSE_Setup!$B$17,ROW()+1)))</f>
        <v>6.4999999999999997E-3</v>
      </c>
      <c r="C36" s="1" cm="1">
        <f t="array" aca="1" ref="C36" ca="1">IF(ISBLANK(INDIRECT(CONCATENATE("Input!",RSE_Setup!$B$18,ROW()+1))),"",INDIRECT(CONCATENATE("Input!",RSE_Setup!$B$18,ROW()+1)))</f>
        <v>3.2258000000000002E-2</v>
      </c>
      <c r="D36" s="1" cm="1">
        <f t="array" aca="1" ref="D36" ca="1">IF(ISBLANK(INDIRECT(CONCATENATE("Input!",RSE_Setup!$B$19,ROW()+1))),"",INDIRECT(CONCATENATE("Input!",RSE_Setup!$B$19,ROW()+1)))</f>
        <v>5250</v>
      </c>
      <c r="E36" s="1" cm="1">
        <f t="array" aca="1" ref="E36" ca="1">IF(ISBLANK(INDIRECT(CONCATENATE("Input!",RSE_Setup!$B$28,ROW()+1))),"",INDIRECT(CONCATENATE("Input!",RSE_Setup!$B$28,ROW()+1)))</f>
        <v>501.42740099999997</v>
      </c>
      <c r="F36" s="1">
        <f ca="1"/>
        <v>495.72071213531348</v>
      </c>
    </row>
    <row r="37" spans="1:6" x14ac:dyDescent="0.3">
      <c r="A37" s="1" cm="1">
        <f t="array" aca="1" ref="A37" ca="1">IF(ISBLANK(INDIRECT(CONCATENATE("Input!",RSE_Setup!$B$16,ROW()+1))),"",INDIRECT(CONCATENATE("Input!",RSE_Setup!$B$16,ROW()+1)))</f>
        <v>5.0000000000000001E-4</v>
      </c>
      <c r="B37" s="1" cm="1">
        <f t="array" aca="1" ref="B37" ca="1">IF(ISBLANK(INDIRECT(CONCATENATE("Input!",RSE_Setup!$B$17,ROW()+1))),"",INDIRECT(CONCATENATE("Input!",RSE_Setup!$B$17,ROW()+1)))</f>
        <v>6.4999999999999997E-3</v>
      </c>
      <c r="C37" s="1" cm="1">
        <f t="array" aca="1" ref="C37" ca="1">IF(ISBLANK(INDIRECT(CONCATENATE("Input!",RSE_Setup!$B$18,ROW()+1))),"",INDIRECT(CONCATENATE("Input!",RSE_Setup!$B$18,ROW()+1)))</f>
        <v>3.2258000000000002E-2</v>
      </c>
      <c r="D37" s="1" cm="1">
        <f t="array" aca="1" ref="D37" ca="1">IF(ISBLANK(INDIRECT(CONCATENATE("Input!",RSE_Setup!$B$19,ROW()+1))),"",INDIRECT(CONCATENATE("Input!",RSE_Setup!$B$19,ROW()+1)))</f>
        <v>6500</v>
      </c>
      <c r="E37" s="1" cm="1">
        <f t="array" aca="1" ref="E37" ca="1">IF(ISBLANK(INDIRECT(CONCATENATE("Input!",RSE_Setup!$B$28,ROW()+1))),"",INDIRECT(CONCATENATE("Input!",RSE_Setup!$B$28,ROW()+1)))</f>
        <v>615.38271499999996</v>
      </c>
      <c r="F37" s="1">
        <f ca="1"/>
        <v>614.10705473104031</v>
      </c>
    </row>
    <row r="38" spans="1:6" x14ac:dyDescent="0.3">
      <c r="A38" s="1" cm="1">
        <f t="array" aca="1" ref="A38" ca="1">IF(ISBLANK(INDIRECT(CONCATENATE("Input!",RSE_Setup!$B$16,ROW()+1))),"",INDIRECT(CONCATENATE("Input!",RSE_Setup!$B$16,ROW()+1)))</f>
        <v>7.5000000000000002E-4</v>
      </c>
      <c r="B38" s="1" cm="1">
        <f t="array" aca="1" ref="B38" ca="1">IF(ISBLANK(INDIRECT(CONCATENATE("Input!",RSE_Setup!$B$17,ROW()+1))),"",INDIRECT(CONCATENATE("Input!",RSE_Setup!$B$17,ROW()+1)))</f>
        <v>4.0000000000000001E-3</v>
      </c>
      <c r="C38" s="1" cm="1">
        <f t="array" aca="1" ref="C38" ca="1">IF(ISBLANK(INDIRECT(CONCATENATE("Input!",RSE_Setup!$B$18,ROW()+1))),"",INDIRECT(CONCATENATE("Input!",RSE_Setup!$B$18,ROW()+1)))</f>
        <v>5.5556000000000001E-2</v>
      </c>
      <c r="D38" s="1" cm="1">
        <f t="array" aca="1" ref="D38" ca="1">IF(ISBLANK(INDIRECT(CONCATENATE("Input!",RSE_Setup!$B$19,ROW()+1))),"",INDIRECT(CONCATENATE("Input!",RSE_Setup!$B$19,ROW()+1)))</f>
        <v>3750</v>
      </c>
      <c r="E38" s="1" cm="1">
        <f t="array" aca="1" ref="E38" ca="1">IF(ISBLANK(INDIRECT(CONCATENATE("Input!",RSE_Setup!$B$28,ROW()+1))),"",INDIRECT(CONCATENATE("Input!",RSE_Setup!$B$28,ROW()+1)))</f>
        <v>230.99541300000001</v>
      </c>
      <c r="F38" s="1">
        <f ca="1"/>
        <v>233.96028108995975</v>
      </c>
    </row>
    <row r="39" spans="1:6" x14ac:dyDescent="0.3">
      <c r="A39" s="1" cm="1">
        <f t="array" aca="1" ref="A39" ca="1">IF(ISBLANK(INDIRECT(CONCATENATE("Input!",RSE_Setup!$B$16,ROW()+1))),"",INDIRECT(CONCATENATE("Input!",RSE_Setup!$B$16,ROW()+1)))</f>
        <v>7.5000000000000002E-4</v>
      </c>
      <c r="B39" s="1" cm="1">
        <f t="array" aca="1" ref="B39" ca="1">IF(ISBLANK(INDIRECT(CONCATENATE("Input!",RSE_Setup!$B$17,ROW()+1))),"",INDIRECT(CONCATENATE("Input!",RSE_Setup!$B$17,ROW()+1)))</f>
        <v>4.0000000000000001E-3</v>
      </c>
      <c r="C39" s="1" cm="1">
        <f t="array" aca="1" ref="C39" ca="1">IF(ISBLANK(INDIRECT(CONCATENATE("Input!",RSE_Setup!$B$18,ROW()+1))),"",INDIRECT(CONCATENATE("Input!",RSE_Setup!$B$18,ROW()+1)))</f>
        <v>3.2258000000000002E-2</v>
      </c>
      <c r="D39" s="1" cm="1">
        <f t="array" aca="1" ref="D39" ca="1">IF(ISBLANK(INDIRECT(CONCATENATE("Input!",RSE_Setup!$B$19,ROW()+1))),"",INDIRECT(CONCATENATE("Input!",RSE_Setup!$B$19,ROW()+1)))</f>
        <v>3750</v>
      </c>
      <c r="E39" s="1" cm="1">
        <f t="array" aca="1" ref="E39" ca="1">IF(ISBLANK(INDIRECT(CONCATENATE("Input!",RSE_Setup!$B$28,ROW()+1))),"",INDIRECT(CONCATENATE("Input!",RSE_Setup!$B$28,ROW()+1)))</f>
        <v>232.788073</v>
      </c>
      <c r="F39" s="1">
        <f ca="1"/>
        <v>228.49427132363098</v>
      </c>
    </row>
    <row r="40" spans="1:6" x14ac:dyDescent="0.3">
      <c r="A40" s="1" cm="1">
        <f t="array" aca="1" ref="A40" ca="1">IF(ISBLANK(INDIRECT(CONCATENATE("Input!",RSE_Setup!$B$16,ROW()+1))),"",INDIRECT(CONCATENATE("Input!",RSE_Setup!$B$16,ROW()+1)))</f>
        <v>7.5000000000000002E-4</v>
      </c>
      <c r="B40" s="1" cm="1">
        <f t="array" aca="1" ref="B40" ca="1">IF(ISBLANK(INDIRECT(CONCATENATE("Input!",RSE_Setup!$B$17,ROW()+1))),"",INDIRECT(CONCATENATE("Input!",RSE_Setup!$B$17,ROW()+1)))</f>
        <v>4.0000000000000001E-3</v>
      </c>
      <c r="C40" s="1" cm="1">
        <f t="array" aca="1" ref="C40" ca="1">IF(ISBLANK(INDIRECT(CONCATENATE("Input!",RSE_Setup!$B$18,ROW()+1))),"",INDIRECT(CONCATENATE("Input!",RSE_Setup!$B$18,ROW()+1)))</f>
        <v>3.2258000000000002E-2</v>
      </c>
      <c r="D40" s="1" cm="1">
        <f t="array" aca="1" ref="D40" ca="1">IF(ISBLANK(INDIRECT(CONCATENATE("Input!",RSE_Setup!$B$19,ROW()+1))),"",INDIRECT(CONCATENATE("Input!",RSE_Setup!$B$19,ROW()+1)))</f>
        <v>5250</v>
      </c>
      <c r="E40" s="1" cm="1">
        <f t="array" aca="1" ref="E40" ca="1">IF(ISBLANK(INDIRECT(CONCATENATE("Input!",RSE_Setup!$B$28,ROW()+1))),"",INDIRECT(CONCATENATE("Input!",RSE_Setup!$B$28,ROW()+1)))</f>
        <v>318.56037800000001</v>
      </c>
      <c r="F40" s="1">
        <f ca="1"/>
        <v>320.46940419255964</v>
      </c>
    </row>
    <row r="41" spans="1:6" x14ac:dyDescent="0.3">
      <c r="A41" s="1" cm="1">
        <f t="array" aca="1" ref="A41" ca="1">IF(ISBLANK(INDIRECT(CONCATENATE("Input!",RSE_Setup!$B$16,ROW()+1))),"",INDIRECT(CONCATENATE("Input!",RSE_Setup!$B$16,ROW()+1)))</f>
        <v>7.5000000000000002E-4</v>
      </c>
      <c r="B41" s="1" cm="1">
        <f t="array" aca="1" ref="B41" ca="1">IF(ISBLANK(INDIRECT(CONCATENATE("Input!",RSE_Setup!$B$17,ROW()+1))),"",INDIRECT(CONCATENATE("Input!",RSE_Setup!$B$17,ROW()+1)))</f>
        <v>4.0000000000000001E-3</v>
      </c>
      <c r="C41" s="1" cm="1">
        <f t="array" aca="1" ref="C41" ca="1">IF(ISBLANK(INDIRECT(CONCATENATE("Input!",RSE_Setup!$B$18,ROW()+1))),"",INDIRECT(CONCATENATE("Input!",RSE_Setup!$B$18,ROW()+1)))</f>
        <v>3.2258000000000002E-2</v>
      </c>
      <c r="D41" s="1" cm="1">
        <f t="array" aca="1" ref="D41" ca="1">IF(ISBLANK(INDIRECT(CONCATENATE("Input!",RSE_Setup!$B$19,ROW()+1))),"",INDIRECT(CONCATENATE("Input!",RSE_Setup!$B$19,ROW()+1)))</f>
        <v>6500</v>
      </c>
      <c r="E41" s="1" cm="1">
        <f t="array" aca="1" ref="E41" ca="1">IF(ISBLANK(INDIRECT(CONCATENATE("Input!",RSE_Setup!$B$28,ROW()+1))),"",INDIRECT(CONCATENATE("Input!",RSE_Setup!$B$28,ROW()+1)))</f>
        <v>390.00152800000001</v>
      </c>
      <c r="F41" s="1">
        <f ca="1"/>
        <v>396.52398569996041</v>
      </c>
    </row>
    <row r="42" spans="1:6" x14ac:dyDescent="0.3">
      <c r="A42" s="1" cm="1">
        <f t="array" aca="1" ref="A42" ca="1">IF(ISBLANK(INDIRECT(CONCATENATE("Input!",RSE_Setup!$B$16,ROW()+1))),"",INDIRECT(CONCATENATE("Input!",RSE_Setup!$B$16,ROW()+1)))</f>
        <v>7.5000000000000002E-4</v>
      </c>
      <c r="B42" s="1" cm="1">
        <f t="array" aca="1" ref="B42" ca="1">IF(ISBLANK(INDIRECT(CONCATENATE("Input!",RSE_Setup!$B$17,ROW()+1))),"",INDIRECT(CONCATENATE("Input!",RSE_Setup!$B$17,ROW()+1)))</f>
        <v>6.0000000000000001E-3</v>
      </c>
      <c r="C42" s="1" cm="1">
        <f t="array" aca="1" ref="C42" ca="1">IF(ISBLANK(INDIRECT(CONCATENATE("Input!",RSE_Setup!$B$18,ROW()+1))),"",INDIRECT(CONCATENATE("Input!",RSE_Setup!$B$18,ROW()+1)))</f>
        <v>5.5556000000000001E-2</v>
      </c>
      <c r="D42" s="1" cm="1">
        <f t="array" aca="1" ref="D42" ca="1">IF(ISBLANK(INDIRECT(CONCATENATE("Input!",RSE_Setup!$B$19,ROW()+1))),"",INDIRECT(CONCATENATE("Input!",RSE_Setup!$B$19,ROW()+1)))</f>
        <v>3000</v>
      </c>
      <c r="E42" s="1" cm="1">
        <f t="array" aca="1" ref="E42" ca="1">IF(ISBLANK(INDIRECT(CONCATENATE("Input!",RSE_Setup!$B$28,ROW()+1))),"",INDIRECT(CONCATENATE("Input!",RSE_Setup!$B$28,ROW()+1)))</f>
        <v>254.24744999999999</v>
      </c>
      <c r="F42" s="1">
        <f ca="1"/>
        <v>256.09438506136206</v>
      </c>
    </row>
    <row r="43" spans="1:6" x14ac:dyDescent="0.3">
      <c r="A43" s="1" cm="1">
        <f t="array" aca="1" ref="A43" ca="1">IF(ISBLANK(INDIRECT(CONCATENATE("Input!",RSE_Setup!$B$16,ROW()+1))),"",INDIRECT(CONCATENATE("Input!",RSE_Setup!$B$16,ROW()+1)))</f>
        <v>7.5000000000000002E-4</v>
      </c>
      <c r="B43" s="1" cm="1">
        <f t="array" aca="1" ref="B43" ca="1">IF(ISBLANK(INDIRECT(CONCATENATE("Input!",RSE_Setup!$B$17,ROW()+1))),"",INDIRECT(CONCATENATE("Input!",RSE_Setup!$B$17,ROW()+1)))</f>
        <v>6.0000000000000001E-3</v>
      </c>
      <c r="C43" s="1" cm="1">
        <f t="array" aca="1" ref="C43" ca="1">IF(ISBLANK(INDIRECT(CONCATENATE("Input!",RSE_Setup!$B$18,ROW()+1))),"",INDIRECT(CONCATENATE("Input!",RSE_Setup!$B$18,ROW()+1)))</f>
        <v>5.5556000000000001E-2</v>
      </c>
      <c r="D43" s="1" cm="1">
        <f t="array" aca="1" ref="D43" ca="1">IF(ISBLANK(INDIRECT(CONCATENATE("Input!",RSE_Setup!$B$19,ROW()+1))),"",INDIRECT(CONCATENATE("Input!",RSE_Setup!$B$19,ROW()+1)))</f>
        <v>3750</v>
      </c>
      <c r="E43" s="1" cm="1">
        <f t="array" aca="1" ref="E43" ca="1">IF(ISBLANK(INDIRECT(CONCATENATE("Input!",RSE_Setup!$B$28,ROW()+1))),"",INDIRECT(CONCATENATE("Input!",RSE_Setup!$B$28,ROW()+1)))</f>
        <v>315.84851500000002</v>
      </c>
      <c r="F43" s="1">
        <f ca="1"/>
        <v>320.87369375286653</v>
      </c>
    </row>
    <row r="44" spans="1:6" x14ac:dyDescent="0.3">
      <c r="A44" s="1" cm="1">
        <f t="array" aca="1" ref="A44" ca="1">IF(ISBLANK(INDIRECT(CONCATENATE("Input!",RSE_Setup!$B$16,ROW()+1))),"",INDIRECT(CONCATENATE("Input!",RSE_Setup!$B$16,ROW()+1)))</f>
        <v>7.5000000000000002E-4</v>
      </c>
      <c r="B44" s="1" cm="1">
        <f t="array" aca="1" ref="B44" ca="1">IF(ISBLANK(INDIRECT(CONCATENATE("Input!",RSE_Setup!$B$17,ROW()+1))),"",INDIRECT(CONCATENATE("Input!",RSE_Setup!$B$17,ROW()+1)))</f>
        <v>6.0000000000000001E-3</v>
      </c>
      <c r="C44" s="1" cm="1">
        <f t="array" aca="1" ref="C44" ca="1">IF(ISBLANK(INDIRECT(CONCATENATE("Input!",RSE_Setup!$B$18,ROW()+1))),"",INDIRECT(CONCATENATE("Input!",RSE_Setup!$B$18,ROW()+1)))</f>
        <v>3.2258000000000002E-2</v>
      </c>
      <c r="D44" s="1" cm="1">
        <f t="array" aca="1" ref="D44" ca="1">IF(ISBLANK(INDIRECT(CONCATENATE("Input!",RSE_Setup!$B$19,ROW()+1))),"",INDIRECT(CONCATENATE("Input!",RSE_Setup!$B$19,ROW()+1)))</f>
        <v>3750</v>
      </c>
      <c r="E44" s="1" cm="1">
        <f t="array" aca="1" ref="E44" ca="1">IF(ISBLANK(INDIRECT(CONCATENATE("Input!",RSE_Setup!$B$28,ROW()+1))),"",INDIRECT(CONCATENATE("Input!",RSE_Setup!$B$28,ROW()+1)))</f>
        <v>322.21695399999999</v>
      </c>
      <c r="F44" s="1">
        <f ca="1"/>
        <v>320.61843827352573</v>
      </c>
    </row>
    <row r="45" spans="1:6" x14ac:dyDescent="0.3">
      <c r="A45" s="1" cm="1">
        <f t="array" aca="1" ref="A45" ca="1">IF(ISBLANK(INDIRECT(CONCATENATE("Input!",RSE_Setup!$B$16,ROW()+1))),"",INDIRECT(CONCATENATE("Input!",RSE_Setup!$B$16,ROW()+1)))</f>
        <v>7.5000000000000002E-4</v>
      </c>
      <c r="B45" s="1" cm="1">
        <f t="array" aca="1" ref="B45" ca="1">IF(ISBLANK(INDIRECT(CONCATENATE("Input!",RSE_Setup!$B$17,ROW()+1))),"",INDIRECT(CONCATENATE("Input!",RSE_Setup!$B$17,ROW()+1)))</f>
        <v>6.0000000000000001E-3</v>
      </c>
      <c r="C45" s="1" cm="1">
        <f t="array" aca="1" ref="C45" ca="1">IF(ISBLANK(INDIRECT(CONCATENATE("Input!",RSE_Setup!$B$18,ROW()+1))),"",INDIRECT(CONCATENATE("Input!",RSE_Setup!$B$18,ROW()+1)))</f>
        <v>3.2258000000000002E-2</v>
      </c>
      <c r="D45" s="1" cm="1">
        <f t="array" aca="1" ref="D45" ca="1">IF(ISBLANK(INDIRECT(CONCATENATE("Input!",RSE_Setup!$B$19,ROW()+1))),"",INDIRECT(CONCATENATE("Input!",RSE_Setup!$B$19,ROW()+1)))</f>
        <v>5250</v>
      </c>
      <c r="E45" s="1" cm="1">
        <f t="array" aca="1" ref="E45" ca="1">IF(ISBLANK(INDIRECT(CONCATENATE("Input!",RSE_Setup!$B$28,ROW()+1))),"",INDIRECT(CONCATENATE("Input!",RSE_Setup!$B$28,ROW()+1)))</f>
        <v>450.33141499999999</v>
      </c>
      <c r="F45" s="1">
        <f ca="1"/>
        <v>450.6437911821202</v>
      </c>
    </row>
    <row r="46" spans="1:6" x14ac:dyDescent="0.3">
      <c r="A46" s="1" cm="1">
        <f t="array" aca="1" ref="A46" ca="1">IF(ISBLANK(INDIRECT(CONCATENATE("Input!",RSE_Setup!$B$16,ROW()+1))),"",INDIRECT(CONCATENATE("Input!",RSE_Setup!$B$16,ROW()+1)))</f>
        <v>7.5000000000000002E-4</v>
      </c>
      <c r="B46" s="1" cm="1">
        <f t="array" aca="1" ref="B46" ca="1">IF(ISBLANK(INDIRECT(CONCATENATE("Input!",RSE_Setup!$B$17,ROW()+1))),"",INDIRECT(CONCATENATE("Input!",RSE_Setup!$B$17,ROW()+1)))</f>
        <v>6.0000000000000001E-3</v>
      </c>
      <c r="C46" s="1" cm="1">
        <f t="array" aca="1" ref="C46" ca="1">IF(ISBLANK(INDIRECT(CONCATENATE("Input!",RSE_Setup!$B$18,ROW()+1))),"",INDIRECT(CONCATENATE("Input!",RSE_Setup!$B$18,ROW()+1)))</f>
        <v>3.2258000000000002E-2</v>
      </c>
      <c r="D46" s="1" cm="1">
        <f t="array" aca="1" ref="D46" ca="1">IF(ISBLANK(INDIRECT(CONCATENATE("Input!",RSE_Setup!$B$19,ROW()+1))),"",INDIRECT(CONCATENATE("Input!",RSE_Setup!$B$19,ROW()+1)))</f>
        <v>6500</v>
      </c>
      <c r="E46" s="1" cm="1">
        <f t="array" aca="1" ref="E46" ca="1">IF(ISBLANK(INDIRECT(CONCATENATE("Input!",RSE_Setup!$B$28,ROW()+1))),"",INDIRECT(CONCATENATE("Input!",RSE_Setup!$B$28,ROW()+1)))</f>
        <v>553.00362399999995</v>
      </c>
      <c r="F46" s="1">
        <f ca="1"/>
        <v>558.40688938924245</v>
      </c>
    </row>
    <row r="47" spans="1:6" x14ac:dyDescent="0.3">
      <c r="A47" s="1" cm="1">
        <f t="array" aca="1" ref="A47" ca="1">IF(ISBLANK(INDIRECT(CONCATENATE("Input!",RSE_Setup!$B$16,ROW()+1))),"",INDIRECT(CONCATENATE("Input!",RSE_Setup!$B$16,ROW()+1)))</f>
        <v>7.5000000000000002E-4</v>
      </c>
      <c r="B47" s="1" cm="1">
        <f t="array" aca="1" ref="B47" ca="1">IF(ISBLANK(INDIRECT(CONCATENATE("Input!",RSE_Setup!$B$17,ROW()+1))),"",INDIRECT(CONCATENATE("Input!",RSE_Setup!$B$17,ROW()+1)))</f>
        <v>8.0000000000000002E-3</v>
      </c>
      <c r="C47" s="1" cm="1">
        <f t="array" aca="1" ref="C47" ca="1">IF(ISBLANK(INDIRECT(CONCATENATE("Input!",RSE_Setup!$B$18,ROW()+1))),"",INDIRECT(CONCATENATE("Input!",RSE_Setup!$B$18,ROW()+1)))</f>
        <v>3.2258000000000002E-2</v>
      </c>
      <c r="D47" s="1" cm="1">
        <f t="array" aca="1" ref="D47" ca="1">IF(ISBLANK(INDIRECT(CONCATENATE("Input!",RSE_Setup!$B$19,ROW()+1))),"",INDIRECT(CONCATENATE("Input!",RSE_Setup!$B$19,ROW()+1)))</f>
        <v>5250</v>
      </c>
      <c r="E47" s="1" cm="1">
        <f t="array" aca="1" ref="E47" ca="1">IF(ISBLANK(INDIRECT(CONCATENATE("Input!",RSE_Setup!$B$28,ROW()+1))),"",INDIRECT(CONCATENATE("Input!",RSE_Setup!$B$28,ROW()+1)))</f>
        <v>606.20795799999996</v>
      </c>
      <c r="F47" s="1">
        <f ca="1"/>
        <v>598.96594538591876</v>
      </c>
    </row>
    <row r="48" spans="1:6" x14ac:dyDescent="0.3">
      <c r="A48" s="1" cm="1">
        <f t="array" aca="1" ref="A48" ca="1">IF(ISBLANK(INDIRECT(CONCATENATE("Input!",RSE_Setup!$B$16,ROW()+1))),"",INDIRECT(CONCATENATE("Input!",RSE_Setup!$B$16,ROW()+1)))</f>
        <v>7.5000000000000002E-4</v>
      </c>
      <c r="B48" s="1" cm="1">
        <f t="array" aca="1" ref="B48" ca="1">IF(ISBLANK(INDIRECT(CONCATENATE("Input!",RSE_Setup!$B$17,ROW()+1))),"",INDIRECT(CONCATENATE("Input!",RSE_Setup!$B$17,ROW()+1)))</f>
        <v>8.0000000000000002E-3</v>
      </c>
      <c r="C48" s="1" cm="1">
        <f t="array" aca="1" ref="C48" ca="1">IF(ISBLANK(INDIRECT(CONCATENATE("Input!",RSE_Setup!$B$18,ROW()+1))),"",INDIRECT(CONCATENATE("Input!",RSE_Setup!$B$18,ROW()+1)))</f>
        <v>3.2258000000000002E-2</v>
      </c>
      <c r="D48" s="1" cm="1">
        <f t="array" aca="1" ref="D48" ca="1">IF(ISBLANK(INDIRECT(CONCATENATE("Input!",RSE_Setup!$B$19,ROW()+1))),"",INDIRECT(CONCATENATE("Input!",RSE_Setup!$B$19,ROW()+1)))</f>
        <v>6500</v>
      </c>
      <c r="E48" s="1" cm="1">
        <f t="array" aca="1" ref="E48" ca="1">IF(ISBLANK(INDIRECT(CONCATENATE("Input!",RSE_Setup!$B$28,ROW()+1))),"",INDIRECT(CONCATENATE("Input!",RSE_Setup!$B$28,ROW()+1)))</f>
        <v>744.967127</v>
      </c>
      <c r="F48" s="1">
        <f ca="1"/>
        <v>738.43756029276244</v>
      </c>
    </row>
    <row r="49" spans="1:6" x14ac:dyDescent="0.3">
      <c r="A49" s="1" cm="1">
        <f t="array" aca="1" ref="A49" ca="1">IF(ISBLANK(INDIRECT(CONCATENATE("Input!",RSE_Setup!$B$16,ROW()+1))),"",INDIRECT(CONCATENATE("Input!",RSE_Setup!$B$16,ROW()+1)))</f>
        <v>1E-3</v>
      </c>
      <c r="B49" s="1" cm="1">
        <f t="array" aca="1" ref="B49" ca="1">IF(ISBLANK(INDIRECT(CONCATENATE("Input!",RSE_Setup!$B$17,ROW()+1))),"",INDIRECT(CONCATENATE("Input!",RSE_Setup!$B$17,ROW()+1)))</f>
        <v>5.0000000000000001E-3</v>
      </c>
      <c r="C49" s="1" cm="1">
        <f t="array" aca="1" ref="C49" ca="1">IF(ISBLANK(INDIRECT(CONCATENATE("Input!",RSE_Setup!$B$18,ROW()+1))),"",INDIRECT(CONCATENATE("Input!",RSE_Setup!$B$18,ROW()+1)))</f>
        <v>5.5556000000000001E-2</v>
      </c>
      <c r="D49" s="1" cm="1">
        <f t="array" aca="1" ref="D49" ca="1">IF(ISBLANK(INDIRECT(CONCATENATE("Input!",RSE_Setup!$B$19,ROW()+1))),"",INDIRECT(CONCATENATE("Input!",RSE_Setup!$B$19,ROW()+1)))</f>
        <v>3750</v>
      </c>
      <c r="E49" s="1" cm="1">
        <f t="array" aca="1" ref="E49" ca="1">IF(ISBLANK(INDIRECT(CONCATENATE("Input!",RSE_Setup!$B$28,ROW()+1))),"",INDIRECT(CONCATENATE("Input!",RSE_Setup!$B$28,ROW()+1)))</f>
        <v>265.41685200000001</v>
      </c>
      <c r="F49" s="1">
        <f ca="1"/>
        <v>269.65434882849678</v>
      </c>
    </row>
    <row r="50" spans="1:6" x14ac:dyDescent="0.3">
      <c r="A50" s="1" cm="1">
        <f t="array" aca="1" ref="A50" ca="1">IF(ISBLANK(INDIRECT(CONCATENATE("Input!",RSE_Setup!$B$16,ROW()+1))),"",INDIRECT(CONCATENATE("Input!",RSE_Setup!$B$16,ROW()+1)))</f>
        <v>1E-3</v>
      </c>
      <c r="B50" s="1" cm="1">
        <f t="array" aca="1" ref="B50" ca="1">IF(ISBLANK(INDIRECT(CONCATENATE("Input!",RSE_Setup!$B$17,ROW()+1))),"",INDIRECT(CONCATENATE("Input!",RSE_Setup!$B$17,ROW()+1)))</f>
        <v>5.0000000000000001E-3</v>
      </c>
      <c r="C50" s="1" cm="1">
        <f t="array" aca="1" ref="C50" ca="1">IF(ISBLANK(INDIRECT(CONCATENATE("Input!",RSE_Setup!$B$18,ROW()+1))),"",INDIRECT(CONCATENATE("Input!",RSE_Setup!$B$18,ROW()+1)))</f>
        <v>3.2258000000000002E-2</v>
      </c>
      <c r="D50" s="1" cm="1">
        <f t="array" aca="1" ref="D50" ca="1">IF(ISBLANK(INDIRECT(CONCATENATE("Input!",RSE_Setup!$B$19,ROW()+1))),"",INDIRECT(CONCATENATE("Input!",RSE_Setup!$B$19,ROW()+1)))</f>
        <v>3750</v>
      </c>
      <c r="E50" s="1" cm="1">
        <f t="array" aca="1" ref="E50" ca="1">IF(ISBLANK(INDIRECT(CONCATENATE("Input!",RSE_Setup!$B$28,ROW()+1))),"",INDIRECT(CONCATENATE("Input!",RSE_Setup!$B$28,ROW()+1)))</f>
        <v>271.32258100000001</v>
      </c>
      <c r="F50" s="1">
        <f ca="1"/>
        <v>266.70190215717184</v>
      </c>
    </row>
    <row r="51" spans="1:6" x14ac:dyDescent="0.3">
      <c r="A51" s="1" cm="1">
        <f t="array" aca="1" ref="A51" ca="1">IF(ISBLANK(INDIRECT(CONCATENATE("Input!",RSE_Setup!$B$16,ROW()+1))),"",INDIRECT(CONCATENATE("Input!",RSE_Setup!$B$16,ROW()+1)))</f>
        <v>1E-3</v>
      </c>
      <c r="B51" s="1" cm="1">
        <f t="array" aca="1" ref="B51" ca="1">IF(ISBLANK(INDIRECT(CONCATENATE("Input!",RSE_Setup!$B$17,ROW()+1))),"",INDIRECT(CONCATENATE("Input!",RSE_Setup!$B$17,ROW()+1)))</f>
        <v>5.0000000000000001E-3</v>
      </c>
      <c r="C51" s="1" cm="1">
        <f t="array" aca="1" ref="C51" ca="1">IF(ISBLANK(INDIRECT(CONCATENATE("Input!",RSE_Setup!$B$18,ROW()+1))),"",INDIRECT(CONCATENATE("Input!",RSE_Setup!$B$18,ROW()+1)))</f>
        <v>3.2258000000000002E-2</v>
      </c>
      <c r="D51" s="1" cm="1">
        <f t="array" aca="1" ref="D51" ca="1">IF(ISBLANK(INDIRECT(CONCATENATE("Input!",RSE_Setup!$B$19,ROW()+1))),"",INDIRECT(CONCATENATE("Input!",RSE_Setup!$B$19,ROW()+1)))</f>
        <v>5250</v>
      </c>
      <c r="E51" s="1" cm="1">
        <f t="array" aca="1" ref="E51" ca="1">IF(ISBLANK(INDIRECT(CONCATENATE("Input!",RSE_Setup!$B$28,ROW()+1))),"",INDIRECT(CONCATENATE("Input!",RSE_Setup!$B$28,ROW()+1)))</f>
        <v>371.129819</v>
      </c>
      <c r="F51" s="1">
        <f ca="1"/>
        <v>374.46680678952447</v>
      </c>
    </row>
    <row r="52" spans="1:6" x14ac:dyDescent="0.3">
      <c r="A52" s="1" cm="1">
        <f t="array" aca="1" ref="A52" ca="1">IF(ISBLANK(INDIRECT(CONCATENATE("Input!",RSE_Setup!$B$16,ROW()+1))),"",INDIRECT(CONCATENATE("Input!",RSE_Setup!$B$16,ROW()+1)))</f>
        <v>1E-3</v>
      </c>
      <c r="B52" s="1" cm="1">
        <f t="array" aca="1" ref="B52" ca="1">IF(ISBLANK(INDIRECT(CONCATENATE("Input!",RSE_Setup!$B$17,ROW()+1))),"",INDIRECT(CONCATENATE("Input!",RSE_Setup!$B$17,ROW()+1)))</f>
        <v>5.0000000000000001E-3</v>
      </c>
      <c r="C52" s="1" cm="1">
        <f t="array" aca="1" ref="C52" ca="1">IF(ISBLANK(INDIRECT(CONCATENATE("Input!",RSE_Setup!$B$18,ROW()+1))),"",INDIRECT(CONCATENATE("Input!",RSE_Setup!$B$18,ROW()+1)))</f>
        <v>3.2258000000000002E-2</v>
      </c>
      <c r="D52" s="1" cm="1">
        <f t="array" aca="1" ref="D52" ca="1">IF(ISBLANK(INDIRECT(CONCATENATE("Input!",RSE_Setup!$B$19,ROW()+1))),"",INDIRECT(CONCATENATE("Input!",RSE_Setup!$B$19,ROW()+1)))</f>
        <v>6500</v>
      </c>
      <c r="E52" s="1" cm="1">
        <f t="array" aca="1" ref="E52" ca="1">IF(ISBLANK(INDIRECT(CONCATENATE("Input!",RSE_Setup!$B$28,ROW()+1))),"",INDIRECT(CONCATENATE("Input!",RSE_Setup!$B$28,ROW()+1)))</f>
        <v>455.91226399999999</v>
      </c>
      <c r="F52" s="1">
        <f ca="1"/>
        <v>463.679531433112</v>
      </c>
    </row>
    <row r="53" spans="1:6" x14ac:dyDescent="0.3">
      <c r="A53" s="1" cm="1">
        <f t="array" aca="1" ref="A53" ca="1">IF(ISBLANK(INDIRECT(CONCATENATE("Input!",RSE_Setup!$B$16,ROW()+1))),"",INDIRECT(CONCATENATE("Input!",RSE_Setup!$B$16,ROW()+1)))</f>
        <v>1E-3</v>
      </c>
      <c r="B53" s="1" cm="1">
        <f t="array" aca="1" ref="B53" ca="1">IF(ISBLANK(INDIRECT(CONCATENATE("Input!",RSE_Setup!$B$17,ROW()+1))),"",INDIRECT(CONCATENATE("Input!",RSE_Setup!$B$17,ROW()+1)))</f>
        <v>6.4999999999999997E-3</v>
      </c>
      <c r="C53" s="1" cm="1">
        <f t="array" aca="1" ref="C53" ca="1">IF(ISBLANK(INDIRECT(CONCATENATE("Input!",RSE_Setup!$B$18,ROW()+1))),"",INDIRECT(CONCATENATE("Input!",RSE_Setup!$B$18,ROW()+1)))</f>
        <v>5.5556000000000001E-2</v>
      </c>
      <c r="D53" s="1" cm="1">
        <f t="array" aca="1" ref="D53" ca="1">IF(ISBLANK(INDIRECT(CONCATENATE("Input!",RSE_Setup!$B$19,ROW()+1))),"",INDIRECT(CONCATENATE("Input!",RSE_Setup!$B$19,ROW()+1)))</f>
        <v>3750</v>
      </c>
      <c r="E53" s="1" cm="1">
        <f t="array" aca="1" ref="E53" ca="1">IF(ISBLANK(INDIRECT(CONCATENATE("Input!",RSE_Setup!$B$28,ROW()+1))),"",INDIRECT(CONCATENATE("Input!",RSE_Setup!$B$28,ROW()+1)))</f>
        <v>329.47374500000001</v>
      </c>
      <c r="F53" s="1">
        <f ca="1"/>
        <v>339.04905004664568</v>
      </c>
    </row>
    <row r="54" spans="1:6" x14ac:dyDescent="0.3">
      <c r="A54" s="1" cm="1">
        <f t="array" aca="1" ref="A54" ca="1">IF(ISBLANK(INDIRECT(CONCATENATE("Input!",RSE_Setup!$B$16,ROW()+1))),"",INDIRECT(CONCATENATE("Input!",RSE_Setup!$B$16,ROW()+1)))</f>
        <v>1E-3</v>
      </c>
      <c r="B54" s="1" cm="1">
        <f t="array" aca="1" ref="B54" ca="1">IF(ISBLANK(INDIRECT(CONCATENATE("Input!",RSE_Setup!$B$17,ROW()+1))),"",INDIRECT(CONCATENATE("Input!",RSE_Setup!$B$17,ROW()+1)))</f>
        <v>6.4999999999999997E-3</v>
      </c>
      <c r="C54" s="1" cm="1">
        <f t="array" aca="1" ref="C54" ca="1">IF(ISBLANK(INDIRECT(CONCATENATE("Input!",RSE_Setup!$B$18,ROW()+1))),"",INDIRECT(CONCATENATE("Input!",RSE_Setup!$B$18,ROW()+1)))</f>
        <v>3.2258000000000002E-2</v>
      </c>
      <c r="D54" s="1" cm="1">
        <f t="array" aca="1" ref="D54" ca="1">IF(ISBLANK(INDIRECT(CONCATENATE("Input!",RSE_Setup!$B$19,ROW()+1))),"",INDIRECT(CONCATENATE("Input!",RSE_Setup!$B$19,ROW()+1)))</f>
        <v>3750</v>
      </c>
      <c r="E54" s="1" cm="1">
        <f t="array" aca="1" ref="E54" ca="1">IF(ISBLANK(INDIRECT(CONCATENATE("Input!",RSE_Setup!$B$28,ROW()+1))),"",INDIRECT(CONCATENATE("Input!",RSE_Setup!$B$28,ROW()+1)))</f>
        <v>339.97568799999999</v>
      </c>
      <c r="F54" s="1">
        <f ca="1"/>
        <v>340.00466909056172</v>
      </c>
    </row>
    <row r="55" spans="1:6" x14ac:dyDescent="0.3">
      <c r="A55" s="1" cm="1">
        <f t="array" aca="1" ref="A55" ca="1">IF(ISBLANK(INDIRECT(CONCATENATE("Input!",RSE_Setup!$B$16,ROW()+1))),"",INDIRECT(CONCATENATE("Input!",RSE_Setup!$B$16,ROW()+1)))</f>
        <v>1E-3</v>
      </c>
      <c r="B55" s="1" cm="1">
        <f t="array" aca="1" ref="B55" ca="1">IF(ISBLANK(INDIRECT(CONCATENATE("Input!",RSE_Setup!$B$17,ROW()+1))),"",INDIRECT(CONCATENATE("Input!",RSE_Setup!$B$17,ROW()+1)))</f>
        <v>6.4999999999999997E-3</v>
      </c>
      <c r="C55" s="1" cm="1">
        <f t="array" aca="1" ref="C55" ca="1">IF(ISBLANK(INDIRECT(CONCATENATE("Input!",RSE_Setup!$B$18,ROW()+1))),"",INDIRECT(CONCATENATE("Input!",RSE_Setup!$B$18,ROW()+1)))</f>
        <v>3.2258000000000002E-2</v>
      </c>
      <c r="D55" s="1" cm="1">
        <f t="array" aca="1" ref="D55" ca="1">IF(ISBLANK(INDIRECT(CONCATENATE("Input!",RSE_Setup!$B$19,ROW()+1))),"",INDIRECT(CONCATENATE("Input!",RSE_Setup!$B$19,ROW()+1)))</f>
        <v>5250</v>
      </c>
      <c r="E55" s="1" cm="1">
        <f t="array" aca="1" ref="E55" ca="1">IF(ISBLANK(INDIRECT(CONCATENATE("Input!",RSE_Setup!$B$28,ROW()+1))),"",INDIRECT(CONCATENATE("Input!",RSE_Setup!$B$28,ROW()+1)))</f>
        <v>477.82692900000001</v>
      </c>
      <c r="F55" s="1">
        <f ca="1"/>
        <v>476.30723875266364</v>
      </c>
    </row>
    <row r="56" spans="1:6" x14ac:dyDescent="0.3">
      <c r="A56" s="1" cm="1">
        <f t="array" aca="1" ref="A56" ca="1">IF(ISBLANK(INDIRECT(CONCATENATE("Input!",RSE_Setup!$B$16,ROW()+1))),"",INDIRECT(CONCATENATE("Input!",RSE_Setup!$B$16,ROW()+1)))</f>
        <v>1E-3</v>
      </c>
      <c r="B56" s="1" cm="1">
        <f t="array" aca="1" ref="B56" ca="1">IF(ISBLANK(INDIRECT(CONCATENATE("Input!",RSE_Setup!$B$17,ROW()+1))),"",INDIRECT(CONCATENATE("Input!",RSE_Setup!$B$17,ROW()+1)))</f>
        <v>6.4999999999999997E-3</v>
      </c>
      <c r="C56" s="1" cm="1">
        <f t="array" aca="1" ref="C56" ca="1">IF(ISBLANK(INDIRECT(CONCATENATE("Input!",RSE_Setup!$B$18,ROW()+1))),"",INDIRECT(CONCATENATE("Input!",RSE_Setup!$B$18,ROW()+1)))</f>
        <v>3.2258000000000002E-2</v>
      </c>
      <c r="D56" s="1" cm="1">
        <f t="array" aca="1" ref="D56" ca="1">IF(ISBLANK(INDIRECT(CONCATENATE("Input!",RSE_Setup!$B$19,ROW()+1))),"",INDIRECT(CONCATENATE("Input!",RSE_Setup!$B$19,ROW()+1)))</f>
        <v>6500</v>
      </c>
      <c r="E56" s="1" cm="1">
        <f t="array" aca="1" ref="E56" ca="1">IF(ISBLANK(INDIRECT(CONCATENATE("Input!",RSE_Setup!$B$28,ROW()+1))),"",INDIRECT(CONCATENATE("Input!",RSE_Setup!$B$28,ROW()+1)))</f>
        <v>586.96635400000002</v>
      </c>
      <c r="F56" s="1">
        <f ca="1"/>
        <v>589.30135092104229</v>
      </c>
    </row>
    <row r="57" spans="1:6" x14ac:dyDescent="0.3">
      <c r="A57" s="1" cm="1">
        <f t="array" aca="1" ref="A57" ca="1">IF(ISBLANK(INDIRECT(CONCATENATE("Input!",RSE_Setup!$B$16,ROW()+1))),"",INDIRECT(CONCATENATE("Input!",RSE_Setup!$B$16,ROW()+1)))</f>
        <v>1E-3</v>
      </c>
      <c r="B57" s="1" cm="1">
        <f t="array" aca="1" ref="B57" ca="1">IF(ISBLANK(INDIRECT(CONCATENATE("Input!",RSE_Setup!$B$17,ROW()+1))),"",INDIRECT(CONCATENATE("Input!",RSE_Setup!$B$17,ROW()+1)))</f>
        <v>8.0000000000000002E-3</v>
      </c>
      <c r="C57" s="1" cm="1">
        <f t="array" aca="1" ref="C57" ca="1">IF(ISBLANK(INDIRECT(CONCATENATE("Input!",RSE_Setup!$B$18,ROW()+1))),"",INDIRECT(CONCATENATE("Input!",RSE_Setup!$B$18,ROW()+1)))</f>
        <v>3.2258000000000002E-2</v>
      </c>
      <c r="D57" s="1" cm="1">
        <f t="array" aca="1" ref="D57" ca="1">IF(ISBLANK(INDIRECT(CONCATENATE("Input!",RSE_Setup!$B$19,ROW()+1))),"",INDIRECT(CONCATENATE("Input!",RSE_Setup!$B$19,ROW()+1)))</f>
        <v>5250</v>
      </c>
      <c r="E57" s="1" cm="1">
        <f t="array" aca="1" ref="E57" ca="1">IF(ISBLANK(INDIRECT(CONCATENATE("Input!",RSE_Setup!$B$28,ROW()+1))),"",INDIRECT(CONCATENATE("Input!",RSE_Setup!$B$28,ROW()+1)))</f>
        <v>595.81213200000002</v>
      </c>
      <c r="F57" s="1">
        <f ca="1"/>
        <v>588.35578977381181</v>
      </c>
    </row>
    <row r="58" spans="1:6" x14ac:dyDescent="0.3">
      <c r="A58" s="1" cm="1">
        <f t="array" aca="1" ref="A58" ca="1">IF(ISBLANK(INDIRECT(CONCATENATE("Input!",RSE_Setup!$B$16,ROW()+1))),"",INDIRECT(CONCATENATE("Input!",RSE_Setup!$B$16,ROW()+1)))</f>
        <v>1E-3</v>
      </c>
      <c r="B58" s="1" cm="1">
        <f t="array" aca="1" ref="B58" ca="1">IF(ISBLANK(INDIRECT(CONCATENATE("Input!",RSE_Setup!$B$17,ROW()+1))),"",INDIRECT(CONCATENATE("Input!",RSE_Setup!$B$17,ROW()+1)))</f>
        <v>8.0000000000000002E-3</v>
      </c>
      <c r="C58" s="1" cm="1">
        <f t="array" aca="1" ref="C58" ca="1">IF(ISBLANK(INDIRECT(CONCATENATE("Input!",RSE_Setup!$B$18,ROW()+1))),"",INDIRECT(CONCATENATE("Input!",RSE_Setup!$B$18,ROW()+1)))</f>
        <v>3.2258000000000002E-2</v>
      </c>
      <c r="D58" s="1" cm="1">
        <f t="array" aca="1" ref="D58" ca="1">IF(ISBLANK(INDIRECT(CONCATENATE("Input!",RSE_Setup!$B$19,ROW()+1))),"",INDIRECT(CONCATENATE("Input!",RSE_Setup!$B$19,ROW()+1)))</f>
        <v>6500</v>
      </c>
      <c r="E58" s="1" cm="1">
        <f t="array" aca="1" ref="E58" ca="1">IF(ISBLANK(INDIRECT(CONCATENATE("Input!",RSE_Setup!$B$28,ROW()+1))),"",INDIRECT(CONCATENATE("Input!",RSE_Setup!$B$28,ROW()+1)))</f>
        <v>729.84624199999996</v>
      </c>
      <c r="F58" s="1">
        <f ca="1"/>
        <v>725.13128946698134</v>
      </c>
    </row>
    <row r="59" spans="1:6" x14ac:dyDescent="0.3">
      <c r="A59" s="1" cm="1">
        <f t="array" aca="1" ref="A59" ca="1">IF(ISBLANK(INDIRECT(CONCATENATE("Input!",RSE_Setup!$B$16,ROW()+1))),"",INDIRECT(CONCATENATE("Input!",RSE_Setup!$B$16,ROW()+1)))</f>
        <v>2.9999999999999997E-4</v>
      </c>
      <c r="B59" s="1" cm="1">
        <f t="array" aca="1" ref="B59" ca="1">IF(ISBLANK(INDIRECT(CONCATENATE("Input!",RSE_Setup!$B$17,ROW()+1))),"",INDIRECT(CONCATENATE("Input!",RSE_Setup!$B$17,ROW()+1)))</f>
        <v>2E-3</v>
      </c>
      <c r="C59" s="1" cm="1">
        <f t="array" aca="1" ref="C59" ca="1">IF(ISBLANK(INDIRECT(CONCATENATE("Input!",RSE_Setup!$B$18,ROW()+1))),"",INDIRECT(CONCATENATE("Input!",RSE_Setup!$B$18,ROW()+1)))</f>
        <v>5.5556000000000001E-2</v>
      </c>
      <c r="D59" s="1" cm="1">
        <f t="array" aca="1" ref="D59" ca="1">IF(ISBLANK(INDIRECT(CONCATENATE("Input!",RSE_Setup!$B$19,ROW()+1))),"",INDIRECT(CONCATENATE("Input!",RSE_Setup!$B$19,ROW()+1)))</f>
        <v>6000</v>
      </c>
      <c r="E59" s="1" cm="1">
        <f t="array" aca="1" ref="E59" ca="1">IF(ISBLANK(INDIRECT(CONCATENATE("Input!",RSE_Setup!$B$28,ROW()+1))),"",INDIRECT(CONCATENATE("Input!",RSE_Setup!$B$28,ROW()+1)))</f>
        <v>260.476159</v>
      </c>
      <c r="F59" s="1">
        <f ca="1"/>
        <v>259.58032600863578</v>
      </c>
    </row>
    <row r="60" spans="1:6" x14ac:dyDescent="0.3">
      <c r="A60" s="1" cm="1">
        <f t="array" aca="1" ref="A60" ca="1">IF(ISBLANK(INDIRECT(CONCATENATE("Input!",RSE_Setup!$B$16,ROW()+1))),"",INDIRECT(CONCATENATE("Input!",RSE_Setup!$B$16,ROW()+1)))</f>
        <v>2.9999999999999997E-4</v>
      </c>
      <c r="B60" s="1" cm="1">
        <f t="array" aca="1" ref="B60" ca="1">IF(ISBLANK(INDIRECT(CONCATENATE("Input!",RSE_Setup!$B$17,ROW()+1))),"",INDIRECT(CONCATENATE("Input!",RSE_Setup!$B$17,ROW()+1)))</f>
        <v>2E-3</v>
      </c>
      <c r="C60" s="1" cm="1">
        <f t="array" aca="1" ref="C60" ca="1">IF(ISBLANK(INDIRECT(CONCATENATE("Input!",RSE_Setup!$B$18,ROW()+1))),"",INDIRECT(CONCATENATE("Input!",RSE_Setup!$B$18,ROW()+1)))</f>
        <v>3.2258000000000002E-2</v>
      </c>
      <c r="D60" s="1" cm="1">
        <f t="array" aca="1" ref="D60" ca="1">IF(ISBLANK(INDIRECT(CONCATENATE("Input!",RSE_Setup!$B$19,ROW()+1))),"",INDIRECT(CONCATENATE("Input!",RSE_Setup!$B$19,ROW()+1)))</f>
        <v>6000</v>
      </c>
      <c r="E60" s="1" cm="1">
        <f t="array" aca="1" ref="E60" ca="1">IF(ISBLANK(INDIRECT(CONCATENATE("Input!",RSE_Setup!$B$28,ROW()+1))),"",INDIRECT(CONCATENATE("Input!",RSE_Setup!$B$28,ROW()+1)))</f>
        <v>251.33394799999999</v>
      </c>
      <c r="F60" s="1">
        <f ca="1"/>
        <v>250.63984628649277</v>
      </c>
    </row>
    <row r="61" spans="1:6" x14ac:dyDescent="0.3">
      <c r="A61" s="1" cm="1">
        <f t="array" aca="1" ref="A61" ca="1">IF(ISBLANK(INDIRECT(CONCATENATE("Input!",RSE_Setup!$B$16,ROW()+1))),"",INDIRECT(CONCATENATE("Input!",RSE_Setup!$B$16,ROW()+1)))</f>
        <v>2.9999999999999997E-4</v>
      </c>
      <c r="B61" s="1" cm="1">
        <f t="array" aca="1" ref="B61" ca="1">IF(ISBLANK(INDIRECT(CONCATENATE("Input!",RSE_Setup!$B$17,ROW()+1))),"",INDIRECT(CONCATENATE("Input!",RSE_Setup!$B$17,ROW()+1)))</f>
        <v>2E-3</v>
      </c>
      <c r="C61" s="1" cm="1">
        <f t="array" aca="1" ref="C61" ca="1">IF(ISBLANK(INDIRECT(CONCATENATE("Input!",RSE_Setup!$B$18,ROW()+1))),"",INDIRECT(CONCATENATE("Input!",RSE_Setup!$B$18,ROW()+1)))</f>
        <v>3.2258000000000002E-2</v>
      </c>
      <c r="D61" s="1" cm="1">
        <f t="array" aca="1" ref="D61" ca="1">IF(ISBLANK(INDIRECT(CONCATENATE("Input!",RSE_Setup!$B$19,ROW()+1))),"",INDIRECT(CONCATENATE("Input!",RSE_Setup!$B$19,ROW()+1)))</f>
        <v>8000</v>
      </c>
      <c r="E61" s="1" cm="1">
        <f t="array" aca="1" ref="E61" ca="1">IF(ISBLANK(INDIRECT(CONCATENATE("Input!",RSE_Setup!$B$28,ROW()+1))),"",INDIRECT(CONCATENATE("Input!",RSE_Setup!$B$28,ROW()+1)))</f>
        <v>328.56040100000001</v>
      </c>
      <c r="F61" s="1">
        <f ca="1"/>
        <v>328.58421445592705</v>
      </c>
    </row>
    <row r="62" spans="1:6" x14ac:dyDescent="0.3">
      <c r="A62" s="1" cm="1">
        <f t="array" aca="1" ref="A62" ca="1">IF(ISBLANK(INDIRECT(CONCATENATE("Input!",RSE_Setup!$B$16,ROW()+1))),"",INDIRECT(CONCATENATE("Input!",RSE_Setup!$B$16,ROW()+1)))</f>
        <v>2.9999999999999997E-4</v>
      </c>
      <c r="B62" s="1" cm="1">
        <f t="array" aca="1" ref="B62" ca="1">IF(ISBLANK(INDIRECT(CONCATENATE("Input!",RSE_Setup!$B$17,ROW()+1))),"",INDIRECT(CONCATENATE("Input!",RSE_Setup!$B$17,ROW()+1)))</f>
        <v>2E-3</v>
      </c>
      <c r="C62" s="1" cm="1">
        <f t="array" aca="1" ref="C62" ca="1">IF(ISBLANK(INDIRECT(CONCATENATE("Input!",RSE_Setup!$B$18,ROW()+1))),"",INDIRECT(CONCATENATE("Input!",RSE_Setup!$B$18,ROW()+1)))</f>
        <v>3.2258000000000002E-2</v>
      </c>
      <c r="D62" s="1" cm="1">
        <f t="array" aca="1" ref="D62" ca="1">IF(ISBLANK(INDIRECT(CONCATENATE("Input!",RSE_Setup!$B$19,ROW()+1))),"",INDIRECT(CONCATENATE("Input!",RSE_Setup!$B$19,ROW()+1)))</f>
        <v>10000</v>
      </c>
      <c r="E62" s="1" cm="1">
        <f t="array" aca="1" ref="E62" ca="1">IF(ISBLANK(INDIRECT(CONCATENATE("Input!",RSE_Setup!$B$28,ROW()+1))),"",INDIRECT(CONCATENATE("Input!",RSE_Setup!$B$28,ROW()+1)))</f>
        <v>407.22058199999998</v>
      </c>
      <c r="F62" s="1">
        <f ca="1"/>
        <v>405.15232069072334</v>
      </c>
    </row>
    <row r="63" spans="1:6" x14ac:dyDescent="0.3">
      <c r="A63" s="1" cm="1">
        <f t="array" aca="1" ref="A63" ca="1">IF(ISBLANK(INDIRECT(CONCATENATE("Input!",RSE_Setup!$B$16,ROW()+1))),"",INDIRECT(CONCATENATE("Input!",RSE_Setup!$B$16,ROW()+1)))</f>
        <v>2.9999999999999997E-4</v>
      </c>
      <c r="B63" s="1" cm="1">
        <f t="array" aca="1" ref="B63" ca="1">IF(ISBLANK(INDIRECT(CONCATENATE("Input!",RSE_Setup!$B$17,ROW()+1))),"",INDIRECT(CONCATENATE("Input!",RSE_Setup!$B$17,ROW()+1)))</f>
        <v>3.0000000000000001E-3</v>
      </c>
      <c r="C63" s="1" cm="1">
        <f t="array" aca="1" ref="C63" ca="1">IF(ISBLANK(INDIRECT(CONCATENATE("Input!",RSE_Setup!$B$18,ROW()+1))),"",INDIRECT(CONCATENATE("Input!",RSE_Setup!$B$18,ROW()+1)))</f>
        <v>5.5556000000000001E-2</v>
      </c>
      <c r="D63" s="1" cm="1">
        <f t="array" aca="1" ref="D63" ca="1">IF(ISBLANK(INDIRECT(CONCATENATE("Input!",RSE_Setup!$B$19,ROW()+1))),"",INDIRECT(CONCATENATE("Input!",RSE_Setup!$B$19,ROW()+1)))</f>
        <v>6000</v>
      </c>
      <c r="E63" s="1" cm="1">
        <f t="array" aca="1" ref="E63" ca="1">IF(ISBLANK(INDIRECT(CONCATENATE("Input!",RSE_Setup!$B$28,ROW()+1))),"",INDIRECT(CONCATENATE("Input!",RSE_Setup!$B$28,ROW()+1)))</f>
        <v>320.38050500000003</v>
      </c>
      <c r="F63" s="1">
        <f ca="1"/>
        <v>321.30564423058257</v>
      </c>
    </row>
    <row r="64" spans="1:6" x14ac:dyDescent="0.3">
      <c r="A64" s="1" cm="1">
        <f t="array" aca="1" ref="A64" ca="1">IF(ISBLANK(INDIRECT(CONCATENATE("Input!",RSE_Setup!$B$16,ROW()+1))),"",INDIRECT(CONCATENATE("Input!",RSE_Setup!$B$16,ROW()+1)))</f>
        <v>2.9999999999999997E-4</v>
      </c>
      <c r="B64" s="1" cm="1">
        <f t="array" aca="1" ref="B64" ca="1">IF(ISBLANK(INDIRECT(CONCATENATE("Input!",RSE_Setup!$B$17,ROW()+1))),"",INDIRECT(CONCATENATE("Input!",RSE_Setup!$B$17,ROW()+1)))</f>
        <v>3.0000000000000001E-3</v>
      </c>
      <c r="C64" s="1" cm="1">
        <f t="array" aca="1" ref="C64" ca="1">IF(ISBLANK(INDIRECT(CONCATENATE("Input!",RSE_Setup!$B$18,ROW()+1))),"",INDIRECT(CONCATENATE("Input!",RSE_Setup!$B$18,ROW()+1)))</f>
        <v>3.2258000000000002E-2</v>
      </c>
      <c r="D64" s="1" cm="1">
        <f t="array" aca="1" ref="D64" ca="1">IF(ISBLANK(INDIRECT(CONCATENATE("Input!",RSE_Setup!$B$19,ROW()+1))),"",INDIRECT(CONCATENATE("Input!",RSE_Setup!$B$19,ROW()+1)))</f>
        <v>6000</v>
      </c>
      <c r="E64" s="1" cm="1">
        <f t="array" aca="1" ref="E64" ca="1">IF(ISBLANK(INDIRECT(CONCATENATE("Input!",RSE_Setup!$B$28,ROW()+1))),"",INDIRECT(CONCATENATE("Input!",RSE_Setup!$B$28,ROW()+1)))</f>
        <v>317.02178800000002</v>
      </c>
      <c r="F64" s="1">
        <f ca="1"/>
        <v>314.97054165193356</v>
      </c>
    </row>
    <row r="65" spans="1:6" x14ac:dyDescent="0.3">
      <c r="A65" s="1" cm="1">
        <f t="array" aca="1" ref="A65" ca="1">IF(ISBLANK(INDIRECT(CONCATENATE("Input!",RSE_Setup!$B$16,ROW()+1))),"",INDIRECT(CONCATENATE("Input!",RSE_Setup!$B$16,ROW()+1)))</f>
        <v>2.9999999999999997E-4</v>
      </c>
      <c r="B65" s="1" cm="1">
        <f t="array" aca="1" ref="B65" ca="1">IF(ISBLANK(INDIRECT(CONCATENATE("Input!",RSE_Setup!$B$17,ROW()+1))),"",INDIRECT(CONCATENATE("Input!",RSE_Setup!$B$17,ROW()+1)))</f>
        <v>3.0000000000000001E-3</v>
      </c>
      <c r="C65" s="1" cm="1">
        <f t="array" aca="1" ref="C65" ca="1">IF(ISBLANK(INDIRECT(CONCATENATE("Input!",RSE_Setup!$B$18,ROW()+1))),"",INDIRECT(CONCATENATE("Input!",RSE_Setup!$B$18,ROW()+1)))</f>
        <v>3.2258000000000002E-2</v>
      </c>
      <c r="D65" s="1" cm="1">
        <f t="array" aca="1" ref="D65" ca="1">IF(ISBLANK(INDIRECT(CONCATENATE("Input!",RSE_Setup!$B$19,ROW()+1))),"",INDIRECT(CONCATENATE("Input!",RSE_Setup!$B$19,ROW()+1)))</f>
        <v>8000</v>
      </c>
      <c r="E65" s="1" cm="1">
        <f t="array" aca="1" ref="E65" ca="1">IF(ISBLANK(INDIRECT(CONCATENATE("Input!",RSE_Setup!$B$28,ROW()+1))),"",INDIRECT(CONCATENATE("Input!",RSE_Setup!$B$28,ROW()+1)))</f>
        <v>415.29161099999999</v>
      </c>
      <c r="F65" s="1">
        <f ca="1"/>
        <v>418.28172318114503</v>
      </c>
    </row>
    <row r="66" spans="1:6" x14ac:dyDescent="0.3">
      <c r="A66" s="1" cm="1">
        <f t="array" aca="1" ref="A66" ca="1">IF(ISBLANK(INDIRECT(CONCATENATE("Input!",RSE_Setup!$B$16,ROW()+1))),"",INDIRECT(CONCATENATE("Input!",RSE_Setup!$B$16,ROW()+1)))</f>
        <v>2.9999999999999997E-4</v>
      </c>
      <c r="B66" s="1" cm="1">
        <f t="array" aca="1" ref="B66" ca="1">IF(ISBLANK(INDIRECT(CONCATENATE("Input!",RSE_Setup!$B$17,ROW()+1))),"",INDIRECT(CONCATENATE("Input!",RSE_Setup!$B$17,ROW()+1)))</f>
        <v>3.0000000000000001E-3</v>
      </c>
      <c r="C66" s="1" cm="1">
        <f t="array" aca="1" ref="C66" ca="1">IF(ISBLANK(INDIRECT(CONCATENATE("Input!",RSE_Setup!$B$18,ROW()+1))),"",INDIRECT(CONCATENATE("Input!",RSE_Setup!$B$18,ROW()+1)))</f>
        <v>3.2258000000000002E-2</v>
      </c>
      <c r="D66" s="1" cm="1">
        <f t="array" aca="1" ref="D66" ca="1">IF(ISBLANK(INDIRECT(CONCATENATE("Input!",RSE_Setup!$B$19,ROW()+1))),"",INDIRECT(CONCATENATE("Input!",RSE_Setup!$B$19,ROW()+1)))</f>
        <v>10000</v>
      </c>
      <c r="E66" s="1" cm="1">
        <f t="array" aca="1" ref="E66" ca="1">IF(ISBLANK(INDIRECT(CONCATENATE("Input!",RSE_Setup!$B$28,ROW()+1))),"",INDIRECT(CONCATENATE("Input!",RSE_Setup!$B$28,ROW()+1)))</f>
        <v>514.291561</v>
      </c>
      <c r="F66" s="1">
        <f ca="1"/>
        <v>520.21664277571858</v>
      </c>
    </row>
    <row r="67" spans="1:6" x14ac:dyDescent="0.3">
      <c r="A67" s="1" cm="1">
        <f t="array" aca="1" ref="A67" ca="1">IF(ISBLANK(INDIRECT(CONCATENATE("Input!",RSE_Setup!$B$16,ROW()+1))),"",INDIRECT(CONCATENATE("Input!",RSE_Setup!$B$16,ROW()+1)))</f>
        <v>2.9999999999999997E-4</v>
      </c>
      <c r="B67" s="1" cm="1">
        <f t="array" aca="1" ref="B67" ca="1">IF(ISBLANK(INDIRECT(CONCATENATE("Input!",RSE_Setup!$B$17,ROW()+1))),"",INDIRECT(CONCATENATE("Input!",RSE_Setup!$B$17,ROW()+1)))</f>
        <v>4.0000000000000001E-3</v>
      </c>
      <c r="C67" s="1" cm="1">
        <f t="array" aca="1" ref="C67" ca="1">IF(ISBLANK(INDIRECT(CONCATENATE("Input!",RSE_Setup!$B$18,ROW()+1))),"",INDIRECT(CONCATENATE("Input!",RSE_Setup!$B$18,ROW()+1)))</f>
        <v>5.5556000000000001E-2</v>
      </c>
      <c r="D67" s="1" cm="1">
        <f t="array" aca="1" ref="D67" ca="1">IF(ISBLANK(INDIRECT(CONCATENATE("Input!",RSE_Setup!$B$19,ROW()+1))),"",INDIRECT(CONCATENATE("Input!",RSE_Setup!$B$19,ROW()+1)))</f>
        <v>6000</v>
      </c>
      <c r="E67" s="1" cm="1">
        <f t="array" aca="1" ref="E67" ca="1">IF(ISBLANK(INDIRECT(CONCATENATE("Input!",RSE_Setup!$B$28,ROW()+1))),"",INDIRECT(CONCATENATE("Input!",RSE_Setup!$B$28,ROW()+1)))</f>
        <v>384.74588799999998</v>
      </c>
      <c r="F67" s="1">
        <f ca="1"/>
        <v>387.56790425608887</v>
      </c>
    </row>
    <row r="68" spans="1:6" x14ac:dyDescent="0.3">
      <c r="A68" s="1" cm="1">
        <f t="array" aca="1" ref="A68" ca="1">IF(ISBLANK(INDIRECT(CONCATENATE("Input!",RSE_Setup!$B$16,ROW()+1))),"",INDIRECT(CONCATENATE("Input!",RSE_Setup!$B$16,ROW()+1)))</f>
        <v>2.9999999999999997E-4</v>
      </c>
      <c r="B68" s="1" cm="1">
        <f t="array" aca="1" ref="B68" ca="1">IF(ISBLANK(INDIRECT(CONCATENATE("Input!",RSE_Setup!$B$17,ROW()+1))),"",INDIRECT(CONCATENATE("Input!",RSE_Setup!$B$17,ROW()+1)))</f>
        <v>4.0000000000000001E-3</v>
      </c>
      <c r="C68" s="1" cm="1">
        <f t="array" aca="1" ref="C68" ca="1">IF(ISBLANK(INDIRECT(CONCATENATE("Input!",RSE_Setup!$B$18,ROW()+1))),"",INDIRECT(CONCATENATE("Input!",RSE_Setup!$B$18,ROW()+1)))</f>
        <v>3.2258000000000002E-2</v>
      </c>
      <c r="D68" s="1" cm="1">
        <f t="array" aca="1" ref="D68" ca="1">IF(ISBLANK(INDIRECT(CONCATENATE("Input!",RSE_Setup!$B$19,ROW()+1))),"",INDIRECT(CONCATENATE("Input!",RSE_Setup!$B$19,ROW()+1)))</f>
        <v>6000</v>
      </c>
      <c r="E68" s="1" cm="1">
        <f t="array" aca="1" ref="E68" ca="1">IF(ISBLANK(INDIRECT(CONCATENATE("Input!",RSE_Setup!$B$28,ROW()+1))),"",INDIRECT(CONCATENATE("Input!",RSE_Setup!$B$28,ROW()+1)))</f>
        <v>386.66072700000001</v>
      </c>
      <c r="F68" s="1">
        <f ca="1"/>
        <v>383.83817882093382</v>
      </c>
    </row>
    <row r="69" spans="1:6" x14ac:dyDescent="0.3">
      <c r="A69" s="1" cm="1">
        <f t="array" aca="1" ref="A69" ca="1">IF(ISBLANK(INDIRECT(CONCATENATE("Input!",RSE_Setup!$B$16,ROW()+1))),"",INDIRECT(CONCATENATE("Input!",RSE_Setup!$B$16,ROW()+1)))</f>
        <v>2.9999999999999997E-4</v>
      </c>
      <c r="B69" s="1" cm="1">
        <f t="array" aca="1" ref="B69" ca="1">IF(ISBLANK(INDIRECT(CONCATENATE("Input!",RSE_Setup!$B$17,ROW()+1))),"",INDIRECT(CONCATENATE("Input!",RSE_Setup!$B$17,ROW()+1)))</f>
        <v>4.0000000000000001E-3</v>
      </c>
      <c r="C69" s="1" cm="1">
        <f t="array" aca="1" ref="C69" ca="1">IF(ISBLANK(INDIRECT(CONCATENATE("Input!",RSE_Setup!$B$18,ROW()+1))),"",INDIRECT(CONCATENATE("Input!",RSE_Setup!$B$18,ROW()+1)))</f>
        <v>3.2258000000000002E-2</v>
      </c>
      <c r="D69" s="1" cm="1">
        <f t="array" aca="1" ref="D69" ca="1">IF(ISBLANK(INDIRECT(CONCATENATE("Input!",RSE_Setup!$B$19,ROW()+1))),"",INDIRECT(CONCATENATE("Input!",RSE_Setup!$B$19,ROW()+1)))</f>
        <v>8000</v>
      </c>
      <c r="E69" s="1" cm="1">
        <f t="array" aca="1" ref="E69" ca="1">IF(ISBLANK(INDIRECT(CONCATENATE("Input!",RSE_Setup!$B$28,ROW()+1))),"",INDIRECT(CONCATENATE("Input!",RSE_Setup!$B$28,ROW()+1)))</f>
        <v>506.81575500000002</v>
      </c>
      <c r="F69" s="1">
        <f ca="1"/>
        <v>512.51617370992255</v>
      </c>
    </row>
    <row r="70" spans="1:6" x14ac:dyDescent="0.3">
      <c r="A70" s="1" cm="1">
        <f t="array" aca="1" ref="A70" ca="1">IF(ISBLANK(INDIRECT(CONCATENATE("Input!",RSE_Setup!$B$16,ROW()+1))),"",INDIRECT(CONCATENATE("Input!",RSE_Setup!$B$16,ROW()+1)))</f>
        <v>2.9999999999999997E-4</v>
      </c>
      <c r="B70" s="1" cm="1">
        <f t="array" aca="1" ref="B70" ca="1">IF(ISBLANK(INDIRECT(CONCATENATE("Input!",RSE_Setup!$B$17,ROW()+1))),"",INDIRECT(CONCATENATE("Input!",RSE_Setup!$B$17,ROW()+1)))</f>
        <v>4.0000000000000001E-3</v>
      </c>
      <c r="C70" s="1" cm="1">
        <f t="array" aca="1" ref="C70" ca="1">IF(ISBLANK(INDIRECT(CONCATENATE("Input!",RSE_Setup!$B$18,ROW()+1))),"",INDIRECT(CONCATENATE("Input!",RSE_Setup!$B$18,ROW()+1)))</f>
        <v>3.2258000000000002E-2</v>
      </c>
      <c r="D70" s="1" cm="1">
        <f t="array" aca="1" ref="D70" ca="1">IF(ISBLANK(INDIRECT(CONCATENATE("Input!",RSE_Setup!$B$19,ROW()+1))),"",INDIRECT(CONCATENATE("Input!",RSE_Setup!$B$19,ROW()+1)))</f>
        <v>10000</v>
      </c>
      <c r="E70" s="1" cm="1">
        <f t="array" aca="1" ref="E70" ca="1">IF(ISBLANK(INDIRECT(CONCATENATE("Input!",RSE_Setup!$B$28,ROW()+1))),"",INDIRECT(CONCATENATE("Input!",RSE_Setup!$B$28,ROW()+1)))</f>
        <v>633.37566100000004</v>
      </c>
      <c r="F70" s="1">
        <f ca="1"/>
        <v>639.81790666427321</v>
      </c>
    </row>
    <row r="71" spans="1:6" x14ac:dyDescent="0.3">
      <c r="A71" s="1" cm="1">
        <f t="array" aca="1" ref="A71" ca="1">IF(ISBLANK(INDIRECT(CONCATENATE("Input!",RSE_Setup!$B$16,ROW()+1))),"",INDIRECT(CONCATENATE("Input!",RSE_Setup!$B$16,ROW()+1)))</f>
        <v>5.0000000000000001E-4</v>
      </c>
      <c r="B71" s="1" cm="1">
        <f t="array" aca="1" ref="B71" ca="1">IF(ISBLANK(INDIRECT(CONCATENATE("Input!",RSE_Setup!$B$17,ROW()+1))),"",INDIRECT(CONCATENATE("Input!",RSE_Setup!$B$17,ROW()+1)))</f>
        <v>3.0000000000000001E-3</v>
      </c>
      <c r="C71" s="1" cm="1">
        <f t="array" aca="1" ref="C71" ca="1">IF(ISBLANK(INDIRECT(CONCATENATE("Input!",RSE_Setup!$B$18,ROW()+1))),"",INDIRECT(CONCATENATE("Input!",RSE_Setup!$B$18,ROW()+1)))</f>
        <v>5.5556000000000001E-2</v>
      </c>
      <c r="D71" s="1" cm="1">
        <f t="array" aca="1" ref="D71" ca="1">IF(ISBLANK(INDIRECT(CONCATENATE("Input!",RSE_Setup!$B$19,ROW()+1))),"",INDIRECT(CONCATENATE("Input!",RSE_Setup!$B$19,ROW()+1)))</f>
        <v>3375</v>
      </c>
      <c r="E71" s="1" cm="1">
        <f t="array" aca="1" ref="E71" ca="1">IF(ISBLANK(INDIRECT(CONCATENATE("Input!",RSE_Setup!$B$28,ROW()+1))),"",INDIRECT(CONCATENATE("Input!",RSE_Setup!$B$28,ROW()+1)))</f>
        <v>184.038915</v>
      </c>
      <c r="F71" s="1">
        <f ca="1"/>
        <v>182.68713156144855</v>
      </c>
    </row>
    <row r="72" spans="1:6" x14ac:dyDescent="0.3">
      <c r="A72" s="1" cm="1">
        <f t="array" aca="1" ref="A72" ca="1">IF(ISBLANK(INDIRECT(CONCATENATE("Input!",RSE_Setup!$B$16,ROW()+1))),"",INDIRECT(CONCATENATE("Input!",RSE_Setup!$B$16,ROW()+1)))</f>
        <v>5.0000000000000001E-4</v>
      </c>
      <c r="B72" s="1" cm="1">
        <f t="array" aca="1" ref="B72" ca="1">IF(ISBLANK(INDIRECT(CONCATENATE("Input!",RSE_Setup!$B$17,ROW()+1))),"",INDIRECT(CONCATENATE("Input!",RSE_Setup!$B$17,ROW()+1)))</f>
        <v>3.0000000000000001E-3</v>
      </c>
      <c r="C72" s="1" cm="1">
        <f t="array" aca="1" ref="C72" ca="1">IF(ISBLANK(INDIRECT(CONCATENATE("Input!",RSE_Setup!$B$18,ROW()+1))),"",INDIRECT(CONCATENATE("Input!",RSE_Setup!$B$18,ROW()+1)))</f>
        <v>5.5556000000000001E-2</v>
      </c>
      <c r="D72" s="1" cm="1">
        <f t="array" aca="1" ref="D72" ca="1">IF(ISBLANK(INDIRECT(CONCATENATE("Input!",RSE_Setup!$B$19,ROW()+1))),"",INDIRECT(CONCATENATE("Input!",RSE_Setup!$B$19,ROW()+1)))</f>
        <v>4500</v>
      </c>
      <c r="E72" s="1" cm="1">
        <f t="array" aca="1" ref="E72" ca="1">IF(ISBLANK(INDIRECT(CONCATENATE("Input!",RSE_Setup!$B$28,ROW()+1))),"",INDIRECT(CONCATENATE("Input!",RSE_Setup!$B$28,ROW()+1)))</f>
        <v>239.287676</v>
      </c>
      <c r="F72" s="1">
        <f ca="1"/>
        <v>239.25837180750963</v>
      </c>
    </row>
    <row r="73" spans="1:6" x14ac:dyDescent="0.3">
      <c r="A73" s="1" cm="1">
        <f t="array" aca="1" ref="A73" ca="1">IF(ISBLANK(INDIRECT(CONCATENATE("Input!",RSE_Setup!$B$16,ROW()+1))),"",INDIRECT(CONCATENATE("Input!",RSE_Setup!$B$16,ROW()+1)))</f>
        <v>5.0000000000000001E-4</v>
      </c>
      <c r="B73" s="1" cm="1">
        <f t="array" aca="1" ref="B73" ca="1">IF(ISBLANK(INDIRECT(CONCATENATE("Input!",RSE_Setup!$B$17,ROW()+1))),"",INDIRECT(CONCATENATE("Input!",RSE_Setup!$B$17,ROW()+1)))</f>
        <v>3.0000000000000001E-3</v>
      </c>
      <c r="C73" s="1" cm="1">
        <f t="array" aca="1" ref="C73" ca="1">IF(ISBLANK(INDIRECT(CONCATENATE("Input!",RSE_Setup!$B$18,ROW()+1))),"",INDIRECT(CONCATENATE("Input!",RSE_Setup!$B$18,ROW()+1)))</f>
        <v>5.5556000000000001E-2</v>
      </c>
      <c r="D73" s="1" cm="1">
        <f t="array" aca="1" ref="D73" ca="1">IF(ISBLANK(INDIRECT(CONCATENATE("Input!",RSE_Setup!$B$19,ROW()+1))),"",INDIRECT(CONCATENATE("Input!",RSE_Setup!$B$19,ROW()+1)))</f>
        <v>6000</v>
      </c>
      <c r="E73" s="1" cm="1">
        <f t="array" aca="1" ref="E73" ca="1">IF(ISBLANK(INDIRECT(CONCATENATE("Input!",RSE_Setup!$B$28,ROW()+1))),"",INDIRECT(CONCATENATE("Input!",RSE_Setup!$B$28,ROW()+1)))</f>
        <v>312.55059299999999</v>
      </c>
      <c r="F73" s="1">
        <f ca="1"/>
        <v>314.00931321463639</v>
      </c>
    </row>
    <row r="74" spans="1:6" x14ac:dyDescent="0.3">
      <c r="A74" s="1" cm="1">
        <f t="array" aca="1" ref="A74" ca="1">IF(ISBLANK(INDIRECT(CONCATENATE("Input!",RSE_Setup!$B$16,ROW()+1))),"",INDIRECT(CONCATENATE("Input!",RSE_Setup!$B$16,ROW()+1)))</f>
        <v>5.0000000000000001E-4</v>
      </c>
      <c r="B74" s="1" cm="1">
        <f t="array" aca="1" ref="B74" ca="1">IF(ISBLANK(INDIRECT(CONCATENATE("Input!",RSE_Setup!$B$17,ROW()+1))),"",INDIRECT(CONCATENATE("Input!",RSE_Setup!$B$17,ROW()+1)))</f>
        <v>3.0000000000000001E-3</v>
      </c>
      <c r="C74" s="1" cm="1">
        <f t="array" aca="1" ref="C74" ca="1">IF(ISBLANK(INDIRECT(CONCATENATE("Input!",RSE_Setup!$B$18,ROW()+1))),"",INDIRECT(CONCATENATE("Input!",RSE_Setup!$B$18,ROW()+1)))</f>
        <v>3.2258000000000002E-2</v>
      </c>
      <c r="D74" s="1" cm="1">
        <f t="array" aca="1" ref="D74" ca="1">IF(ISBLANK(INDIRECT(CONCATENATE("Input!",RSE_Setup!$B$19,ROW()+1))),"",INDIRECT(CONCATENATE("Input!",RSE_Setup!$B$19,ROW()+1)))</f>
        <v>6000</v>
      </c>
      <c r="E74" s="1" cm="1">
        <f t="array" aca="1" ref="E74" ca="1">IF(ISBLANK(INDIRECT(CONCATENATE("Input!",RSE_Setup!$B$28,ROW()+1))),"",INDIRECT(CONCATENATE("Input!",RSE_Setup!$B$28,ROW()+1)))</f>
        <v>309.27006399999999</v>
      </c>
      <c r="F74" s="1">
        <f ca="1"/>
        <v>307.60075939719525</v>
      </c>
    </row>
    <row r="75" spans="1:6" x14ac:dyDescent="0.3">
      <c r="A75" s="1" cm="1">
        <f t="array" aca="1" ref="A75" ca="1">IF(ISBLANK(INDIRECT(CONCATENATE("Input!",RSE_Setup!$B$16,ROW()+1))),"",INDIRECT(CONCATENATE("Input!",RSE_Setup!$B$16,ROW()+1)))</f>
        <v>5.0000000000000001E-4</v>
      </c>
      <c r="B75" s="1" cm="1">
        <f t="array" aca="1" ref="B75" ca="1">IF(ISBLANK(INDIRECT(CONCATENATE("Input!",RSE_Setup!$B$17,ROW()+1))),"",INDIRECT(CONCATENATE("Input!",RSE_Setup!$B$17,ROW()+1)))</f>
        <v>3.0000000000000001E-3</v>
      </c>
      <c r="C75" s="1" cm="1">
        <f t="array" aca="1" ref="C75" ca="1">IF(ISBLANK(INDIRECT(CONCATENATE("Input!",RSE_Setup!$B$18,ROW()+1))),"",INDIRECT(CONCATENATE("Input!",RSE_Setup!$B$18,ROW()+1)))</f>
        <v>3.2258000000000002E-2</v>
      </c>
      <c r="D75" s="1" cm="1">
        <f t="array" aca="1" ref="D75" ca="1">IF(ISBLANK(INDIRECT(CONCATENATE("Input!",RSE_Setup!$B$19,ROW()+1))),"",INDIRECT(CONCATENATE("Input!",RSE_Setup!$B$19,ROW()+1)))</f>
        <v>8000</v>
      </c>
      <c r="E75" s="1" cm="1">
        <f t="array" aca="1" ref="E75" ca="1">IF(ISBLANK(INDIRECT(CONCATENATE("Input!",RSE_Setup!$B$28,ROW()+1))),"",INDIRECT(CONCATENATE("Input!",RSE_Setup!$B$28,ROW()+1)))</f>
        <v>404.66925199999997</v>
      </c>
      <c r="F75" s="1">
        <f ca="1"/>
        <v>407.46091345290387</v>
      </c>
    </row>
    <row r="76" spans="1:6" x14ac:dyDescent="0.3">
      <c r="A76" s="1" cm="1">
        <f t="array" aca="1" ref="A76" ca="1">IF(ISBLANK(INDIRECT(CONCATENATE("Input!",RSE_Setup!$B$16,ROW()+1))),"",INDIRECT(CONCATENATE("Input!",RSE_Setup!$B$16,ROW()+1)))</f>
        <v>5.0000000000000001E-4</v>
      </c>
      <c r="B76" s="1" cm="1">
        <f t="array" aca="1" ref="B76" ca="1">IF(ISBLANK(INDIRECT(CONCATENATE("Input!",RSE_Setup!$B$17,ROW()+1))),"",INDIRECT(CONCATENATE("Input!",RSE_Setup!$B$17,ROW()+1)))</f>
        <v>3.0000000000000001E-3</v>
      </c>
      <c r="C76" s="1" cm="1">
        <f t="array" aca="1" ref="C76" ca="1">IF(ISBLANK(INDIRECT(CONCATENATE("Input!",RSE_Setup!$B$18,ROW()+1))),"",INDIRECT(CONCATENATE("Input!",RSE_Setup!$B$18,ROW()+1)))</f>
        <v>3.2258000000000002E-2</v>
      </c>
      <c r="D76" s="1" cm="1">
        <f t="array" aca="1" ref="D76" ca="1">IF(ISBLANK(INDIRECT(CONCATENATE("Input!",RSE_Setup!$B$19,ROW()+1))),"",INDIRECT(CONCATENATE("Input!",RSE_Setup!$B$19,ROW()+1)))</f>
        <v>10000</v>
      </c>
      <c r="E76" s="1" cm="1">
        <f t="array" aca="1" ref="E76" ca="1">IF(ISBLANK(INDIRECT(CONCATENATE("Input!",RSE_Setup!$B$28,ROW()+1))),"",INDIRECT(CONCATENATE("Input!",RSE_Setup!$B$28,ROW()+1)))</f>
        <v>503.09143299999999</v>
      </c>
      <c r="F76" s="1">
        <f ca="1"/>
        <v>505.94480557397458</v>
      </c>
    </row>
    <row r="77" spans="1:6" x14ac:dyDescent="0.3">
      <c r="A77" s="1" cm="1">
        <f t="array" aca="1" ref="A77" ca="1">IF(ISBLANK(INDIRECT(CONCATENATE("Input!",RSE_Setup!$B$16,ROW()+1))),"",INDIRECT(CONCATENATE("Input!",RSE_Setup!$B$16,ROW()+1)))</f>
        <v>5.0000000000000001E-4</v>
      </c>
      <c r="B77" s="1" cm="1">
        <f t="array" aca="1" ref="B77" ca="1">IF(ISBLANK(INDIRECT(CONCATENATE("Input!",RSE_Setup!$B$17,ROW()+1))),"",INDIRECT(CONCATENATE("Input!",RSE_Setup!$B$17,ROW()+1)))</f>
        <v>4.7499999999999999E-3</v>
      </c>
      <c r="C77" s="1" cm="1">
        <f t="array" aca="1" ref="C77" ca="1">IF(ISBLANK(INDIRECT(CONCATENATE("Input!",RSE_Setup!$B$18,ROW()+1))),"",INDIRECT(CONCATENATE("Input!",RSE_Setup!$B$18,ROW()+1)))</f>
        <v>5.5556000000000001E-2</v>
      </c>
      <c r="D77" s="1" cm="1">
        <f t="array" aca="1" ref="D77" ca="1">IF(ISBLANK(INDIRECT(CONCATENATE("Input!",RSE_Setup!$B$19,ROW()+1))),"",INDIRECT(CONCATENATE("Input!",RSE_Setup!$B$19,ROW()+1)))</f>
        <v>3375</v>
      </c>
      <c r="E77" s="1" cm="1">
        <f t="array" aca="1" ref="E77" ca="1">IF(ISBLANK(INDIRECT(CONCATENATE("Input!",RSE_Setup!$B$28,ROW()+1))),"",INDIRECT(CONCATENATE("Input!",RSE_Setup!$B$28,ROW()+1)))</f>
        <v>246.16730100000001</v>
      </c>
      <c r="F77" s="1">
        <f ca="1"/>
        <v>242.52426527476561</v>
      </c>
    </row>
    <row r="78" spans="1:6" x14ac:dyDescent="0.3">
      <c r="A78" s="1" cm="1">
        <f t="array" aca="1" ref="A78" ca="1">IF(ISBLANK(INDIRECT(CONCATENATE("Input!",RSE_Setup!$B$16,ROW()+1))),"",INDIRECT(CONCATENATE("Input!",RSE_Setup!$B$16,ROW()+1)))</f>
        <v>5.0000000000000001E-4</v>
      </c>
      <c r="B78" s="1" cm="1">
        <f t="array" aca="1" ref="B78" ca="1">IF(ISBLANK(INDIRECT(CONCATENATE("Input!",RSE_Setup!$B$17,ROW()+1))),"",INDIRECT(CONCATENATE("Input!",RSE_Setup!$B$17,ROW()+1)))</f>
        <v>4.7499999999999999E-3</v>
      </c>
      <c r="C78" s="1" cm="1">
        <f t="array" aca="1" ref="C78" ca="1">IF(ISBLANK(INDIRECT(CONCATENATE("Input!",RSE_Setup!$B$18,ROW()+1))),"",INDIRECT(CONCATENATE("Input!",RSE_Setup!$B$18,ROW()+1)))</f>
        <v>5.5556000000000001E-2</v>
      </c>
      <c r="D78" s="1" cm="1">
        <f t="array" aca="1" ref="D78" ca="1">IF(ISBLANK(INDIRECT(CONCATENATE("Input!",RSE_Setup!$B$19,ROW()+1))),"",INDIRECT(CONCATENATE("Input!",RSE_Setup!$B$19,ROW()+1)))</f>
        <v>4500</v>
      </c>
      <c r="E78" s="1" cm="1">
        <f t="array" aca="1" ref="E78" ca="1">IF(ISBLANK(INDIRECT(CONCATENATE("Input!",RSE_Setup!$B$28,ROW()+1))),"",INDIRECT(CONCATENATE("Input!",RSE_Setup!$B$28,ROW()+1)))</f>
        <v>327.57763699999998</v>
      </c>
      <c r="F78" s="1">
        <f ca="1"/>
        <v>324.06596242185731</v>
      </c>
    </row>
    <row r="79" spans="1:6" x14ac:dyDescent="0.3">
      <c r="A79" s="1" cm="1">
        <f t="array" aca="1" ref="A79" ca="1">IF(ISBLANK(INDIRECT(CONCATENATE("Input!",RSE_Setup!$B$16,ROW()+1))),"",INDIRECT(CONCATENATE("Input!",RSE_Setup!$B$16,ROW()+1)))</f>
        <v>5.0000000000000001E-4</v>
      </c>
      <c r="B79" s="1" cm="1">
        <f t="array" aca="1" ref="B79" ca="1">IF(ISBLANK(INDIRECT(CONCATENATE("Input!",RSE_Setup!$B$17,ROW()+1))),"",INDIRECT(CONCATENATE("Input!",RSE_Setup!$B$17,ROW()+1)))</f>
        <v>4.7499999999999999E-3</v>
      </c>
      <c r="C79" s="1" cm="1">
        <f t="array" aca="1" ref="C79" ca="1">IF(ISBLANK(INDIRECT(CONCATENATE("Input!",RSE_Setup!$B$18,ROW()+1))),"",INDIRECT(CONCATENATE("Input!",RSE_Setup!$B$18,ROW()+1)))</f>
        <v>5.5556000000000001E-2</v>
      </c>
      <c r="D79" s="1" cm="1">
        <f t="array" aca="1" ref="D79" ca="1">IF(ISBLANK(INDIRECT(CONCATENATE("Input!",RSE_Setup!$B$19,ROW()+1))),"",INDIRECT(CONCATENATE("Input!",RSE_Setup!$B$19,ROW()+1)))</f>
        <v>6000</v>
      </c>
      <c r="E79" s="1" cm="1">
        <f t="array" aca="1" ref="E79" ca="1">IF(ISBLANK(INDIRECT(CONCATENATE("Input!",RSE_Setup!$B$28,ROW()+1))),"",INDIRECT(CONCATENATE("Input!",RSE_Setup!$B$28,ROW()+1)))</f>
        <v>430.45909999999998</v>
      </c>
      <c r="F79" s="1">
        <f ca="1"/>
        <v>432.11084636369162</v>
      </c>
    </row>
    <row r="80" spans="1:6" x14ac:dyDescent="0.3">
      <c r="A80" s="1" cm="1">
        <f t="array" aca="1" ref="A80" ca="1">IF(ISBLANK(INDIRECT(CONCATENATE("Input!",RSE_Setup!$B$16,ROW()+1))),"",INDIRECT(CONCATENATE("Input!",RSE_Setup!$B$16,ROW()+1)))</f>
        <v>5.0000000000000001E-4</v>
      </c>
      <c r="B80" s="1" cm="1">
        <f t="array" aca="1" ref="B80" ca="1">IF(ISBLANK(INDIRECT(CONCATENATE("Input!",RSE_Setup!$B$17,ROW()+1))),"",INDIRECT(CONCATENATE("Input!",RSE_Setup!$B$17,ROW()+1)))</f>
        <v>4.7499999999999999E-3</v>
      </c>
      <c r="C80" s="1" cm="1">
        <f t="array" aca="1" ref="C80" ca="1">IF(ISBLANK(INDIRECT(CONCATENATE("Input!",RSE_Setup!$B$18,ROW()+1))),"",INDIRECT(CONCATENATE("Input!",RSE_Setup!$B$18,ROW()+1)))</f>
        <v>3.2258000000000002E-2</v>
      </c>
      <c r="D80" s="1" cm="1">
        <f t="array" aca="1" ref="D80" ca="1">IF(ISBLANK(INDIRECT(CONCATENATE("Input!",RSE_Setup!$B$19,ROW()+1))),"",INDIRECT(CONCATENATE("Input!",RSE_Setup!$B$19,ROW()+1)))</f>
        <v>6000</v>
      </c>
      <c r="E80" s="1" cm="1">
        <f t="array" aca="1" ref="E80" ca="1">IF(ISBLANK(INDIRECT(CONCATENATE("Input!",RSE_Setup!$B$28,ROW()+1))),"",INDIRECT(CONCATENATE("Input!",RSE_Setup!$B$28,ROW()+1)))</f>
        <v>432.769903</v>
      </c>
      <c r="F80" s="1">
        <f ca="1"/>
        <v>430.26170254736496</v>
      </c>
    </row>
    <row r="81" spans="1:6" x14ac:dyDescent="0.3">
      <c r="A81" s="1" cm="1">
        <f t="array" aca="1" ref="A81" ca="1">IF(ISBLANK(INDIRECT(CONCATENATE("Input!",RSE_Setup!$B$16,ROW()+1))),"",INDIRECT(CONCATENATE("Input!",RSE_Setup!$B$16,ROW()+1)))</f>
        <v>5.0000000000000001E-4</v>
      </c>
      <c r="B81" s="1" cm="1">
        <f t="array" aca="1" ref="B81" ca="1">IF(ISBLANK(INDIRECT(CONCATENATE("Input!",RSE_Setup!$B$17,ROW()+1))),"",INDIRECT(CONCATENATE("Input!",RSE_Setup!$B$17,ROW()+1)))</f>
        <v>4.7499999999999999E-3</v>
      </c>
      <c r="C81" s="1" cm="1">
        <f t="array" aca="1" ref="C81" ca="1">IF(ISBLANK(INDIRECT(CONCATENATE("Input!",RSE_Setup!$B$18,ROW()+1))),"",INDIRECT(CONCATENATE("Input!",RSE_Setup!$B$18,ROW()+1)))</f>
        <v>3.2258000000000002E-2</v>
      </c>
      <c r="D81" s="1" cm="1">
        <f t="array" aca="1" ref="D81" ca="1">IF(ISBLANK(INDIRECT(CONCATENATE("Input!",RSE_Setup!$B$19,ROW()+1))),"",INDIRECT(CONCATENATE("Input!",RSE_Setup!$B$19,ROW()+1)))</f>
        <v>8000</v>
      </c>
      <c r="E81" s="1" cm="1">
        <f t="array" aca="1" ref="E81" ca="1">IF(ISBLANK(INDIRECT(CONCATENATE("Input!",RSE_Setup!$B$28,ROW()+1))),"",INDIRECT(CONCATENATE("Input!",RSE_Setup!$B$28,ROW()+1)))</f>
        <v>571.34742600000004</v>
      </c>
      <c r="F81" s="1">
        <f ca="1"/>
        <v>574.51377998268379</v>
      </c>
    </row>
    <row r="82" spans="1:6" x14ac:dyDescent="0.3">
      <c r="A82" s="1" cm="1">
        <f t="array" aca="1" ref="A82" ca="1">IF(ISBLANK(INDIRECT(CONCATENATE("Input!",RSE_Setup!$B$16,ROW()+1))),"",INDIRECT(CONCATENATE("Input!",RSE_Setup!$B$16,ROW()+1)))</f>
        <v>5.0000000000000001E-4</v>
      </c>
      <c r="B82" s="1" cm="1">
        <f t="array" aca="1" ref="B82" ca="1">IF(ISBLANK(INDIRECT(CONCATENATE("Input!",RSE_Setup!$B$17,ROW()+1))),"",INDIRECT(CONCATENATE("Input!",RSE_Setup!$B$17,ROW()+1)))</f>
        <v>4.7499999999999999E-3</v>
      </c>
      <c r="C82" s="1" cm="1">
        <f t="array" aca="1" ref="C82" ca="1">IF(ISBLANK(INDIRECT(CONCATENATE("Input!",RSE_Setup!$B$18,ROW()+1))),"",INDIRECT(CONCATENATE("Input!",RSE_Setup!$B$18,ROW()+1)))</f>
        <v>3.2258000000000002E-2</v>
      </c>
      <c r="D82" s="1" cm="1">
        <f t="array" aca="1" ref="D82" ca="1">IF(ISBLANK(INDIRECT(CONCATENATE("Input!",RSE_Setup!$B$19,ROW()+1))),"",INDIRECT(CONCATENATE("Input!",RSE_Setup!$B$19,ROW()+1)))</f>
        <v>10000</v>
      </c>
      <c r="E82" s="1" cm="1">
        <f t="array" aca="1" ref="E82" ca="1">IF(ISBLANK(INDIRECT(CONCATENATE("Input!",RSE_Setup!$B$28,ROW()+1))),"",INDIRECT(CONCATENATE("Input!",RSE_Setup!$B$28,ROW()+1)))</f>
        <v>714.76771299999996</v>
      </c>
      <c r="F82" s="1">
        <f ca="1"/>
        <v>717.38959548336447</v>
      </c>
    </row>
    <row r="83" spans="1:6" x14ac:dyDescent="0.3">
      <c r="A83" s="1" cm="1">
        <f t="array" aca="1" ref="A83" ca="1">IF(ISBLANK(INDIRECT(CONCATENATE("Input!",RSE_Setup!$B$16,ROW()+1))),"",INDIRECT(CONCATENATE("Input!",RSE_Setup!$B$16,ROW()+1)))</f>
        <v>5.0000000000000001E-4</v>
      </c>
      <c r="B83" s="1" cm="1">
        <f t="array" aca="1" ref="B83" ca="1">IF(ISBLANK(INDIRECT(CONCATENATE("Input!",RSE_Setup!$B$17,ROW()+1))),"",INDIRECT(CONCATENATE("Input!",RSE_Setup!$B$17,ROW()+1)))</f>
        <v>6.4999999999999997E-3</v>
      </c>
      <c r="C83" s="1" cm="1">
        <f t="array" aca="1" ref="C83" ca="1">IF(ISBLANK(INDIRECT(CONCATENATE("Input!",RSE_Setup!$B$18,ROW()+1))),"",INDIRECT(CONCATENATE("Input!",RSE_Setup!$B$18,ROW()+1)))</f>
        <v>5.5556000000000001E-2</v>
      </c>
      <c r="D83" s="1" cm="1">
        <f t="array" aca="1" ref="D83" ca="1">IF(ISBLANK(INDIRECT(CONCATENATE("Input!",RSE_Setup!$B$19,ROW()+1))),"",INDIRECT(CONCATENATE("Input!",RSE_Setup!$B$19,ROW()+1)))</f>
        <v>3375</v>
      </c>
      <c r="E83" s="1" cm="1">
        <f t="array" aca="1" ref="E83" ca="1">IF(ISBLANK(INDIRECT(CONCATENATE("Input!",RSE_Setup!$B$28,ROW()+1))),"",INDIRECT(CONCATENATE("Input!",RSE_Setup!$B$28,ROW()+1)))</f>
        <v>317.48121400000002</v>
      </c>
      <c r="F83" s="1">
        <f ca="1"/>
        <v>316.25578326148366</v>
      </c>
    </row>
    <row r="84" spans="1:6" x14ac:dyDescent="0.3">
      <c r="A84" s="1" cm="1">
        <f t="array" aca="1" ref="A84" ca="1">IF(ISBLANK(INDIRECT(CONCATENATE("Input!",RSE_Setup!$B$16,ROW()+1))),"",INDIRECT(CONCATENATE("Input!",RSE_Setup!$B$16,ROW()+1)))</f>
        <v>5.0000000000000001E-4</v>
      </c>
      <c r="B84" s="1" cm="1">
        <f t="array" aca="1" ref="B84" ca="1">IF(ISBLANK(INDIRECT(CONCATENATE("Input!",RSE_Setup!$B$17,ROW()+1))),"",INDIRECT(CONCATENATE("Input!",RSE_Setup!$B$17,ROW()+1)))</f>
        <v>6.4999999999999997E-3</v>
      </c>
      <c r="C84" s="1" cm="1">
        <f t="array" aca="1" ref="C84" ca="1">IF(ISBLANK(INDIRECT(CONCATENATE("Input!",RSE_Setup!$B$18,ROW()+1))),"",INDIRECT(CONCATENATE("Input!",RSE_Setup!$B$18,ROW()+1)))</f>
        <v>5.5556000000000001E-2</v>
      </c>
      <c r="D84" s="1" cm="1">
        <f t="array" aca="1" ref="D84" ca="1">IF(ISBLANK(INDIRECT(CONCATENATE("Input!",RSE_Setup!$B$19,ROW()+1))),"",INDIRECT(CONCATENATE("Input!",RSE_Setup!$B$19,ROW()+1)))</f>
        <v>4500</v>
      </c>
      <c r="E84" s="1" cm="1">
        <f t="array" aca="1" ref="E84" ca="1">IF(ISBLANK(INDIRECT(CONCATENATE("Input!",RSE_Setup!$B$28,ROW()+1))),"",INDIRECT(CONCATENATE("Input!",RSE_Setup!$B$28,ROW()+1)))</f>
        <v>421.49501500000002</v>
      </c>
      <c r="F84" s="1">
        <f ca="1"/>
        <v>422.767937309606</v>
      </c>
    </row>
    <row r="85" spans="1:6" x14ac:dyDescent="0.3">
      <c r="A85" s="1" cm="1">
        <f t="array" aca="1" ref="A85" ca="1">IF(ISBLANK(INDIRECT(CONCATENATE("Input!",RSE_Setup!$B$16,ROW()+1))),"",INDIRECT(CONCATENATE("Input!",RSE_Setup!$B$16,ROW()+1)))</f>
        <v>5.0000000000000001E-4</v>
      </c>
      <c r="B85" s="1" cm="1">
        <f t="array" aca="1" ref="B85" ca="1">IF(ISBLANK(INDIRECT(CONCATENATE("Input!",RSE_Setup!$B$17,ROW()+1))),"",INDIRECT(CONCATENATE("Input!",RSE_Setup!$B$17,ROW()+1)))</f>
        <v>6.4999999999999997E-3</v>
      </c>
      <c r="C85" s="1" cm="1">
        <f t="array" aca="1" ref="C85" ca="1">IF(ISBLANK(INDIRECT(CONCATENATE("Input!",RSE_Setup!$B$18,ROW()+1))),"",INDIRECT(CONCATENATE("Input!",RSE_Setup!$B$18,ROW()+1)))</f>
        <v>5.5556000000000001E-2</v>
      </c>
      <c r="D85" s="1" cm="1">
        <f t="array" aca="1" ref="D85" ca="1">IF(ISBLANK(INDIRECT(CONCATENATE("Input!",RSE_Setup!$B$19,ROW()+1))),"",INDIRECT(CONCATENATE("Input!",RSE_Setup!$B$19,ROW()+1)))</f>
        <v>6000</v>
      </c>
      <c r="E85" s="1" cm="1">
        <f t="array" aca="1" ref="E85" ca="1">IF(ISBLANK(INDIRECT(CONCATENATE("Input!",RSE_Setup!$B$28,ROW()+1))),"",INDIRECT(CONCATENATE("Input!",RSE_Setup!$B$28,ROW()+1)))</f>
        <v>555.94966699999998</v>
      </c>
      <c r="F85" s="1">
        <f ca="1"/>
        <v>564.10676378614778</v>
      </c>
    </row>
    <row r="86" spans="1:6" x14ac:dyDescent="0.3">
      <c r="A86" s="1" cm="1">
        <f t="array" aca="1" ref="A86" ca="1">IF(ISBLANK(INDIRECT(CONCATENATE("Input!",RSE_Setup!$B$16,ROW()+1))),"",INDIRECT(CONCATENATE("Input!",RSE_Setup!$B$16,ROW()+1)))</f>
        <v>5.0000000000000001E-4</v>
      </c>
      <c r="B86" s="1" cm="1">
        <f t="array" aca="1" ref="B86" ca="1">IF(ISBLANK(INDIRECT(CONCATENATE("Input!",RSE_Setup!$B$17,ROW()+1))),"",INDIRECT(CONCATENATE("Input!",RSE_Setup!$B$17,ROW()+1)))</f>
        <v>6.4999999999999997E-3</v>
      </c>
      <c r="C86" s="1" cm="1">
        <f t="array" aca="1" ref="C86" ca="1">IF(ISBLANK(INDIRECT(CONCATENATE("Input!",RSE_Setup!$B$18,ROW()+1))),"",INDIRECT(CONCATENATE("Input!",RSE_Setup!$B$18,ROW()+1)))</f>
        <v>3.2258000000000002E-2</v>
      </c>
      <c r="D86" s="1" cm="1">
        <f t="array" aca="1" ref="D86" ca="1">IF(ISBLANK(INDIRECT(CONCATENATE("Input!",RSE_Setup!$B$19,ROW()+1))),"",INDIRECT(CONCATENATE("Input!",RSE_Setup!$B$19,ROW()+1)))</f>
        <v>6000</v>
      </c>
      <c r="E86" s="1" cm="1">
        <f t="array" aca="1" ref="E86" ca="1">IF(ISBLANK(INDIRECT(CONCATENATE("Input!",RSE_Setup!$B$28,ROW()+1))),"",INDIRECT(CONCATENATE("Input!",RSE_Setup!$B$28,ROW()+1)))</f>
        <v>579.65220899999997</v>
      </c>
      <c r="F86" s="1">
        <f ca="1"/>
        <v>566.81702997093578</v>
      </c>
    </row>
    <row r="87" spans="1:6" x14ac:dyDescent="0.3">
      <c r="A87" s="1" cm="1">
        <f t="array" aca="1" ref="A87" ca="1">IF(ISBLANK(INDIRECT(CONCATENATE("Input!",RSE_Setup!$B$16,ROW()+1))),"",INDIRECT(CONCATENATE("Input!",RSE_Setup!$B$16,ROW()+1)))</f>
        <v>7.5000000000000002E-4</v>
      </c>
      <c r="B87" s="1" cm="1">
        <f t="array" aca="1" ref="B87" ca="1">IF(ISBLANK(INDIRECT(CONCATENATE("Input!",RSE_Setup!$B$17,ROW()+1))),"",INDIRECT(CONCATENATE("Input!",RSE_Setup!$B$17,ROW()+1)))</f>
        <v>4.0000000000000001E-3</v>
      </c>
      <c r="C87" s="1" cm="1">
        <f t="array" aca="1" ref="C87" ca="1">IF(ISBLANK(INDIRECT(CONCATENATE("Input!",RSE_Setup!$B$18,ROW()+1))),"",INDIRECT(CONCATENATE("Input!",RSE_Setup!$B$18,ROW()+1)))</f>
        <v>5.5556000000000001E-2</v>
      </c>
      <c r="D87" s="1" cm="1">
        <f t="array" aca="1" ref="D87" ca="1">IF(ISBLANK(INDIRECT(CONCATENATE("Input!",RSE_Setup!$B$19,ROW()+1))),"",INDIRECT(CONCATENATE("Input!",RSE_Setup!$B$19,ROW()+1)))</f>
        <v>3375</v>
      </c>
      <c r="E87" s="1" cm="1">
        <f t="array" aca="1" ref="E87" ca="1">IF(ISBLANK(INDIRECT(CONCATENATE("Input!",RSE_Setup!$B$28,ROW()+1))),"",INDIRECT(CONCATENATE("Input!",RSE_Setup!$B$28,ROW()+1)))</f>
        <v>212.91619</v>
      </c>
      <c r="F87" s="1">
        <f ca="1"/>
        <v>211.10737385844376</v>
      </c>
    </row>
    <row r="88" spans="1:6" x14ac:dyDescent="0.3">
      <c r="A88" s="1" cm="1">
        <f t="array" aca="1" ref="A88" ca="1">IF(ISBLANK(INDIRECT(CONCATENATE("Input!",RSE_Setup!$B$16,ROW()+1))),"",INDIRECT(CONCATENATE("Input!",RSE_Setup!$B$16,ROW()+1)))</f>
        <v>7.5000000000000002E-4</v>
      </c>
      <c r="B88" s="1" cm="1">
        <f t="array" aca="1" ref="B88" ca="1">IF(ISBLANK(INDIRECT(CONCATENATE("Input!",RSE_Setup!$B$17,ROW()+1))),"",INDIRECT(CONCATENATE("Input!",RSE_Setup!$B$17,ROW()+1)))</f>
        <v>4.0000000000000001E-3</v>
      </c>
      <c r="C88" s="1" cm="1">
        <f t="array" aca="1" ref="C88" ca="1">IF(ISBLANK(INDIRECT(CONCATENATE("Input!",RSE_Setup!$B$18,ROW()+1))),"",INDIRECT(CONCATENATE("Input!",RSE_Setup!$B$18,ROW()+1)))</f>
        <v>5.5556000000000001E-2</v>
      </c>
      <c r="D88" s="1" cm="1">
        <f t="array" aca="1" ref="D88" ca="1">IF(ISBLANK(INDIRECT(CONCATENATE("Input!",RSE_Setup!$B$19,ROW()+1))),"",INDIRECT(CONCATENATE("Input!",RSE_Setup!$B$19,ROW()+1)))</f>
        <v>4500</v>
      </c>
      <c r="E88" s="1" cm="1">
        <f t="array" aca="1" ref="E88" ca="1">IF(ISBLANK(INDIRECT(CONCATENATE("Input!",RSE_Setup!$B$28,ROW()+1))),"",INDIRECT(CONCATENATE("Input!",RSE_Setup!$B$28,ROW()+1)))</f>
        <v>283.72726399999999</v>
      </c>
      <c r="F88" s="1">
        <f ca="1"/>
        <v>279.52094292707278</v>
      </c>
    </row>
    <row r="89" spans="1:6" x14ac:dyDescent="0.3">
      <c r="A89" s="1" cm="1">
        <f t="array" aca="1" ref="A89" ca="1">IF(ISBLANK(INDIRECT(CONCATENATE("Input!",RSE_Setup!$B$16,ROW()+1))),"",INDIRECT(CONCATENATE("Input!",RSE_Setup!$B$16,ROW()+1)))</f>
        <v>7.5000000000000002E-4</v>
      </c>
      <c r="B89" s="1" cm="1">
        <f t="array" aca="1" ref="B89" ca="1">IF(ISBLANK(INDIRECT(CONCATENATE("Input!",RSE_Setup!$B$17,ROW()+1))),"",INDIRECT(CONCATENATE("Input!",RSE_Setup!$B$17,ROW()+1)))</f>
        <v>4.0000000000000001E-3</v>
      </c>
      <c r="C89" s="1" cm="1">
        <f t="array" aca="1" ref="C89" ca="1">IF(ISBLANK(INDIRECT(CONCATENATE("Input!",RSE_Setup!$B$18,ROW()+1))),"",INDIRECT(CONCATENATE("Input!",RSE_Setup!$B$18,ROW()+1)))</f>
        <v>5.5556000000000001E-2</v>
      </c>
      <c r="D89" s="1" cm="1">
        <f t="array" aca="1" ref="D89" ca="1">IF(ISBLANK(INDIRECT(CONCATENATE("Input!",RSE_Setup!$B$19,ROW()+1))),"",INDIRECT(CONCATENATE("Input!",RSE_Setup!$B$19,ROW()+1)))</f>
        <v>6000</v>
      </c>
      <c r="E89" s="1" cm="1">
        <f t="array" aca="1" ref="E89" ca="1">IF(ISBLANK(INDIRECT(CONCATENATE("Input!",RSE_Setup!$B$28,ROW()+1))),"",INDIRECT(CONCATENATE("Input!",RSE_Setup!$B$28,ROW()+1)))</f>
        <v>367.58081700000002</v>
      </c>
      <c r="F89" s="1">
        <f ca="1"/>
        <v>370.06165609762365</v>
      </c>
    </row>
    <row r="90" spans="1:6" x14ac:dyDescent="0.3">
      <c r="A90" s="1" cm="1">
        <f t="array" aca="1" ref="A90" ca="1">IF(ISBLANK(INDIRECT(CONCATENATE("Input!",RSE_Setup!$B$16,ROW()+1))),"",INDIRECT(CONCATENATE("Input!",RSE_Setup!$B$16,ROW()+1)))</f>
        <v>7.5000000000000002E-4</v>
      </c>
      <c r="B90" s="1" cm="1">
        <f t="array" aca="1" ref="B90" ca="1">IF(ISBLANK(INDIRECT(CONCATENATE("Input!",RSE_Setup!$B$17,ROW()+1))),"",INDIRECT(CONCATENATE("Input!",RSE_Setup!$B$17,ROW()+1)))</f>
        <v>4.0000000000000001E-3</v>
      </c>
      <c r="C90" s="1" cm="1">
        <f t="array" aca="1" ref="C90" ca="1">IF(ISBLANK(INDIRECT(CONCATENATE("Input!",RSE_Setup!$B$18,ROW()+1))),"",INDIRECT(CONCATENATE("Input!",RSE_Setup!$B$18,ROW()+1)))</f>
        <v>3.2258000000000002E-2</v>
      </c>
      <c r="D90" s="1" cm="1">
        <f t="array" aca="1" ref="D90" ca="1">IF(ISBLANK(INDIRECT(CONCATENATE("Input!",RSE_Setup!$B$19,ROW()+1))),"",INDIRECT(CONCATENATE("Input!",RSE_Setup!$B$19,ROW()+1)))</f>
        <v>6000</v>
      </c>
      <c r="E90" s="1" cm="1">
        <f t="array" aca="1" ref="E90" ca="1">IF(ISBLANK(INDIRECT(CONCATENATE("Input!",RSE_Setup!$B$28,ROW()+1))),"",INDIRECT(CONCATENATE("Input!",RSE_Setup!$B$28,ROW()+1)))</f>
        <v>368.28005200000001</v>
      </c>
      <c r="F90" s="1">
        <f ca="1"/>
        <v>366.16666537518626</v>
      </c>
    </row>
    <row r="91" spans="1:6" x14ac:dyDescent="0.3">
      <c r="A91" s="1" cm="1">
        <f t="array" aca="1" ref="A91" ca="1">IF(ISBLANK(INDIRECT(CONCATENATE("Input!",RSE_Setup!$B$16,ROW()+1))),"",INDIRECT(CONCATENATE("Input!",RSE_Setup!$B$16,ROW()+1)))</f>
        <v>7.5000000000000002E-4</v>
      </c>
      <c r="B91" s="1" cm="1">
        <f t="array" aca="1" ref="B91" ca="1">IF(ISBLANK(INDIRECT(CONCATENATE("Input!",RSE_Setup!$B$17,ROW()+1))),"",INDIRECT(CONCATENATE("Input!",RSE_Setup!$B$17,ROW()+1)))</f>
        <v>6.0000000000000001E-3</v>
      </c>
      <c r="C91" s="1" cm="1">
        <f t="array" aca="1" ref="C91" ca="1">IF(ISBLANK(INDIRECT(CONCATENATE("Input!",RSE_Setup!$B$18,ROW()+1))),"",INDIRECT(CONCATENATE("Input!",RSE_Setup!$B$18,ROW()+1)))</f>
        <v>5.5556000000000001E-2</v>
      </c>
      <c r="D91" s="1" cm="1">
        <f t="array" aca="1" ref="D91" ca="1">IF(ISBLANK(INDIRECT(CONCATENATE("Input!",RSE_Setup!$B$19,ROW()+1))),"",INDIRECT(CONCATENATE("Input!",RSE_Setup!$B$19,ROW()+1)))</f>
        <v>3375</v>
      </c>
      <c r="E91" s="1" cm="1">
        <f t="array" aca="1" ref="E91" ca="1">IF(ISBLANK(INDIRECT(CONCATENATE("Input!",RSE_Setup!$B$28,ROW()+1))),"",INDIRECT(CONCATENATE("Input!",RSE_Setup!$B$28,ROW()+1)))</f>
        <v>290.08537699999999</v>
      </c>
      <c r="F91" s="1">
        <f ca="1"/>
        <v>288.50823151143408</v>
      </c>
    </row>
    <row r="92" spans="1:6" x14ac:dyDescent="0.3">
      <c r="A92" s="1" cm="1">
        <f t="array" aca="1" ref="A92" ca="1">IF(ISBLANK(INDIRECT(CONCATENATE("Input!",RSE_Setup!$B$16,ROW()+1))),"",INDIRECT(CONCATENATE("Input!",RSE_Setup!$B$16,ROW()+1)))</f>
        <v>7.5000000000000002E-4</v>
      </c>
      <c r="B92" s="1" cm="1">
        <f t="array" aca="1" ref="B92" ca="1">IF(ISBLANK(INDIRECT(CONCATENATE("Input!",RSE_Setup!$B$17,ROW()+1))),"",INDIRECT(CONCATENATE("Input!",RSE_Setup!$B$17,ROW()+1)))</f>
        <v>6.0000000000000001E-3</v>
      </c>
      <c r="C92" s="1" cm="1">
        <f t="array" aca="1" ref="C92" ca="1">IF(ISBLANK(INDIRECT(CONCATENATE("Input!",RSE_Setup!$B$18,ROW()+1))),"",INDIRECT(CONCATENATE("Input!",RSE_Setup!$B$18,ROW()+1)))</f>
        <v>5.5556000000000001E-2</v>
      </c>
      <c r="D92" s="1" cm="1">
        <f t="array" aca="1" ref="D92" ca="1">IF(ISBLANK(INDIRECT(CONCATENATE("Input!",RSE_Setup!$B$19,ROW()+1))),"",INDIRECT(CONCATENATE("Input!",RSE_Setup!$B$19,ROW()+1)))</f>
        <v>4500</v>
      </c>
      <c r="E92" s="1" cm="1">
        <f t="array" aca="1" ref="E92" ca="1">IF(ISBLANK(INDIRECT(CONCATENATE("Input!",RSE_Setup!$B$28,ROW()+1))),"",INDIRECT(CONCATENATE("Input!",RSE_Setup!$B$28,ROW()+1)))</f>
        <v>387.09448099999997</v>
      </c>
      <c r="F92" s="1">
        <f ca="1"/>
        <v>385.45946560981253</v>
      </c>
    </row>
    <row r="93" spans="1:6" x14ac:dyDescent="0.3">
      <c r="A93" s="1" cm="1">
        <f t="array" aca="1" ref="A93" ca="1">IF(ISBLANK(INDIRECT(CONCATENATE("Input!",RSE_Setup!$B$16,ROW()+1))),"",INDIRECT(CONCATENATE("Input!",RSE_Setup!$B$16,ROW()+1)))</f>
        <v>7.5000000000000002E-4</v>
      </c>
      <c r="B93" s="1" cm="1">
        <f t="array" aca="1" ref="B93" ca="1">IF(ISBLANK(INDIRECT(CONCATENATE("Input!",RSE_Setup!$B$17,ROW()+1))),"",INDIRECT(CONCATENATE("Input!",RSE_Setup!$B$17,ROW()+1)))</f>
        <v>6.0000000000000001E-3</v>
      </c>
      <c r="C93" s="1" cm="1">
        <f t="array" aca="1" ref="C93" ca="1">IF(ISBLANK(INDIRECT(CONCATENATE("Input!",RSE_Setup!$B$18,ROW()+1))),"",INDIRECT(CONCATENATE("Input!",RSE_Setup!$B$18,ROW()+1)))</f>
        <v>5.5556000000000001E-2</v>
      </c>
      <c r="D93" s="1" cm="1">
        <f t="array" aca="1" ref="D93" ca="1">IF(ISBLANK(INDIRECT(CONCATENATE("Input!",RSE_Setup!$B$19,ROW()+1))),"",INDIRECT(CONCATENATE("Input!",RSE_Setup!$B$19,ROW()+1)))</f>
        <v>6000</v>
      </c>
      <c r="E93" s="1" cm="1">
        <f t="array" aca="1" ref="E93" ca="1">IF(ISBLANK(INDIRECT(CONCATENATE("Input!",RSE_Setup!$B$28,ROW()+1))),"",INDIRECT(CONCATENATE("Input!",RSE_Setup!$B$28,ROW()+1)))</f>
        <v>509.37572499999999</v>
      </c>
      <c r="F93" s="1">
        <f ca="1"/>
        <v>514.05039882002905</v>
      </c>
    </row>
    <row r="94" spans="1:6" x14ac:dyDescent="0.3">
      <c r="A94" s="1" cm="1">
        <f t="array" aca="1" ref="A94" ca="1">IF(ISBLANK(INDIRECT(CONCATENATE("Input!",RSE_Setup!$B$16,ROW()+1))),"",INDIRECT(CONCATENATE("Input!",RSE_Setup!$B$16,ROW()+1)))</f>
        <v>7.5000000000000002E-4</v>
      </c>
      <c r="B94" s="1" cm="1">
        <f t="array" aca="1" ref="B94" ca="1">IF(ISBLANK(INDIRECT(CONCATENATE("Input!",RSE_Setup!$B$17,ROW()+1))),"",INDIRECT(CONCATENATE("Input!",RSE_Setup!$B$17,ROW()+1)))</f>
        <v>6.0000000000000001E-3</v>
      </c>
      <c r="C94" s="1" cm="1">
        <f t="array" aca="1" ref="C94" ca="1">IF(ISBLANK(INDIRECT(CONCATENATE("Input!",RSE_Setup!$B$18,ROW()+1))),"",INDIRECT(CONCATENATE("Input!",RSE_Setup!$B$18,ROW()+1)))</f>
        <v>3.2258000000000002E-2</v>
      </c>
      <c r="D94" s="1" cm="1">
        <f t="array" aca="1" ref="D94" ca="1">IF(ISBLANK(INDIRECT(CONCATENATE("Input!",RSE_Setup!$B$19,ROW()+1))),"",INDIRECT(CONCATENATE("Input!",RSE_Setup!$B$19,ROW()+1)))</f>
        <v>6000</v>
      </c>
      <c r="E94" s="1" cm="1">
        <f t="array" aca="1" ref="E94" ca="1">IF(ISBLANK(INDIRECT(CONCATENATE("Input!",RSE_Setup!$B$28,ROW()+1))),"",INDIRECT(CONCATENATE("Input!",RSE_Setup!$B$28,ROW()+1)))</f>
        <v>521.35248899999999</v>
      </c>
      <c r="F94" s="1">
        <f ca="1"/>
        <v>515.36616238457975</v>
      </c>
    </row>
    <row r="95" spans="1:6" x14ac:dyDescent="0.3">
      <c r="A95" s="1" cm="1">
        <f t="array" aca="1" ref="A95" ca="1">IF(ISBLANK(INDIRECT(CONCATENATE("Input!",RSE_Setup!$B$16,ROW()+1))),"",INDIRECT(CONCATENATE("Input!",RSE_Setup!$B$16,ROW()+1)))</f>
        <v>7.5000000000000002E-4</v>
      </c>
      <c r="B95" s="1" cm="1">
        <f t="array" aca="1" ref="B95" ca="1">IF(ISBLANK(INDIRECT(CONCATENATE("Input!",RSE_Setup!$B$17,ROW()+1))),"",INDIRECT(CONCATENATE("Input!",RSE_Setup!$B$17,ROW()+1)))</f>
        <v>8.0000000000000002E-3</v>
      </c>
      <c r="C95" s="1" cm="1">
        <f t="array" aca="1" ref="C95" ca="1">IF(ISBLANK(INDIRECT(CONCATENATE("Input!",RSE_Setup!$B$18,ROW()+1))),"",INDIRECT(CONCATENATE("Input!",RSE_Setup!$B$18,ROW()+1)))</f>
        <v>5.5556000000000001E-2</v>
      </c>
      <c r="D95" s="1" cm="1">
        <f t="array" aca="1" ref="D95" ca="1">IF(ISBLANK(INDIRECT(CONCATENATE("Input!",RSE_Setup!$B$19,ROW()+1))),"",INDIRECT(CONCATENATE("Input!",RSE_Setup!$B$19,ROW()+1)))</f>
        <v>4500</v>
      </c>
      <c r="E95" s="1" cm="1">
        <f t="array" aca="1" ref="E95" ca="1">IF(ISBLANK(INDIRECT(CONCATENATE("Input!",RSE_Setup!$B$28,ROW()+1))),"",INDIRECT(CONCATENATE("Input!",RSE_Setup!$B$28,ROW()+1)))</f>
        <v>496.533187</v>
      </c>
      <c r="F95" s="1">
        <f ca="1"/>
        <v>509.54575550679021</v>
      </c>
    </row>
    <row r="96" spans="1:6" x14ac:dyDescent="0.3">
      <c r="A96" s="1" cm="1">
        <f t="array" aca="1" ref="A96" ca="1">IF(ISBLANK(INDIRECT(CONCATENATE("Input!",RSE_Setup!$B$16,ROW()+1))),"",INDIRECT(CONCATENATE("Input!",RSE_Setup!$B$16,ROW()+1)))</f>
        <v>7.5000000000000002E-4</v>
      </c>
      <c r="B96" s="1" cm="1">
        <f t="array" aca="1" ref="B96" ca="1">IF(ISBLANK(INDIRECT(CONCATENATE("Input!",RSE_Setup!$B$17,ROW()+1))),"",INDIRECT(CONCATENATE("Input!",RSE_Setup!$B$17,ROW()+1)))</f>
        <v>8.0000000000000002E-3</v>
      </c>
      <c r="C96" s="1" cm="1">
        <f t="array" aca="1" ref="C96" ca="1">IF(ISBLANK(INDIRECT(CONCATENATE("Input!",RSE_Setup!$B$18,ROW()+1))),"",INDIRECT(CONCATENATE("Input!",RSE_Setup!$B$18,ROW()+1)))</f>
        <v>5.5556000000000001E-2</v>
      </c>
      <c r="D96" s="1" cm="1">
        <f t="array" aca="1" ref="D96" ca="1">IF(ISBLANK(INDIRECT(CONCATENATE("Input!",RSE_Setup!$B$19,ROW()+1))),"",INDIRECT(CONCATENATE("Input!",RSE_Setup!$B$19,ROW()+1)))</f>
        <v>6000</v>
      </c>
      <c r="E96" s="1" cm="1">
        <f t="array" aca="1" ref="E96" ca="1">IF(ISBLANK(INDIRECT(CONCATENATE("Input!",RSE_Setup!$B$28,ROW()+1))),"",INDIRECT(CONCATENATE("Input!",RSE_Setup!$B$28,ROW()+1)))</f>
        <v>661.484283</v>
      </c>
      <c r="F96" s="1">
        <f ca="1"/>
        <v>676.18690875667255</v>
      </c>
    </row>
    <row r="97" spans="1:6" x14ac:dyDescent="0.3">
      <c r="A97" s="1" cm="1">
        <f t="array" aca="1" ref="A97" ca="1">IF(ISBLANK(INDIRECT(CONCATENATE("Input!",RSE_Setup!$B$16,ROW()+1))),"",INDIRECT(CONCATENATE("Input!",RSE_Setup!$B$16,ROW()+1)))</f>
        <v>7.5000000000000002E-4</v>
      </c>
      <c r="B97" s="1" cm="1">
        <f t="array" aca="1" ref="B97" ca="1">IF(ISBLANK(INDIRECT(CONCATENATE("Input!",RSE_Setup!$B$17,ROW()+1))),"",INDIRECT(CONCATENATE("Input!",RSE_Setup!$B$17,ROW()+1)))</f>
        <v>8.0000000000000002E-3</v>
      </c>
      <c r="C97" s="1" cm="1">
        <f t="array" aca="1" ref="C97" ca="1">IF(ISBLANK(INDIRECT(CONCATENATE("Input!",RSE_Setup!$B$18,ROW()+1))),"",INDIRECT(CONCATENATE("Input!",RSE_Setup!$B$18,ROW()+1)))</f>
        <v>3.2258000000000002E-2</v>
      </c>
      <c r="D97" s="1" cm="1">
        <f t="array" aca="1" ref="D97" ca="1">IF(ISBLANK(INDIRECT(CONCATENATE("Input!",RSE_Setup!$B$19,ROW()+1))),"",INDIRECT(CONCATENATE("Input!",RSE_Setup!$B$19,ROW()+1)))</f>
        <v>6000</v>
      </c>
      <c r="E97" s="1" cm="1">
        <f t="array" aca="1" ref="E97" ca="1">IF(ISBLANK(INDIRECT(CONCATENATE("Input!",RSE_Setup!$B$28,ROW()+1))),"",INDIRECT(CONCATENATE("Input!",RSE_Setup!$B$28,ROW()+1)))</f>
        <v>701.64218900000003</v>
      </c>
      <c r="F97" s="1">
        <f ca="1"/>
        <v>682.71342660821119</v>
      </c>
    </row>
    <row r="98" spans="1:6" x14ac:dyDescent="0.3">
      <c r="A98" s="1" cm="1">
        <f t="array" aca="1" ref="A98" ca="1">IF(ISBLANK(INDIRECT(CONCATENATE("Input!",RSE_Setup!$B$16,ROW()+1))),"",INDIRECT(CONCATENATE("Input!",RSE_Setup!$B$16,ROW()+1)))</f>
        <v>1E-3</v>
      </c>
      <c r="B98" s="1" cm="1">
        <f t="array" aca="1" ref="B98" ca="1">IF(ISBLANK(INDIRECT(CONCATENATE("Input!",RSE_Setup!$B$17,ROW()+1))),"",INDIRECT(CONCATENATE("Input!",RSE_Setup!$B$17,ROW()+1)))</f>
        <v>5.0000000000000001E-3</v>
      </c>
      <c r="C98" s="1" cm="1">
        <f t="array" aca="1" ref="C98" ca="1">IF(ISBLANK(INDIRECT(CONCATENATE("Input!",RSE_Setup!$B$18,ROW()+1))),"",INDIRECT(CONCATENATE("Input!",RSE_Setup!$B$18,ROW()+1)))</f>
        <v>5.5556000000000001E-2</v>
      </c>
      <c r="D98" s="1" cm="1">
        <f t="array" aca="1" ref="D98" ca="1">IF(ISBLANK(INDIRECT(CONCATENATE("Input!",RSE_Setup!$B$19,ROW()+1))),"",INDIRECT(CONCATENATE("Input!",RSE_Setup!$B$19,ROW()+1)))</f>
        <v>3375</v>
      </c>
      <c r="E98" s="1" cm="1">
        <f t="array" aca="1" ref="E98" ca="1">IF(ISBLANK(INDIRECT(CONCATENATE("Input!",RSE_Setup!$B$28,ROW()+1))),"",INDIRECT(CONCATENATE("Input!",RSE_Setup!$B$28,ROW()+1)))</f>
        <v>244.47701599999999</v>
      </c>
      <c r="F98" s="1">
        <f ca="1"/>
        <v>242.85399865612487</v>
      </c>
    </row>
    <row r="99" spans="1:6" x14ac:dyDescent="0.3">
      <c r="A99" s="1" cm="1">
        <f t="array" aca="1" ref="A99" ca="1">IF(ISBLANK(INDIRECT(CONCATENATE("Input!",RSE_Setup!$B$16,ROW()+1))),"",INDIRECT(CONCATENATE("Input!",RSE_Setup!$B$16,ROW()+1)))</f>
        <v>1E-3</v>
      </c>
      <c r="B99" s="1" cm="1">
        <f t="array" aca="1" ref="B99" ca="1">IF(ISBLANK(INDIRECT(CONCATENATE("Input!",RSE_Setup!$B$17,ROW()+1))),"",INDIRECT(CONCATENATE("Input!",RSE_Setup!$B$17,ROW()+1)))</f>
        <v>5.0000000000000001E-3</v>
      </c>
      <c r="C99" s="1" cm="1">
        <f t="array" aca="1" ref="C99" ca="1">IF(ISBLANK(INDIRECT(CONCATENATE("Input!",RSE_Setup!$B$18,ROW()+1))),"",INDIRECT(CONCATENATE("Input!",RSE_Setup!$B$18,ROW()+1)))</f>
        <v>5.5556000000000001E-2</v>
      </c>
      <c r="D99" s="1" cm="1">
        <f t="array" aca="1" ref="D99" ca="1">IF(ISBLANK(INDIRECT(CONCATENATE("Input!",RSE_Setup!$B$19,ROW()+1))),"",INDIRECT(CONCATENATE("Input!",RSE_Setup!$B$19,ROW()+1)))</f>
        <v>4500</v>
      </c>
      <c r="E99" s="1" cm="1">
        <f t="array" aca="1" ref="E99" ca="1">IF(ISBLANK(INDIRECT(CONCATENATE("Input!",RSE_Setup!$B$28,ROW()+1))),"",INDIRECT(CONCATENATE("Input!",RSE_Setup!$B$28,ROW()+1)))</f>
        <v>325.50360499999999</v>
      </c>
      <c r="F99" s="1">
        <f ca="1"/>
        <v>323.10989654732191</v>
      </c>
    </row>
    <row r="100" spans="1:6" x14ac:dyDescent="0.3">
      <c r="A100" s="1" cm="1">
        <f t="array" aca="1" ref="A100" ca="1">IF(ISBLANK(INDIRECT(CONCATENATE("Input!",RSE_Setup!$B$16,ROW()+1))),"",INDIRECT(CONCATENATE("Input!",RSE_Setup!$B$16,ROW()+1)))</f>
        <v>1E-3</v>
      </c>
      <c r="B100" s="1" cm="1">
        <f t="array" aca="1" ref="B100" ca="1">IF(ISBLANK(INDIRECT(CONCATENATE("Input!",RSE_Setup!$B$17,ROW()+1))),"",INDIRECT(CONCATENATE("Input!",RSE_Setup!$B$17,ROW()+1)))</f>
        <v>5.0000000000000001E-3</v>
      </c>
      <c r="C100" s="1" cm="1">
        <f t="array" aca="1" ref="C100" ca="1">IF(ISBLANK(INDIRECT(CONCATENATE("Input!",RSE_Setup!$B$18,ROW()+1))),"",INDIRECT(CONCATENATE("Input!",RSE_Setup!$B$18,ROW()+1)))</f>
        <v>5.5556000000000001E-2</v>
      </c>
      <c r="D100" s="1" cm="1">
        <f t="array" aca="1" ref="D100" ca="1">IF(ISBLANK(INDIRECT(CONCATENATE("Input!",RSE_Setup!$B$19,ROW()+1))),"",INDIRECT(CONCATENATE("Input!",RSE_Setup!$B$19,ROW()+1)))</f>
        <v>6000</v>
      </c>
      <c r="E100" s="1" cm="1">
        <f t="array" aca="1" ref="E100" ca="1">IF(ISBLANK(INDIRECT(CONCATENATE("Input!",RSE_Setup!$B$28,ROW()+1))),"",INDIRECT(CONCATENATE("Input!",RSE_Setup!$B$28,ROW()+1)))</f>
        <v>427.31330200000002</v>
      </c>
      <c r="F100" s="1">
        <f ca="1"/>
        <v>429.44038148129664</v>
      </c>
    </row>
    <row r="101" spans="1:6" x14ac:dyDescent="0.3">
      <c r="A101" s="1" cm="1">
        <f t="array" aca="1" ref="A101" ca="1">IF(ISBLANK(INDIRECT(CONCATENATE("Input!",RSE_Setup!$B$16,ROW()+1))),"",INDIRECT(CONCATENATE("Input!",RSE_Setup!$B$16,ROW()+1)))</f>
        <v>1E-3</v>
      </c>
      <c r="B101" s="1" cm="1">
        <f t="array" aca="1" ref="B101" ca="1">IF(ISBLANK(INDIRECT(CONCATENATE("Input!",RSE_Setup!$B$17,ROW()+1))),"",INDIRECT(CONCATENATE("Input!",RSE_Setup!$B$17,ROW()+1)))</f>
        <v>5.0000000000000001E-3</v>
      </c>
      <c r="C101" s="1" cm="1">
        <f t="array" aca="1" ref="C101" ca="1">IF(ISBLANK(INDIRECT(CONCATENATE("Input!",RSE_Setup!$B$18,ROW()+1))),"",INDIRECT(CONCATENATE("Input!",RSE_Setup!$B$18,ROW()+1)))</f>
        <v>3.2258000000000002E-2</v>
      </c>
      <c r="D101" s="1" cm="1">
        <f t="array" aca="1" ref="D101" ca="1">IF(ISBLANK(INDIRECT(CONCATENATE("Input!",RSE_Setup!$B$19,ROW()+1))),"",INDIRECT(CONCATENATE("Input!",RSE_Setup!$B$19,ROW()+1)))</f>
        <v>6000</v>
      </c>
      <c r="E101" s="1" cm="1">
        <f t="array" aca="1" ref="E101" ca="1">IF(ISBLANK(INDIRECT(CONCATENATE("Input!",RSE_Setup!$B$28,ROW()+1))),"",INDIRECT(CONCATENATE("Input!",RSE_Setup!$B$28,ROW()+1)))</f>
        <v>430.50336700000003</v>
      </c>
      <c r="F101" s="1">
        <f ca="1"/>
        <v>428.0589538538631</v>
      </c>
    </row>
    <row r="102" spans="1:6" x14ac:dyDescent="0.3">
      <c r="A102" s="1" cm="1">
        <f t="array" aca="1" ref="A102" ca="1">IF(ISBLANK(INDIRECT(CONCATENATE("Input!",RSE_Setup!$B$16,ROW()+1))),"",INDIRECT(CONCATENATE("Input!",RSE_Setup!$B$16,ROW()+1)))</f>
        <v>1E-3</v>
      </c>
      <c r="B102" s="1" cm="1">
        <f t="array" aca="1" ref="B102" ca="1">IF(ISBLANK(INDIRECT(CONCATENATE("Input!",RSE_Setup!$B$17,ROW()+1))),"",INDIRECT(CONCATENATE("Input!",RSE_Setup!$B$17,ROW()+1)))</f>
        <v>6.4999999999999997E-3</v>
      </c>
      <c r="C102" s="1" cm="1">
        <f t="array" aca="1" ref="C102" ca="1">IF(ISBLANK(INDIRECT(CONCATENATE("Input!",RSE_Setup!$B$18,ROW()+1))),"",INDIRECT(CONCATENATE("Input!",RSE_Setup!$B$18,ROW()+1)))</f>
        <v>5.5556000000000001E-2</v>
      </c>
      <c r="D102" s="1" cm="1">
        <f t="array" aca="1" ref="D102" ca="1">IF(ISBLANK(INDIRECT(CONCATENATE("Input!",RSE_Setup!$B$19,ROW()+1))),"",INDIRECT(CONCATENATE("Input!",RSE_Setup!$B$19,ROW()+1)))</f>
        <v>3375</v>
      </c>
      <c r="E102" s="1" cm="1">
        <f t="array" aca="1" ref="E102" ca="1">IF(ISBLANK(INDIRECT(CONCATENATE("Input!",RSE_Setup!$B$28,ROW()+1))),"",INDIRECT(CONCATENATE("Input!",RSE_Setup!$B$28,ROW()+1)))</f>
        <v>310.59441800000002</v>
      </c>
      <c r="F102" s="1">
        <f ca="1"/>
        <v>305.11428361683642</v>
      </c>
    </row>
    <row r="103" spans="1:6" x14ac:dyDescent="0.3">
      <c r="A103" s="1" cm="1">
        <f t="array" aca="1" ref="A103" ca="1">IF(ISBLANK(INDIRECT(CONCATENATE("Input!",RSE_Setup!$B$16,ROW()+1))),"",INDIRECT(CONCATENATE("Input!",RSE_Setup!$B$16,ROW()+1)))</f>
        <v>1E-3</v>
      </c>
      <c r="B103" s="1" cm="1">
        <f t="array" aca="1" ref="B103" ca="1">IF(ISBLANK(INDIRECT(CONCATENATE("Input!",RSE_Setup!$B$17,ROW()+1))),"",INDIRECT(CONCATENATE("Input!",RSE_Setup!$B$17,ROW()+1)))</f>
        <v>6.4999999999999997E-3</v>
      </c>
      <c r="C103" s="1" cm="1">
        <f t="array" aca="1" ref="C103" ca="1">IF(ISBLANK(INDIRECT(CONCATENATE("Input!",RSE_Setup!$B$18,ROW()+1))),"",INDIRECT(CONCATENATE("Input!",RSE_Setup!$B$18,ROW()+1)))</f>
        <v>5.5556000000000001E-2</v>
      </c>
      <c r="D103" s="1" cm="1">
        <f t="array" aca="1" ref="D103" ca="1">IF(ISBLANK(INDIRECT(CONCATENATE("Input!",RSE_Setup!$B$19,ROW()+1))),"",INDIRECT(CONCATENATE("Input!",RSE_Setup!$B$19,ROW()+1)))</f>
        <v>4500</v>
      </c>
      <c r="E103" s="1" cm="1">
        <f t="array" aca="1" ref="E103" ca="1">IF(ISBLANK(INDIRECT(CONCATENATE("Input!",RSE_Setup!$B$28,ROW()+1))),"",INDIRECT(CONCATENATE("Input!",RSE_Setup!$B$28,ROW()+1)))</f>
        <v>406.47799700000002</v>
      </c>
      <c r="F103" s="1">
        <f ca="1"/>
        <v>406.77343028034539</v>
      </c>
    </row>
    <row r="104" spans="1:6" x14ac:dyDescent="0.3">
      <c r="A104" s="1" cm="1">
        <f t="array" aca="1" ref="A104" ca="1">IF(ISBLANK(INDIRECT(CONCATENATE("Input!",RSE_Setup!$B$16,ROW()+1))),"",INDIRECT(CONCATENATE("Input!",RSE_Setup!$B$16,ROW()+1)))</f>
        <v>1E-3</v>
      </c>
      <c r="B104" s="1" cm="1">
        <f t="array" aca="1" ref="B104" ca="1">IF(ISBLANK(INDIRECT(CONCATENATE("Input!",RSE_Setup!$B$17,ROW()+1))),"",INDIRECT(CONCATENATE("Input!",RSE_Setup!$B$17,ROW()+1)))</f>
        <v>6.4999999999999997E-3</v>
      </c>
      <c r="C104" s="1" cm="1">
        <f t="array" aca="1" ref="C104" ca="1">IF(ISBLANK(INDIRECT(CONCATENATE("Input!",RSE_Setup!$B$18,ROW()+1))),"",INDIRECT(CONCATENATE("Input!",RSE_Setup!$B$18,ROW()+1)))</f>
        <v>5.5556000000000001E-2</v>
      </c>
      <c r="D104" s="1" cm="1">
        <f t="array" aca="1" ref="D104" ca="1">IF(ISBLANK(INDIRECT(CONCATENATE("Input!",RSE_Setup!$B$19,ROW()+1))),"",INDIRECT(CONCATENATE("Input!",RSE_Setup!$B$19,ROW()+1)))</f>
        <v>6000</v>
      </c>
      <c r="E104" s="1" cm="1">
        <f t="array" aca="1" ref="E104" ca="1">IF(ISBLANK(INDIRECT(CONCATENATE("Input!",RSE_Setup!$B$28,ROW()+1))),"",INDIRECT(CONCATENATE("Input!",RSE_Setup!$B$28,ROW()+1)))</f>
        <v>536.32668699999999</v>
      </c>
      <c r="F104" s="1">
        <f ca="1"/>
        <v>541.64158024406947</v>
      </c>
    </row>
    <row r="105" spans="1:6" x14ac:dyDescent="0.3">
      <c r="A105" s="1" cm="1">
        <f t="array" aca="1" ref="A105" ca="1">IF(ISBLANK(INDIRECT(CONCATENATE("Input!",RSE_Setup!$B$16,ROW()+1))),"",INDIRECT(CONCATENATE("Input!",RSE_Setup!$B$16,ROW()+1)))</f>
        <v>1E-3</v>
      </c>
      <c r="B105" s="1" cm="1">
        <f t="array" aca="1" ref="B105" ca="1">IF(ISBLANK(INDIRECT(CONCATENATE("Input!",RSE_Setup!$B$17,ROW()+1))),"",INDIRECT(CONCATENATE("Input!",RSE_Setup!$B$17,ROW()+1)))</f>
        <v>6.4999999999999997E-3</v>
      </c>
      <c r="C105" s="1" cm="1">
        <f t="array" aca="1" ref="C105" ca="1">IF(ISBLANK(INDIRECT(CONCATENATE("Input!",RSE_Setup!$B$18,ROW()+1))),"",INDIRECT(CONCATENATE("Input!",RSE_Setup!$B$18,ROW()+1)))</f>
        <v>3.2258000000000002E-2</v>
      </c>
      <c r="D105" s="1" cm="1">
        <f t="array" aca="1" ref="D105" ca="1">IF(ISBLANK(INDIRECT(CONCATENATE("Input!",RSE_Setup!$B$19,ROW()+1))),"",INDIRECT(CONCATENATE("Input!",RSE_Setup!$B$19,ROW()+1)))</f>
        <v>6000</v>
      </c>
      <c r="E105" s="1" cm="1">
        <f t="array" aca="1" ref="E105" ca="1">IF(ISBLANK(INDIRECT(CONCATENATE("Input!",RSE_Setup!$B$28,ROW()+1))),"",INDIRECT(CONCATENATE("Input!",RSE_Setup!$B$28,ROW()+1)))</f>
        <v>553.67306399999995</v>
      </c>
      <c r="F105" s="1">
        <f ca="1"/>
        <v>544.16821833187703</v>
      </c>
    </row>
    <row r="106" spans="1:6" x14ac:dyDescent="0.3">
      <c r="A106" s="1" cm="1">
        <f t="array" aca="1" ref="A106" ca="1">IF(ISBLANK(INDIRECT(CONCATENATE("Input!",RSE_Setup!$B$16,ROW()+1))),"",INDIRECT(CONCATENATE("Input!",RSE_Setup!$B$16,ROW()+1)))</f>
        <v>1E-3</v>
      </c>
      <c r="B106" s="1" cm="1">
        <f t="array" aca="1" ref="B106" ca="1">IF(ISBLANK(INDIRECT(CONCATENATE("Input!",RSE_Setup!$B$17,ROW()+1))),"",INDIRECT(CONCATENATE("Input!",RSE_Setup!$B$17,ROW()+1)))</f>
        <v>8.0000000000000002E-3</v>
      </c>
      <c r="C106" s="1" cm="1">
        <f t="array" aca="1" ref="C106" ca="1">IF(ISBLANK(INDIRECT(CONCATENATE("Input!",RSE_Setup!$B$18,ROW()+1))),"",INDIRECT(CONCATENATE("Input!",RSE_Setup!$B$18,ROW()+1)))</f>
        <v>5.5556000000000001E-2</v>
      </c>
      <c r="D106" s="1" cm="1">
        <f t="array" aca="1" ref="D106" ca="1">IF(ISBLANK(INDIRECT(CONCATENATE("Input!",RSE_Setup!$B$19,ROW()+1))),"",INDIRECT(CONCATENATE("Input!",RSE_Setup!$B$19,ROW()+1)))</f>
        <v>4500</v>
      </c>
      <c r="E106" s="1" cm="1">
        <f t="array" aca="1" ref="E106" ca="1">IF(ISBLANK(INDIRECT(CONCATENATE("Input!",RSE_Setup!$B$28,ROW()+1))),"",INDIRECT(CONCATENATE("Input!",RSE_Setup!$B$28,ROW()+1)))</f>
        <v>489.32727699999998</v>
      </c>
      <c r="F106" s="1">
        <f ca="1"/>
        <v>500.64508307137777</v>
      </c>
    </row>
    <row r="107" spans="1:6" x14ac:dyDescent="0.3">
      <c r="A107" s="1" cm="1">
        <f t="array" aca="1" ref="A107" ca="1">IF(ISBLANK(INDIRECT(CONCATENATE("Input!",RSE_Setup!$B$16,ROW()+1))),"",INDIRECT(CONCATENATE("Input!",RSE_Setup!$B$16,ROW()+1)))</f>
        <v>1E-3</v>
      </c>
      <c r="B107" s="1" cm="1">
        <f t="array" aca="1" ref="B107" ca="1">IF(ISBLANK(INDIRECT(CONCATENATE("Input!",RSE_Setup!$B$17,ROW()+1))),"",INDIRECT(CONCATENATE("Input!",RSE_Setup!$B$17,ROW()+1)))</f>
        <v>8.0000000000000002E-3</v>
      </c>
      <c r="C107" s="1" cm="1">
        <f t="array" aca="1" ref="C107" ca="1">IF(ISBLANK(INDIRECT(CONCATENATE("Input!",RSE_Setup!$B$18,ROW()+1))),"",INDIRECT(CONCATENATE("Input!",RSE_Setup!$B$18,ROW()+1)))</f>
        <v>5.5556000000000001E-2</v>
      </c>
      <c r="D107" s="1" cm="1">
        <f t="array" aca="1" ref="D107" ca="1">IF(ISBLANK(INDIRECT(CONCATENATE("Input!",RSE_Setup!$B$19,ROW()+1))),"",INDIRECT(CONCATENATE("Input!",RSE_Setup!$B$19,ROW()+1)))</f>
        <v>6000</v>
      </c>
      <c r="E107" s="1" cm="1">
        <f t="array" aca="1" ref="E107" ca="1">IF(ISBLANK(INDIRECT(CONCATENATE("Input!",RSE_Setup!$B$28,ROW()+1))),"",INDIRECT(CONCATENATE("Input!",RSE_Setup!$B$28,ROW()+1)))</f>
        <v>650.91174899999999</v>
      </c>
      <c r="F107" s="1">
        <f ca="1"/>
        <v>664.05089806485125</v>
      </c>
    </row>
    <row r="108" spans="1:6" x14ac:dyDescent="0.3">
      <c r="A108" s="1" cm="1">
        <f t="array" aca="1" ref="A108" ca="1">IF(ISBLANK(INDIRECT(CONCATENATE("Input!",RSE_Setup!$B$16,ROW()+1))),"",INDIRECT(CONCATENATE("Input!",RSE_Setup!$B$16,ROW()+1)))</f>
        <v>1E-3</v>
      </c>
      <c r="B108" s="1" cm="1">
        <f t="array" aca="1" ref="B108" ca="1">IF(ISBLANK(INDIRECT(CONCATENATE("Input!",RSE_Setup!$B$17,ROW()+1))),"",INDIRECT(CONCATENATE("Input!",RSE_Setup!$B$17,ROW()+1)))</f>
        <v>8.0000000000000002E-3</v>
      </c>
      <c r="C108" s="1" cm="1">
        <f t="array" aca="1" ref="C108" ca="1">IF(ISBLANK(INDIRECT(CONCATENATE("Input!",RSE_Setup!$B$18,ROW()+1))),"",INDIRECT(CONCATENATE("Input!",RSE_Setup!$B$18,ROW()+1)))</f>
        <v>3.2258000000000002E-2</v>
      </c>
      <c r="D108" s="1" cm="1">
        <f t="array" aca="1" ref="D108" ca="1">IF(ISBLANK(INDIRECT(CONCATENATE("Input!",RSE_Setup!$B$19,ROW()+1))),"",INDIRECT(CONCATENATE("Input!",RSE_Setup!$B$19,ROW()+1)))</f>
        <v>6000</v>
      </c>
      <c r="E108" s="1" cm="1">
        <f t="array" aca="1" ref="E108" ca="1">IF(ISBLANK(INDIRECT(CONCATENATE("Input!",RSE_Setup!$B$28,ROW()+1))),"",INDIRECT(CONCATENATE("Input!",RSE_Setup!$B$28,ROW()+1)))</f>
        <v>687.65980200000001</v>
      </c>
      <c r="F108" s="1">
        <f ca="1"/>
        <v>670.48560186789985</v>
      </c>
    </row>
    <row r="109" spans="1:6" x14ac:dyDescent="0.3">
      <c r="A109" s="1" cm="1">
        <f t="array" aca="1" ref="A109" ca="1">IF(ISBLANK(INDIRECT(CONCATENATE("Input!",RSE_Setup!$B$16,ROW()+1))),"",INDIRECT(CONCATENATE("Input!",RSE_Setup!$B$16,ROW()+1)))</f>
        <v>2.9999999999999997E-4</v>
      </c>
      <c r="B109" s="1" cm="1">
        <f t="array" aca="1" ref="B109" ca="1">IF(ISBLANK(INDIRECT(CONCATENATE("Input!",RSE_Setup!$B$17,ROW()+1))),"",INDIRECT(CONCATENATE("Input!",RSE_Setup!$B$17,ROW()+1)))</f>
        <v>2E-3</v>
      </c>
      <c r="C109" s="1" cm="1">
        <f t="array" aca="1" ref="C109" ca="1">IF(ISBLANK(INDIRECT(CONCATENATE("Input!",RSE_Setup!$B$18,ROW()+1))),"",INDIRECT(CONCATENATE("Input!",RSE_Setup!$B$18,ROW()+1)))</f>
        <v>5.5556000000000001E-2</v>
      </c>
      <c r="D109" s="1" cm="1">
        <f t="array" aca="1" ref="D109" ca="1">IF(ISBLANK(INDIRECT(CONCATENATE("Input!",RSE_Setup!$B$19,ROW()+1))),"",INDIRECT(CONCATENATE("Input!",RSE_Setup!$B$19,ROW()+1)))</f>
        <v>5500</v>
      </c>
      <c r="E109" s="1" cm="1">
        <f t="array" aca="1" ref="E109" ca="1">IF(ISBLANK(INDIRECT(CONCATENATE("Input!",RSE_Setup!$B$28,ROW()+1))),"",INDIRECT(CONCATENATE("Input!",RSE_Setup!$B$28,ROW()+1)))</f>
        <v>244.59487200000001</v>
      </c>
      <c r="F109" s="1">
        <f ca="1"/>
        <v>240.22830838207696</v>
      </c>
    </row>
    <row r="110" spans="1:6" x14ac:dyDescent="0.3">
      <c r="A110" s="1" cm="1">
        <f t="array" aca="1" ref="A110" ca="1">IF(ISBLANK(INDIRECT(CONCATENATE("Input!",RSE_Setup!$B$16,ROW()+1))),"",INDIRECT(CONCATENATE("Input!",RSE_Setup!$B$16,ROW()+1)))</f>
        <v>2.9999999999999997E-4</v>
      </c>
      <c r="B110" s="1" cm="1">
        <f t="array" aca="1" ref="B110" ca="1">IF(ISBLANK(INDIRECT(CONCATENATE("Input!",RSE_Setup!$B$17,ROW()+1))),"",INDIRECT(CONCATENATE("Input!",RSE_Setup!$B$17,ROW()+1)))</f>
        <v>2E-3</v>
      </c>
      <c r="C110" s="1" cm="1">
        <f t="array" aca="1" ref="C110" ca="1">IF(ISBLANK(INDIRECT(CONCATENATE("Input!",RSE_Setup!$B$18,ROW()+1))),"",INDIRECT(CONCATENATE("Input!",RSE_Setup!$B$18,ROW()+1)))</f>
        <v>5.5556000000000001E-2</v>
      </c>
      <c r="D110" s="1" cm="1">
        <f t="array" aca="1" ref="D110" ca="1">IF(ISBLANK(INDIRECT(CONCATENATE("Input!",RSE_Setup!$B$19,ROW()+1))),"",INDIRECT(CONCATENATE("Input!",RSE_Setup!$B$19,ROW()+1)))</f>
        <v>7500</v>
      </c>
      <c r="E110" s="1" cm="1">
        <f t="array" aca="1" ref="E110" ca="1">IF(ISBLANK(INDIRECT(CONCATENATE("Input!",RSE_Setup!$B$28,ROW()+1))),"",INDIRECT(CONCATENATE("Input!",RSE_Setup!$B$28,ROW()+1)))</f>
        <v>322.32281</v>
      </c>
      <c r="F110" s="1">
        <f ca="1"/>
        <v>317.12028066282289</v>
      </c>
    </row>
    <row r="111" spans="1:6" x14ac:dyDescent="0.3">
      <c r="A111" s="1" cm="1">
        <f t="array" aca="1" ref="A111" ca="1">IF(ISBLANK(INDIRECT(CONCATENATE("Input!",RSE_Setup!$B$16,ROW()+1))),"",INDIRECT(CONCATENATE("Input!",RSE_Setup!$B$16,ROW()+1)))</f>
        <v>2.9999999999999997E-4</v>
      </c>
      <c r="B111" s="1" cm="1">
        <f t="array" aca="1" ref="B111" ca="1">IF(ISBLANK(INDIRECT(CONCATENATE("Input!",RSE_Setup!$B$17,ROW()+1))),"",INDIRECT(CONCATENATE("Input!",RSE_Setup!$B$17,ROW()+1)))</f>
        <v>2E-3</v>
      </c>
      <c r="C111" s="1" cm="1">
        <f t="array" aca="1" ref="C111" ca="1">IF(ISBLANK(INDIRECT(CONCATENATE("Input!",RSE_Setup!$B$18,ROW()+1))),"",INDIRECT(CONCATENATE("Input!",RSE_Setup!$B$18,ROW()+1)))</f>
        <v>5.5556000000000001E-2</v>
      </c>
      <c r="D111" s="1" cm="1">
        <f t="array" aca="1" ref="D111" ca="1">IF(ISBLANK(INDIRECT(CONCATENATE("Input!",RSE_Setup!$B$19,ROW()+1))),"",INDIRECT(CONCATENATE("Input!",RSE_Setup!$B$19,ROW()+1)))</f>
        <v>9500</v>
      </c>
      <c r="E111" s="1" cm="1">
        <f t="array" aca="1" ref="E111" ca="1">IF(ISBLANK(INDIRECT(CONCATENATE("Input!",RSE_Setup!$B$28,ROW()+1))),"",INDIRECT(CONCATENATE("Input!",RSE_Setup!$B$28,ROW()+1)))</f>
        <v>398.12718100000001</v>
      </c>
      <c r="F111" s="1">
        <f ca="1"/>
        <v>392.6359910089306</v>
      </c>
    </row>
    <row r="112" spans="1:6" x14ac:dyDescent="0.3">
      <c r="A112" s="1" cm="1">
        <f t="array" aca="1" ref="A112" ca="1">IF(ISBLANK(INDIRECT(CONCATENATE("Input!",RSE_Setup!$B$16,ROW()+1))),"",INDIRECT(CONCATENATE("Input!",RSE_Setup!$B$16,ROW()+1)))</f>
        <v>2.9999999999999997E-4</v>
      </c>
      <c r="B112" s="1" cm="1">
        <f t="array" aca="1" ref="B112" ca="1">IF(ISBLANK(INDIRECT(CONCATENATE("Input!",RSE_Setup!$B$17,ROW()+1))),"",INDIRECT(CONCATENATE("Input!",RSE_Setup!$B$17,ROW()+1)))</f>
        <v>2E-3</v>
      </c>
      <c r="C112" s="1" cm="1">
        <f t="array" aca="1" ref="C112" ca="1">IF(ISBLANK(INDIRECT(CONCATENATE("Input!",RSE_Setup!$B$18,ROW()+1))),"",INDIRECT(CONCATENATE("Input!",RSE_Setup!$B$18,ROW()+1)))</f>
        <v>3.2258000000000002E-2</v>
      </c>
      <c r="D112" s="1" cm="1">
        <f t="array" aca="1" ref="D112" ca="1">IF(ISBLANK(INDIRECT(CONCATENATE("Input!",RSE_Setup!$B$19,ROW()+1))),"",INDIRECT(CONCATENATE("Input!",RSE_Setup!$B$19,ROW()+1)))</f>
        <v>9500</v>
      </c>
      <c r="E112" s="1" cm="1">
        <f t="array" aca="1" ref="E112" ca="1">IF(ISBLANK(INDIRECT(CONCATENATE("Input!",RSE_Setup!$B$28,ROW()+1))),"",INDIRECT(CONCATENATE("Input!",RSE_Setup!$B$28,ROW()+1)))</f>
        <v>392.44100700000001</v>
      </c>
      <c r="F112" s="1">
        <f ca="1"/>
        <v>386.13931868839654</v>
      </c>
    </row>
    <row r="113" spans="1:6" x14ac:dyDescent="0.3">
      <c r="A113" s="1" cm="1">
        <f t="array" aca="1" ref="A113" ca="1">IF(ISBLANK(INDIRECT(CONCATENATE("Input!",RSE_Setup!$B$16,ROW()+1))),"",INDIRECT(CONCATENATE("Input!",RSE_Setup!$B$16,ROW()+1)))</f>
        <v>2.9999999999999997E-4</v>
      </c>
      <c r="B113" s="1" cm="1">
        <f t="array" aca="1" ref="B113" ca="1">IF(ISBLANK(INDIRECT(CONCATENATE("Input!",RSE_Setup!$B$17,ROW()+1))),"",INDIRECT(CONCATENATE("Input!",RSE_Setup!$B$17,ROW()+1)))</f>
        <v>3.0000000000000001E-3</v>
      </c>
      <c r="C113" s="1" cm="1">
        <f t="array" aca="1" ref="C113" ca="1">IF(ISBLANK(INDIRECT(CONCATENATE("Input!",RSE_Setup!$B$18,ROW()+1))),"",INDIRECT(CONCATENATE("Input!",RSE_Setup!$B$18,ROW()+1)))</f>
        <v>5.5556000000000001E-2</v>
      </c>
      <c r="D113" s="1" cm="1">
        <f t="array" aca="1" ref="D113" ca="1">IF(ISBLANK(INDIRECT(CONCATENATE("Input!",RSE_Setup!$B$19,ROW()+1))),"",INDIRECT(CONCATENATE("Input!",RSE_Setup!$B$19,ROW()+1)))</f>
        <v>5500</v>
      </c>
      <c r="E113" s="1" cm="1">
        <f t="array" aca="1" ref="E113" ca="1">IF(ISBLANK(INDIRECT(CONCATENATE("Input!",RSE_Setup!$B$28,ROW()+1))),"",INDIRECT(CONCATENATE("Input!",RSE_Setup!$B$28,ROW()+1)))</f>
        <v>302.16503599999999</v>
      </c>
      <c r="F113" s="1">
        <f ca="1"/>
        <v>295.61192326407945</v>
      </c>
    </row>
    <row r="114" spans="1:6" x14ac:dyDescent="0.3">
      <c r="A114" s="1" cm="1">
        <f t="array" aca="1" ref="A114" ca="1">IF(ISBLANK(INDIRECT(CONCATENATE("Input!",RSE_Setup!$B$16,ROW()+1))),"",INDIRECT(CONCATENATE("Input!",RSE_Setup!$B$16,ROW()+1)))</f>
        <v>2.9999999999999997E-4</v>
      </c>
      <c r="B114" s="1" cm="1">
        <f t="array" aca="1" ref="B114" ca="1">IF(ISBLANK(INDIRECT(CONCATENATE("Input!",RSE_Setup!$B$17,ROW()+1))),"",INDIRECT(CONCATENATE("Input!",RSE_Setup!$B$17,ROW()+1)))</f>
        <v>3.0000000000000001E-3</v>
      </c>
      <c r="C114" s="1" cm="1">
        <f t="array" aca="1" ref="C114" ca="1">IF(ISBLANK(INDIRECT(CONCATENATE("Input!",RSE_Setup!$B$18,ROW()+1))),"",INDIRECT(CONCATENATE("Input!",RSE_Setup!$B$18,ROW()+1)))</f>
        <v>5.5556000000000001E-2</v>
      </c>
      <c r="D114" s="1" cm="1">
        <f t="array" aca="1" ref="D114" ca="1">IF(ISBLANK(INDIRECT(CONCATENATE("Input!",RSE_Setup!$B$19,ROW()+1))),"",INDIRECT(CONCATENATE("Input!",RSE_Setup!$B$19,ROW()+1)))</f>
        <v>7500</v>
      </c>
      <c r="E114" s="1" cm="1">
        <f t="array" aca="1" ref="E114" ca="1">IF(ISBLANK(INDIRECT(CONCATENATE("Input!",RSE_Setup!$B$28,ROW()+1))),"",INDIRECT(CONCATENATE("Input!",RSE_Setup!$B$28,ROW()+1)))</f>
        <v>399.01952599999998</v>
      </c>
      <c r="F114" s="1">
        <f ca="1"/>
        <v>397.87070890460251</v>
      </c>
    </row>
    <row r="115" spans="1:6" x14ac:dyDescent="0.3">
      <c r="A115" s="1" cm="1">
        <f t="array" aca="1" ref="A115" ca="1">IF(ISBLANK(INDIRECT(CONCATENATE("Input!",RSE_Setup!$B$16,ROW()+1))),"",INDIRECT(CONCATENATE("Input!",RSE_Setup!$B$16,ROW()+1)))</f>
        <v>2.9999999999999997E-4</v>
      </c>
      <c r="B115" s="1" cm="1">
        <f t="array" aca="1" ref="B115" ca="1">IF(ISBLANK(INDIRECT(CONCATENATE("Input!",RSE_Setup!$B$17,ROW()+1))),"",INDIRECT(CONCATENATE("Input!",RSE_Setup!$B$17,ROW()+1)))</f>
        <v>3.0000000000000001E-3</v>
      </c>
      <c r="C115" s="1" cm="1">
        <f t="array" aca="1" ref="C115" ca="1">IF(ISBLANK(INDIRECT(CONCATENATE("Input!",RSE_Setup!$B$18,ROW()+1))),"",INDIRECT(CONCATENATE("Input!",RSE_Setup!$B$18,ROW()+1)))</f>
        <v>5.5556000000000001E-2</v>
      </c>
      <c r="D115" s="1" cm="1">
        <f t="array" aca="1" ref="D115" ca="1">IF(ISBLANK(INDIRECT(CONCATENATE("Input!",RSE_Setup!$B$19,ROW()+1))),"",INDIRECT(CONCATENATE("Input!",RSE_Setup!$B$19,ROW()+1)))</f>
        <v>9500</v>
      </c>
      <c r="E115" s="1" cm="1">
        <f t="array" aca="1" ref="E115" ca="1">IF(ISBLANK(INDIRECT(CONCATENATE("Input!",RSE_Setup!$B$28,ROW()+1))),"",INDIRECT(CONCATENATE("Input!",RSE_Setup!$B$28,ROW()+1)))</f>
        <v>501.752475</v>
      </c>
      <c r="F115" s="1">
        <f ca="1"/>
        <v>498.7532326104876</v>
      </c>
    </row>
    <row r="116" spans="1:6" x14ac:dyDescent="0.3">
      <c r="A116" s="1" cm="1">
        <f t="array" aca="1" ref="A116" ca="1">IF(ISBLANK(INDIRECT(CONCATENATE("Input!",RSE_Setup!$B$16,ROW()+1))),"",INDIRECT(CONCATENATE("Input!",RSE_Setup!$B$16,ROW()+1)))</f>
        <v>2.9999999999999997E-4</v>
      </c>
      <c r="B116" s="1" cm="1">
        <f t="array" aca="1" ref="B116" ca="1">IF(ISBLANK(INDIRECT(CONCATENATE("Input!",RSE_Setup!$B$17,ROW()+1))),"",INDIRECT(CONCATENATE("Input!",RSE_Setup!$B$17,ROW()+1)))</f>
        <v>3.0000000000000001E-3</v>
      </c>
      <c r="C116" s="1" cm="1">
        <f t="array" aca="1" ref="C116" ca="1">IF(ISBLANK(INDIRECT(CONCATENATE("Input!",RSE_Setup!$B$18,ROW()+1))),"",INDIRECT(CONCATENATE("Input!",RSE_Setup!$B$18,ROW()+1)))</f>
        <v>3.2258000000000002E-2</v>
      </c>
      <c r="D116" s="1" cm="1">
        <f t="array" aca="1" ref="D116" ca="1">IF(ISBLANK(INDIRECT(CONCATENATE("Input!",RSE_Setup!$B$19,ROW()+1))),"",INDIRECT(CONCATENATE("Input!",RSE_Setup!$B$19,ROW()+1)))</f>
        <v>9500</v>
      </c>
      <c r="E116" s="1" cm="1">
        <f t="array" aca="1" ref="E116" ca="1">IF(ISBLANK(INDIRECT(CONCATENATE("Input!",RSE_Setup!$B$28,ROW()+1))),"",INDIRECT(CONCATENATE("Input!",RSE_Setup!$B$28,ROW()+1)))</f>
        <v>496.27469400000001</v>
      </c>
      <c r="F116" s="1">
        <f ca="1"/>
        <v>494.86193743344751</v>
      </c>
    </row>
    <row r="117" spans="1:6" x14ac:dyDescent="0.3">
      <c r="A117" s="1" cm="1">
        <f t="array" aca="1" ref="A117" ca="1">IF(ISBLANK(INDIRECT(CONCATENATE("Input!",RSE_Setup!$B$16,ROW()+1))),"",INDIRECT(CONCATENATE("Input!",RSE_Setup!$B$16,ROW()+1)))</f>
        <v>2.9999999999999997E-4</v>
      </c>
      <c r="B117" s="1" cm="1">
        <f t="array" aca="1" ref="B117" ca="1">IF(ISBLANK(INDIRECT(CONCATENATE("Input!",RSE_Setup!$B$17,ROW()+1))),"",INDIRECT(CONCATENATE("Input!",RSE_Setup!$B$17,ROW()+1)))</f>
        <v>4.0000000000000001E-3</v>
      </c>
      <c r="C117" s="1" cm="1">
        <f t="array" aca="1" ref="C117" ca="1">IF(ISBLANK(INDIRECT(CONCATENATE("Input!",RSE_Setup!$B$18,ROW()+1))),"",INDIRECT(CONCATENATE("Input!",RSE_Setup!$B$18,ROW()+1)))</f>
        <v>5.5556000000000001E-2</v>
      </c>
      <c r="D117" s="1" cm="1">
        <f t="array" aca="1" ref="D117" ca="1">IF(ISBLANK(INDIRECT(CONCATENATE("Input!",RSE_Setup!$B$19,ROW()+1))),"",INDIRECT(CONCATENATE("Input!",RSE_Setup!$B$19,ROW()+1)))</f>
        <v>5500</v>
      </c>
      <c r="E117" s="1" cm="1">
        <f t="array" aca="1" ref="E117" ca="1">IF(ISBLANK(INDIRECT(CONCATENATE("Input!",RSE_Setup!$B$28,ROW()+1))),"",INDIRECT(CONCATENATE("Input!",RSE_Setup!$B$28,ROW()+1)))</f>
        <v>361.69996099999997</v>
      </c>
      <c r="F117" s="1">
        <f ca="1"/>
        <v>355.53247994964147</v>
      </c>
    </row>
    <row r="118" spans="1:6" x14ac:dyDescent="0.3">
      <c r="A118" s="1" cm="1">
        <f t="array" aca="1" ref="A118" ca="1">IF(ISBLANK(INDIRECT(CONCATENATE("Input!",RSE_Setup!$B$16,ROW()+1))),"",INDIRECT(CONCATENATE("Input!",RSE_Setup!$B$16,ROW()+1)))</f>
        <v>2.9999999999999997E-4</v>
      </c>
      <c r="B118" s="1" cm="1">
        <f t="array" aca="1" ref="B118" ca="1">IF(ISBLANK(INDIRECT(CONCATENATE("Input!",RSE_Setup!$B$17,ROW()+1))),"",INDIRECT(CONCATENATE("Input!",RSE_Setup!$B$17,ROW()+1)))</f>
        <v>4.0000000000000001E-3</v>
      </c>
      <c r="C118" s="1" cm="1">
        <f t="array" aca="1" ref="C118" ca="1">IF(ISBLANK(INDIRECT(CONCATENATE("Input!",RSE_Setup!$B$18,ROW()+1))),"",INDIRECT(CONCATENATE("Input!",RSE_Setup!$B$18,ROW()+1)))</f>
        <v>5.5556000000000001E-2</v>
      </c>
      <c r="D118" s="1" cm="1">
        <f t="array" aca="1" ref="D118" ca="1">IF(ISBLANK(INDIRECT(CONCATENATE("Input!",RSE_Setup!$B$19,ROW()+1))),"",INDIRECT(CONCATENATE("Input!",RSE_Setup!$B$19,ROW()+1)))</f>
        <v>7500</v>
      </c>
      <c r="E118" s="1" cm="1">
        <f t="array" aca="1" ref="E118" ca="1">IF(ISBLANK(INDIRECT(CONCATENATE("Input!",RSE_Setup!$B$28,ROW()+1))),"",INDIRECT(CONCATENATE("Input!",RSE_Setup!$B$28,ROW()+1)))</f>
        <v>484.63953299999997</v>
      </c>
      <c r="F118" s="1">
        <f ca="1"/>
        <v>483.15807894994174</v>
      </c>
    </row>
    <row r="119" spans="1:6" x14ac:dyDescent="0.3">
      <c r="A119" s="1" cm="1">
        <f t="array" aca="1" ref="A119" ca="1">IF(ISBLANK(INDIRECT(CONCATENATE("Input!",RSE_Setup!$B$16,ROW()+1))),"",INDIRECT(CONCATENATE("Input!",RSE_Setup!$B$16,ROW()+1)))</f>
        <v>2.9999999999999997E-4</v>
      </c>
      <c r="B119" s="1" cm="1">
        <f t="array" aca="1" ref="B119" ca="1">IF(ISBLANK(INDIRECT(CONCATENATE("Input!",RSE_Setup!$B$17,ROW()+1))),"",INDIRECT(CONCATENATE("Input!",RSE_Setup!$B$17,ROW()+1)))</f>
        <v>4.0000000000000001E-3</v>
      </c>
      <c r="C119" s="1" cm="1">
        <f t="array" aca="1" ref="C119" ca="1">IF(ISBLANK(INDIRECT(CONCATENATE("Input!",RSE_Setup!$B$18,ROW()+1))),"",INDIRECT(CONCATENATE("Input!",RSE_Setup!$B$18,ROW()+1)))</f>
        <v>5.5556000000000001E-2</v>
      </c>
      <c r="D119" s="1" cm="1">
        <f t="array" aca="1" ref="D119" ca="1">IF(ISBLANK(INDIRECT(CONCATENATE("Input!",RSE_Setup!$B$19,ROW()+1))),"",INDIRECT(CONCATENATE("Input!",RSE_Setup!$B$19,ROW()+1)))</f>
        <v>9500</v>
      </c>
      <c r="E119" s="1" cm="1">
        <f t="array" aca="1" ref="E119" ca="1">IF(ISBLANK(INDIRECT(CONCATENATE("Input!",RSE_Setup!$B$28,ROW()+1))),"",INDIRECT(CONCATENATE("Input!",RSE_Setup!$B$28,ROW()+1)))</f>
        <v>607.819479</v>
      </c>
      <c r="F119" s="1">
        <f ca="1"/>
        <v>609.40741601560399</v>
      </c>
    </row>
    <row r="120" spans="1:6" x14ac:dyDescent="0.3">
      <c r="A120" s="1" cm="1">
        <f t="array" aca="1" ref="A120" ca="1">IF(ISBLANK(INDIRECT(CONCATENATE("Input!",RSE_Setup!$B$16,ROW()+1))),"",INDIRECT(CONCATENATE("Input!",RSE_Setup!$B$16,ROW()+1)))</f>
        <v>2.9999999999999997E-4</v>
      </c>
      <c r="B120" s="1" cm="1">
        <f t="array" aca="1" ref="B120" ca="1">IF(ISBLANK(INDIRECT(CONCATENATE("Input!",RSE_Setup!$B$17,ROW()+1))),"",INDIRECT(CONCATENATE("Input!",RSE_Setup!$B$17,ROW()+1)))</f>
        <v>4.0000000000000001E-3</v>
      </c>
      <c r="C120" s="1" cm="1">
        <f t="array" aca="1" ref="C120" ca="1">IF(ISBLANK(INDIRECT(CONCATENATE("Input!",RSE_Setup!$B$18,ROW()+1))),"",INDIRECT(CONCATENATE("Input!",RSE_Setup!$B$18,ROW()+1)))</f>
        <v>3.2258000000000002E-2</v>
      </c>
      <c r="D120" s="1" cm="1">
        <f t="array" aca="1" ref="D120" ca="1">IF(ISBLANK(INDIRECT(CONCATENATE("Input!",RSE_Setup!$B$19,ROW()+1))),"",INDIRECT(CONCATENATE("Input!",RSE_Setup!$B$19,ROW()+1)))</f>
        <v>9500</v>
      </c>
      <c r="E120" s="1" cm="1">
        <f t="array" aca="1" ref="E120" ca="1">IF(ISBLANK(INDIRECT(CONCATENATE("Input!",RSE_Setup!$B$28,ROW()+1))),"",INDIRECT(CONCATENATE("Input!",RSE_Setup!$B$28,ROW()+1)))</f>
        <v>608.77833599999997</v>
      </c>
      <c r="F120" s="1">
        <f ca="1"/>
        <v>608.12149798205792</v>
      </c>
    </row>
    <row r="121" spans="1:6" x14ac:dyDescent="0.3">
      <c r="A121" s="1" cm="1">
        <f t="array" aca="1" ref="A121" ca="1">IF(ISBLANK(INDIRECT(CONCATENATE("Input!",RSE_Setup!$B$16,ROW()+1))),"",INDIRECT(CONCATENATE("Input!",RSE_Setup!$B$16,ROW()+1)))</f>
        <v>5.0000000000000001E-4</v>
      </c>
      <c r="B121" s="1" cm="1">
        <f t="array" aca="1" ref="B121" ca="1">IF(ISBLANK(INDIRECT(CONCATENATE("Input!",RSE_Setup!$B$17,ROW()+1))),"",INDIRECT(CONCATENATE("Input!",RSE_Setup!$B$17,ROW()+1)))</f>
        <v>3.0000000000000001E-3</v>
      </c>
      <c r="C121" s="1" cm="1">
        <f t="array" aca="1" ref="C121" ca="1">IF(ISBLANK(INDIRECT(CONCATENATE("Input!",RSE_Setup!$B$18,ROW()+1))),"",INDIRECT(CONCATENATE("Input!",RSE_Setup!$B$18,ROW()+1)))</f>
        <v>0.13333300000000001</v>
      </c>
      <c r="D121" s="1" cm="1">
        <f t="array" aca="1" ref="D121" ca="1">IF(ISBLANK(INDIRECT(CONCATENATE("Input!",RSE_Setup!$B$19,ROW()+1))),"",INDIRECT(CONCATENATE("Input!",RSE_Setup!$B$19,ROW()+1)))</f>
        <v>4000</v>
      </c>
      <c r="E121" s="1" cm="1">
        <f t="array" aca="1" ref="E121" ca="1">IF(ISBLANK(INDIRECT(CONCATENATE("Input!",RSE_Setup!$B$28,ROW()+1))),"",INDIRECT(CONCATENATE("Input!",RSE_Setup!$B$28,ROW()+1)))</f>
        <v>245.61717300000001</v>
      </c>
      <c r="F121" s="1">
        <f ca="1"/>
        <v>259.64358631957367</v>
      </c>
    </row>
    <row r="122" spans="1:6" x14ac:dyDescent="0.3">
      <c r="A122" s="1" cm="1">
        <f t="array" aca="1" ref="A122" ca="1">IF(ISBLANK(INDIRECT(CONCATENATE("Input!",RSE_Setup!$B$16,ROW()+1))),"",INDIRECT(CONCATENATE("Input!",RSE_Setup!$B$16,ROW()+1)))</f>
        <v>5.0000000000000001E-4</v>
      </c>
      <c r="B122" s="1" cm="1">
        <f t="array" aca="1" ref="B122" ca="1">IF(ISBLANK(INDIRECT(CONCATENATE("Input!",RSE_Setup!$B$17,ROW()+1))),"",INDIRECT(CONCATENATE("Input!",RSE_Setup!$B$17,ROW()+1)))</f>
        <v>3.0000000000000001E-3</v>
      </c>
      <c r="C122" s="1" cm="1">
        <f t="array" aca="1" ref="C122" ca="1">IF(ISBLANK(INDIRECT(CONCATENATE("Input!",RSE_Setup!$B$18,ROW()+1))),"",INDIRECT(CONCATENATE("Input!",RSE_Setup!$B$18,ROW()+1)))</f>
        <v>0.111111</v>
      </c>
      <c r="D122" s="1" cm="1">
        <f t="array" aca="1" ref="D122" ca="1">IF(ISBLANK(INDIRECT(CONCATENATE("Input!",RSE_Setup!$B$19,ROW()+1))),"",INDIRECT(CONCATENATE("Input!",RSE_Setup!$B$19,ROW()+1)))</f>
        <v>3750</v>
      </c>
      <c r="E122" s="1" cm="1">
        <f t="array" aca="1" ref="E122" ca="1">IF(ISBLANK(INDIRECT(CONCATENATE("Input!",RSE_Setup!$B$28,ROW()+1))),"",INDIRECT(CONCATENATE("Input!",RSE_Setup!$B$28,ROW()+1)))</f>
        <v>228.75350800000001</v>
      </c>
      <c r="F122" s="1">
        <f ca="1"/>
        <v>231.44096710795449</v>
      </c>
    </row>
    <row r="123" spans="1:6" x14ac:dyDescent="0.3">
      <c r="A123" s="1" cm="1">
        <f t="array" aca="1" ref="A123" ca="1">IF(ISBLANK(INDIRECT(CONCATENATE("Input!",RSE_Setup!$B$16,ROW()+1))),"",INDIRECT(CONCATENATE("Input!",RSE_Setup!$B$16,ROW()+1)))</f>
        <v>5.0000000000000001E-4</v>
      </c>
      <c r="B123" s="1" cm="1">
        <f t="array" aca="1" ref="B123" ca="1">IF(ISBLANK(INDIRECT(CONCATENATE("Input!",RSE_Setup!$B$17,ROW()+1))),"",INDIRECT(CONCATENATE("Input!",RSE_Setup!$B$17,ROW()+1)))</f>
        <v>3.0000000000000001E-3</v>
      </c>
      <c r="C123" s="1" cm="1">
        <f t="array" aca="1" ref="C123" ca="1">IF(ISBLANK(INDIRECT(CONCATENATE("Input!",RSE_Setup!$B$18,ROW()+1))),"",INDIRECT(CONCATENATE("Input!",RSE_Setup!$B$18,ROW()+1)))</f>
        <v>0.111111</v>
      </c>
      <c r="D123" s="1" cm="1">
        <f t="array" aca="1" ref="D123" ca="1">IF(ISBLANK(INDIRECT(CONCATENATE("Input!",RSE_Setup!$B$19,ROW()+1))),"",INDIRECT(CONCATENATE("Input!",RSE_Setup!$B$19,ROW()+1)))</f>
        <v>4750</v>
      </c>
      <c r="E123" s="1" cm="1">
        <f t="array" aca="1" ref="E123" ca="1">IF(ISBLANK(INDIRECT(CONCATENATE("Input!",RSE_Setup!$B$28,ROW()+1))),"",INDIRECT(CONCATENATE("Input!",RSE_Setup!$B$28,ROW()+1)))</f>
        <v>276.00219800000002</v>
      </c>
      <c r="F123" s="1">
        <f ca="1"/>
        <v>279.9540349164958</v>
      </c>
    </row>
    <row r="124" spans="1:6" x14ac:dyDescent="0.3">
      <c r="A124" s="1" cm="1">
        <f t="array" aca="1" ref="A124" ca="1">IF(ISBLANK(INDIRECT(CONCATENATE("Input!",RSE_Setup!$B$16,ROW()+1))),"",INDIRECT(CONCATENATE("Input!",RSE_Setup!$B$16,ROW()+1)))</f>
        <v>5.0000000000000001E-4</v>
      </c>
      <c r="B124" s="1" cm="1">
        <f t="array" aca="1" ref="B124" ca="1">IF(ISBLANK(INDIRECT(CONCATENATE("Input!",RSE_Setup!$B$17,ROW()+1))),"",INDIRECT(CONCATENATE("Input!",RSE_Setup!$B$17,ROW()+1)))</f>
        <v>3.0000000000000001E-3</v>
      </c>
      <c r="C124" s="1" cm="1">
        <f t="array" aca="1" ref="C124" ca="1">IF(ISBLANK(INDIRECT(CONCATENATE("Input!",RSE_Setup!$B$18,ROW()+1))),"",INDIRECT(CONCATENATE("Input!",RSE_Setup!$B$18,ROW()+1)))</f>
        <v>5.5556000000000001E-2</v>
      </c>
      <c r="D124" s="1" cm="1">
        <f t="array" aca="1" ref="D124" ca="1">IF(ISBLANK(INDIRECT(CONCATENATE("Input!",RSE_Setup!$B$19,ROW()+1))),"",INDIRECT(CONCATENATE("Input!",RSE_Setup!$B$19,ROW()+1)))</f>
        <v>5500</v>
      </c>
      <c r="E124" s="1" cm="1">
        <f t="array" aca="1" ref="E124" ca="1">IF(ISBLANK(INDIRECT(CONCATENATE("Input!",RSE_Setup!$B$28,ROW()+1))),"",INDIRECT(CONCATENATE("Input!",RSE_Setup!$B$28,ROW()+1)))</f>
        <v>295.22686099999999</v>
      </c>
      <c r="F124" s="1">
        <f ca="1"/>
        <v>289.17834911650903</v>
      </c>
    </row>
    <row r="125" spans="1:6" x14ac:dyDescent="0.3">
      <c r="A125" s="1" cm="1">
        <f t="array" aca="1" ref="A125" ca="1">IF(ISBLANK(INDIRECT(CONCATENATE("Input!",RSE_Setup!$B$16,ROW()+1))),"",INDIRECT(CONCATENATE("Input!",RSE_Setup!$B$16,ROW()+1)))</f>
        <v>5.0000000000000001E-4</v>
      </c>
      <c r="B125" s="1" cm="1">
        <f t="array" aca="1" ref="B125" ca="1">IF(ISBLANK(INDIRECT(CONCATENATE("Input!",RSE_Setup!$B$17,ROW()+1))),"",INDIRECT(CONCATENATE("Input!",RSE_Setup!$B$17,ROW()+1)))</f>
        <v>3.0000000000000001E-3</v>
      </c>
      <c r="C125" s="1" cm="1">
        <f t="array" aca="1" ref="C125" ca="1">IF(ISBLANK(INDIRECT(CONCATENATE("Input!",RSE_Setup!$B$18,ROW()+1))),"",INDIRECT(CONCATENATE("Input!",RSE_Setup!$B$18,ROW()+1)))</f>
        <v>5.5556000000000001E-2</v>
      </c>
      <c r="D125" s="1" cm="1">
        <f t="array" aca="1" ref="D125" ca="1">IF(ISBLANK(INDIRECT(CONCATENATE("Input!",RSE_Setup!$B$19,ROW()+1))),"",INDIRECT(CONCATENATE("Input!",RSE_Setup!$B$19,ROW()+1)))</f>
        <v>7500</v>
      </c>
      <c r="E125" s="1" cm="1">
        <f t="array" aca="1" ref="E125" ca="1">IF(ISBLANK(INDIRECT(CONCATENATE("Input!",RSE_Setup!$B$28,ROW()+1))),"",INDIRECT(CONCATENATE("Input!",RSE_Setup!$B$28,ROW()+1)))</f>
        <v>390.282017</v>
      </c>
      <c r="F125" s="1">
        <f ca="1"/>
        <v>387.98610728352918</v>
      </c>
    </row>
    <row r="126" spans="1:6" x14ac:dyDescent="0.3">
      <c r="A126" s="1" cm="1">
        <f t="array" aca="1" ref="A126" ca="1">IF(ISBLANK(INDIRECT(CONCATENATE("Input!",RSE_Setup!$B$16,ROW()+1))),"",INDIRECT(CONCATENATE("Input!",RSE_Setup!$B$16,ROW()+1)))</f>
        <v>5.0000000000000001E-4</v>
      </c>
      <c r="B126" s="1" cm="1">
        <f t="array" aca="1" ref="B126" ca="1">IF(ISBLANK(INDIRECT(CONCATENATE("Input!",RSE_Setup!$B$17,ROW()+1))),"",INDIRECT(CONCATENATE("Input!",RSE_Setup!$B$17,ROW()+1)))</f>
        <v>3.0000000000000001E-3</v>
      </c>
      <c r="C126" s="1" cm="1">
        <f t="array" aca="1" ref="C126" ca="1">IF(ISBLANK(INDIRECT(CONCATENATE("Input!",RSE_Setup!$B$18,ROW()+1))),"",INDIRECT(CONCATENATE("Input!",RSE_Setup!$B$18,ROW()+1)))</f>
        <v>5.5556000000000001E-2</v>
      </c>
      <c r="D126" s="1" cm="1">
        <f t="array" aca="1" ref="D126" ca="1">IF(ISBLANK(INDIRECT(CONCATENATE("Input!",RSE_Setup!$B$19,ROW()+1))),"",INDIRECT(CONCATENATE("Input!",RSE_Setup!$B$19,ROW()+1)))</f>
        <v>9500</v>
      </c>
      <c r="E126" s="1" cm="1">
        <f t="array" aca="1" ref="E126" ca="1">IF(ISBLANK(INDIRECT(CONCATENATE("Input!",RSE_Setup!$B$28,ROW()+1))),"",INDIRECT(CONCATENATE("Input!",RSE_Setup!$B$28,ROW()+1)))</f>
        <v>488.32804499999997</v>
      </c>
      <c r="F126" s="1">
        <f ca="1"/>
        <v>485.41760351591137</v>
      </c>
    </row>
    <row r="127" spans="1:6" x14ac:dyDescent="0.3">
      <c r="A127" s="1" cm="1">
        <f t="array" aca="1" ref="A127" ca="1">IF(ISBLANK(INDIRECT(CONCATENATE("Input!",RSE_Setup!$B$16,ROW()+1))),"",INDIRECT(CONCATENATE("Input!",RSE_Setup!$B$16,ROW()+1)))</f>
        <v>5.0000000000000001E-4</v>
      </c>
      <c r="B127" s="1" cm="1">
        <f t="array" aca="1" ref="B127" ca="1">IF(ISBLANK(INDIRECT(CONCATENATE("Input!",RSE_Setup!$B$17,ROW()+1))),"",INDIRECT(CONCATENATE("Input!",RSE_Setup!$B$17,ROW()+1)))</f>
        <v>3.0000000000000001E-3</v>
      </c>
      <c r="C127" s="1" cm="1">
        <f t="array" aca="1" ref="C127" ca="1">IF(ISBLANK(INDIRECT(CONCATENATE("Input!",RSE_Setup!$B$18,ROW()+1))),"",INDIRECT(CONCATENATE("Input!",RSE_Setup!$B$18,ROW()+1)))</f>
        <v>3.2258000000000002E-2</v>
      </c>
      <c r="D127" s="1" cm="1">
        <f t="array" aca="1" ref="D127" ca="1">IF(ISBLANK(INDIRECT(CONCATENATE("Input!",RSE_Setup!$B$19,ROW()+1))),"",INDIRECT(CONCATENATE("Input!",RSE_Setup!$B$19,ROW()+1)))</f>
        <v>9500</v>
      </c>
      <c r="E127" s="1" cm="1">
        <f t="array" aca="1" ref="E127" ca="1">IF(ISBLANK(INDIRECT(CONCATENATE("Input!",RSE_Setup!$B$28,ROW()+1))),"",INDIRECT(CONCATENATE("Input!",RSE_Setup!$B$28,ROW()+1)))</f>
        <v>484.50285400000001</v>
      </c>
      <c r="F127" s="1">
        <f ca="1"/>
        <v>481.4528571000792</v>
      </c>
    </row>
    <row r="128" spans="1:6" x14ac:dyDescent="0.3">
      <c r="A128" s="1" cm="1">
        <f t="array" aca="1" ref="A128" ca="1">IF(ISBLANK(INDIRECT(CONCATENATE("Input!",RSE_Setup!$B$16,ROW()+1))),"",INDIRECT(CONCATENATE("Input!",RSE_Setup!$B$16,ROW()+1)))</f>
        <v>5.0000000000000001E-4</v>
      </c>
      <c r="B128" s="1" cm="1">
        <f t="array" aca="1" ref="B128" ca="1">IF(ISBLANK(INDIRECT(CONCATENATE("Input!",RSE_Setup!$B$17,ROW()+1))),"",INDIRECT(CONCATENATE("Input!",RSE_Setup!$B$17,ROW()+1)))</f>
        <v>4.7499999999999999E-3</v>
      </c>
      <c r="C128" s="1" cm="1">
        <f t="array" aca="1" ref="C128" ca="1">IF(ISBLANK(INDIRECT(CONCATENATE("Input!",RSE_Setup!$B$18,ROW()+1))),"",INDIRECT(CONCATENATE("Input!",RSE_Setup!$B$18,ROW()+1)))</f>
        <v>0.13333300000000001</v>
      </c>
      <c r="D128" s="1" cm="1">
        <f t="array" aca="1" ref="D128" ca="1">IF(ISBLANK(INDIRECT(CONCATENATE("Input!",RSE_Setup!$B$19,ROW()+1))),"",INDIRECT(CONCATENATE("Input!",RSE_Setup!$B$19,ROW()+1)))</f>
        <v>4000</v>
      </c>
      <c r="E128" s="1" cm="1">
        <f t="array" aca="1" ref="E128" ca="1">IF(ISBLANK(INDIRECT(CONCATENATE("Input!",RSE_Setup!$B$28,ROW()+1))),"",INDIRECT(CONCATENATE("Input!",RSE_Setup!$B$28,ROW()+1)))</f>
        <v>316.43447700000002</v>
      </c>
      <c r="F128" s="1">
        <f ca="1"/>
        <v>318.13226589515335</v>
      </c>
    </row>
    <row r="129" spans="1:6" x14ac:dyDescent="0.3">
      <c r="A129" s="1" cm="1">
        <f t="array" aca="1" ref="A129" ca="1">IF(ISBLANK(INDIRECT(CONCATENATE("Input!",RSE_Setup!$B$16,ROW()+1))),"",INDIRECT(CONCATENATE("Input!",RSE_Setup!$B$16,ROW()+1)))</f>
        <v>5.0000000000000001E-4</v>
      </c>
      <c r="B129" s="1" cm="1">
        <f t="array" aca="1" ref="B129" ca="1">IF(ISBLANK(INDIRECT(CONCATENATE("Input!",RSE_Setup!$B$17,ROW()+1))),"",INDIRECT(CONCATENATE("Input!",RSE_Setup!$B$17,ROW()+1)))</f>
        <v>4.7499999999999999E-3</v>
      </c>
      <c r="C129" s="1" cm="1">
        <f t="array" aca="1" ref="C129" ca="1">IF(ISBLANK(INDIRECT(CONCATENATE("Input!",RSE_Setup!$B$18,ROW()+1))),"",INDIRECT(CONCATENATE("Input!",RSE_Setup!$B$18,ROW()+1)))</f>
        <v>0.111111</v>
      </c>
      <c r="D129" s="1" cm="1">
        <f t="array" aca="1" ref="D129" ca="1">IF(ISBLANK(INDIRECT(CONCATENATE("Input!",RSE_Setup!$B$19,ROW()+1))),"",INDIRECT(CONCATENATE("Input!",RSE_Setup!$B$19,ROW()+1)))</f>
        <v>3750</v>
      </c>
      <c r="E129" s="1" cm="1">
        <f t="array" aca="1" ref="E129" ca="1">IF(ISBLANK(INDIRECT(CONCATENATE("Input!",RSE_Setup!$B$28,ROW()+1))),"",INDIRECT(CONCATENATE("Input!",RSE_Setup!$B$28,ROW()+1)))</f>
        <v>295.68525399999999</v>
      </c>
      <c r="F129" s="1">
        <f ca="1"/>
        <v>288.72949345933017</v>
      </c>
    </row>
    <row r="130" spans="1:6" x14ac:dyDescent="0.3">
      <c r="A130" s="1" cm="1">
        <f t="array" aca="1" ref="A130" ca="1">IF(ISBLANK(INDIRECT(CONCATENATE("Input!",RSE_Setup!$B$16,ROW()+1))),"",INDIRECT(CONCATENATE("Input!",RSE_Setup!$B$16,ROW()+1)))</f>
        <v>5.0000000000000001E-4</v>
      </c>
      <c r="B130" s="1" cm="1">
        <f t="array" aca="1" ref="B130" ca="1">IF(ISBLANK(INDIRECT(CONCATENATE("Input!",RSE_Setup!$B$17,ROW()+1))),"",INDIRECT(CONCATENATE("Input!",RSE_Setup!$B$17,ROW()+1)))</f>
        <v>4.7499999999999999E-3</v>
      </c>
      <c r="C130" s="1" cm="1">
        <f t="array" aca="1" ref="C130" ca="1">IF(ISBLANK(INDIRECT(CONCATENATE("Input!",RSE_Setup!$B$18,ROW()+1))),"",INDIRECT(CONCATENATE("Input!",RSE_Setup!$B$18,ROW()+1)))</f>
        <v>0.111111</v>
      </c>
      <c r="D130" s="1" cm="1">
        <f t="array" aca="1" ref="D130" ca="1">IF(ISBLANK(INDIRECT(CONCATENATE("Input!",RSE_Setup!$B$19,ROW()+1))),"",INDIRECT(CONCATENATE("Input!",RSE_Setup!$B$19,ROW()+1)))</f>
        <v>4750</v>
      </c>
      <c r="E130" s="1" cm="1">
        <f t="array" aca="1" ref="E130" ca="1">IF(ISBLANK(INDIRECT(CONCATENATE("Input!",RSE_Setup!$B$28,ROW()+1))),"",INDIRECT(CONCATENATE("Input!",RSE_Setup!$B$28,ROW()+1)))</f>
        <v>359.15189600000002</v>
      </c>
      <c r="F130" s="1">
        <f ca="1"/>
        <v>359.43852295767653</v>
      </c>
    </row>
    <row r="131" spans="1:6" x14ac:dyDescent="0.3">
      <c r="A131" s="1" cm="1">
        <f t="array" aca="1" ref="A131" ca="1">IF(ISBLANK(INDIRECT(CONCATENATE("Input!",RSE_Setup!$B$16,ROW()+1))),"",INDIRECT(CONCATENATE("Input!",RSE_Setup!$B$16,ROW()+1)))</f>
        <v>5.0000000000000001E-4</v>
      </c>
      <c r="B131" s="1" cm="1">
        <f t="array" aca="1" ref="B131" ca="1">IF(ISBLANK(INDIRECT(CONCATENATE("Input!",RSE_Setup!$B$17,ROW()+1))),"",INDIRECT(CONCATENATE("Input!",RSE_Setup!$B$17,ROW()+1)))</f>
        <v>4.7499999999999999E-3</v>
      </c>
      <c r="C131" s="1" cm="1">
        <f t="array" aca="1" ref="C131" ca="1">IF(ISBLANK(INDIRECT(CONCATENATE("Input!",RSE_Setup!$B$18,ROW()+1))),"",INDIRECT(CONCATENATE("Input!",RSE_Setup!$B$18,ROW()+1)))</f>
        <v>5.5556000000000001E-2</v>
      </c>
      <c r="D131" s="1" cm="1">
        <f t="array" aca="1" ref="D131" ca="1">IF(ISBLANK(INDIRECT(CONCATENATE("Input!",RSE_Setup!$B$19,ROW()+1))),"",INDIRECT(CONCATENATE("Input!",RSE_Setup!$B$19,ROW()+1)))</f>
        <v>5500</v>
      </c>
      <c r="E131" s="1" cm="1">
        <f t="array" aca="1" ref="E131" ca="1">IF(ISBLANK(INDIRECT(CONCATENATE("Input!",RSE_Setup!$B$28,ROW()+1))),"",INDIRECT(CONCATENATE("Input!",RSE_Setup!$B$28,ROW()+1)))</f>
        <v>401.28982000000002</v>
      </c>
      <c r="F131" s="1">
        <f ca="1"/>
        <v>396.1819014206618</v>
      </c>
    </row>
    <row r="132" spans="1:6" x14ac:dyDescent="0.3">
      <c r="A132" s="1" cm="1">
        <f t="array" aca="1" ref="A132" ca="1">IF(ISBLANK(INDIRECT(CONCATENATE("Input!",RSE_Setup!$B$16,ROW()+1))),"",INDIRECT(CONCATENATE("Input!",RSE_Setup!$B$16,ROW()+1)))</f>
        <v>5.0000000000000001E-4</v>
      </c>
      <c r="B132" s="1" cm="1">
        <f t="array" aca="1" ref="B132" ca="1">IF(ISBLANK(INDIRECT(CONCATENATE("Input!",RSE_Setup!$B$17,ROW()+1))),"",INDIRECT(CONCATENATE("Input!",RSE_Setup!$B$17,ROW()+1)))</f>
        <v>4.7499999999999999E-3</v>
      </c>
      <c r="C132" s="1" cm="1">
        <f t="array" aca="1" ref="C132" ca="1">IF(ISBLANK(INDIRECT(CONCATENATE("Input!",RSE_Setup!$B$18,ROW()+1))),"",INDIRECT(CONCATENATE("Input!",RSE_Setup!$B$18,ROW()+1)))</f>
        <v>5.5556000000000001E-2</v>
      </c>
      <c r="D132" s="1" cm="1">
        <f t="array" aca="1" ref="D132" ca="1">IF(ISBLANK(INDIRECT(CONCATENATE("Input!",RSE_Setup!$B$19,ROW()+1))),"",INDIRECT(CONCATENATE("Input!",RSE_Setup!$B$19,ROW()+1)))</f>
        <v>7500</v>
      </c>
      <c r="E132" s="1" cm="1">
        <f t="array" aca="1" ref="E132" ca="1">IF(ISBLANK(INDIRECT(CONCATENATE("Input!",RSE_Setup!$B$28,ROW()+1))),"",INDIRECT(CONCATENATE("Input!",RSE_Setup!$B$28,ROW()+1)))</f>
        <v>542.45666300000005</v>
      </c>
      <c r="F132" s="1">
        <f ca="1"/>
        <v>539.38158296729193</v>
      </c>
    </row>
    <row r="133" spans="1:6" x14ac:dyDescent="0.3">
      <c r="A133" s="1" cm="1">
        <f t="array" aca="1" ref="A133" ca="1">IF(ISBLANK(INDIRECT(CONCATENATE("Input!",RSE_Setup!$B$16,ROW()+1))),"",INDIRECT(CONCATENATE("Input!",RSE_Setup!$B$16,ROW()+1)))</f>
        <v>5.0000000000000001E-4</v>
      </c>
      <c r="B133" s="1" cm="1">
        <f t="array" aca="1" ref="B133" ca="1">IF(ISBLANK(INDIRECT(CONCATENATE("Input!",RSE_Setup!$B$17,ROW()+1))),"",INDIRECT(CONCATENATE("Input!",RSE_Setup!$B$17,ROW()+1)))</f>
        <v>4.7499999999999999E-3</v>
      </c>
      <c r="C133" s="1" cm="1">
        <f t="array" aca="1" ref="C133" ca="1">IF(ISBLANK(INDIRECT(CONCATENATE("Input!",RSE_Setup!$B$18,ROW()+1))),"",INDIRECT(CONCATENATE("Input!",RSE_Setup!$B$18,ROW()+1)))</f>
        <v>5.5556000000000001E-2</v>
      </c>
      <c r="D133" s="1" cm="1">
        <f t="array" aca="1" ref="D133" ca="1">IF(ISBLANK(INDIRECT(CONCATENATE("Input!",RSE_Setup!$B$19,ROW()+1))),"",INDIRECT(CONCATENATE("Input!",RSE_Setup!$B$19,ROW()+1)))</f>
        <v>9500</v>
      </c>
      <c r="E133" s="1" cm="1">
        <f t="array" aca="1" ref="E133" ca="1">IF(ISBLANK(INDIRECT(CONCATENATE("Input!",RSE_Setup!$B$28,ROW()+1))),"",INDIRECT(CONCATENATE("Input!",RSE_Setup!$B$28,ROW()+1)))</f>
        <v>681.29206799999997</v>
      </c>
      <c r="F133" s="1">
        <f ca="1"/>
        <v>681.20500257928438</v>
      </c>
    </row>
    <row r="134" spans="1:6" x14ac:dyDescent="0.3">
      <c r="A134" s="1" cm="1">
        <f t="array" aca="1" ref="A134" ca="1">IF(ISBLANK(INDIRECT(CONCATENATE("Input!",RSE_Setup!$B$16,ROW()+1))),"",INDIRECT(CONCATENATE("Input!",RSE_Setup!$B$16,ROW()+1)))</f>
        <v>5.0000000000000001E-4</v>
      </c>
      <c r="B134" s="1" cm="1">
        <f t="array" aca="1" ref="B134" ca="1">IF(ISBLANK(INDIRECT(CONCATENATE("Input!",RSE_Setup!$B$17,ROW()+1))),"",INDIRECT(CONCATENATE("Input!",RSE_Setup!$B$17,ROW()+1)))</f>
        <v>4.7499999999999999E-3</v>
      </c>
      <c r="C134" s="1" cm="1">
        <f t="array" aca="1" ref="C134" ca="1">IF(ISBLANK(INDIRECT(CONCATENATE("Input!",RSE_Setup!$B$18,ROW()+1))),"",INDIRECT(CONCATENATE("Input!",RSE_Setup!$B$18,ROW()+1)))</f>
        <v>3.2258000000000002E-2</v>
      </c>
      <c r="D134" s="1" cm="1">
        <f t="array" aca="1" ref="D134" ca="1">IF(ISBLANK(INDIRECT(CONCATENATE("Input!",RSE_Setup!$B$19,ROW()+1))),"",INDIRECT(CONCATENATE("Input!",RSE_Setup!$B$19,ROW()+1)))</f>
        <v>9500</v>
      </c>
      <c r="E134" s="1" cm="1">
        <f t="array" aca="1" ref="E134" ca="1">IF(ISBLANK(INDIRECT(CONCATENATE("Input!",RSE_Setup!$B$28,ROW()+1))),"",INDIRECT(CONCATENATE("Input!",RSE_Setup!$B$28,ROW()+1)))</f>
        <v>684.54010000000005</v>
      </c>
      <c r="F134" s="1">
        <f ca="1"/>
        <v>681.7996661645667</v>
      </c>
    </row>
    <row r="135" spans="1:6" x14ac:dyDescent="0.3">
      <c r="A135" s="1" cm="1">
        <f t="array" aca="1" ref="A135" ca="1">IF(ISBLANK(INDIRECT(CONCATENATE("Input!",RSE_Setup!$B$16,ROW()+1))),"",INDIRECT(CONCATENATE("Input!",RSE_Setup!$B$16,ROW()+1)))</f>
        <v>5.0000000000000001E-4</v>
      </c>
      <c r="B135" s="1" cm="1">
        <f t="array" aca="1" ref="B135" ca="1">IF(ISBLANK(INDIRECT(CONCATENATE("Input!",RSE_Setup!$B$17,ROW()+1))),"",INDIRECT(CONCATENATE("Input!",RSE_Setup!$B$17,ROW()+1)))</f>
        <v>6.4999999999999997E-3</v>
      </c>
      <c r="C135" s="1" cm="1">
        <f t="array" aca="1" ref="C135" ca="1">IF(ISBLANK(INDIRECT(CONCATENATE("Input!",RSE_Setup!$B$18,ROW()+1))),"",INDIRECT(CONCATENATE("Input!",RSE_Setup!$B$18,ROW()+1)))</f>
        <v>0.13333300000000001</v>
      </c>
      <c r="D135" s="1" cm="1">
        <f t="array" aca="1" ref="D135" ca="1">IF(ISBLANK(INDIRECT(CONCATENATE("Input!",RSE_Setup!$B$19,ROW()+1))),"",INDIRECT(CONCATENATE("Input!",RSE_Setup!$B$19,ROW()+1)))</f>
        <v>4000</v>
      </c>
      <c r="E135" s="1" cm="1">
        <f t="array" aca="1" ref="E135" ca="1">IF(ISBLANK(INDIRECT(CONCATENATE("Input!",RSE_Setup!$B$28,ROW()+1))),"",INDIRECT(CONCATENATE("Input!",RSE_Setup!$B$28,ROW()+1)))</f>
        <v>390.28236500000003</v>
      </c>
      <c r="F135" s="1">
        <f ca="1"/>
        <v>390.51532974413402</v>
      </c>
    </row>
    <row r="136" spans="1:6" x14ac:dyDescent="0.3">
      <c r="A136" s="1" cm="1">
        <f t="array" aca="1" ref="A136" ca="1">IF(ISBLANK(INDIRECT(CONCATENATE("Input!",RSE_Setup!$B$16,ROW()+1))),"",INDIRECT(CONCATENATE("Input!",RSE_Setup!$B$16,ROW()+1)))</f>
        <v>5.0000000000000001E-4</v>
      </c>
      <c r="B136" s="1" cm="1">
        <f t="array" aca="1" ref="B136" ca="1">IF(ISBLANK(INDIRECT(CONCATENATE("Input!",RSE_Setup!$B$17,ROW()+1))),"",INDIRECT(CONCATENATE("Input!",RSE_Setup!$B$17,ROW()+1)))</f>
        <v>6.4999999999999997E-3</v>
      </c>
      <c r="C136" s="1" cm="1">
        <f t="array" aca="1" ref="C136" ca="1">IF(ISBLANK(INDIRECT(CONCATENATE("Input!",RSE_Setup!$B$18,ROW()+1))),"",INDIRECT(CONCATENATE("Input!",RSE_Setup!$B$18,ROW()+1)))</f>
        <v>0.111111</v>
      </c>
      <c r="D136" s="1" cm="1">
        <f t="array" aca="1" ref="D136" ca="1">IF(ISBLANK(INDIRECT(CONCATENATE("Input!",RSE_Setup!$B$19,ROW()+1))),"",INDIRECT(CONCATENATE("Input!",RSE_Setup!$B$19,ROW()+1)))</f>
        <v>3750</v>
      </c>
      <c r="E136" s="1" cm="1">
        <f t="array" aca="1" ref="E136" ca="1">IF(ISBLANK(INDIRECT(CONCATENATE("Input!",RSE_Setup!$B$28,ROW()+1))),"",INDIRECT(CONCATENATE("Input!",RSE_Setup!$B$28,ROW()+1)))</f>
        <v>367.50205599999998</v>
      </c>
      <c r="F136" s="1">
        <f ca="1"/>
        <v>359.91240408410687</v>
      </c>
    </row>
    <row r="137" spans="1:6" x14ac:dyDescent="0.3">
      <c r="A137" s="1" cm="1">
        <f t="array" aca="1" ref="A137" ca="1">IF(ISBLANK(INDIRECT(CONCATENATE("Input!",RSE_Setup!$B$16,ROW()+1))),"",INDIRECT(CONCATENATE("Input!",RSE_Setup!$B$16,ROW()+1)))</f>
        <v>5.0000000000000001E-4</v>
      </c>
      <c r="B137" s="1" cm="1">
        <f t="array" aca="1" ref="B137" ca="1">IF(ISBLANK(INDIRECT(CONCATENATE("Input!",RSE_Setup!$B$17,ROW()+1))),"",INDIRECT(CONCATENATE("Input!",RSE_Setup!$B$17,ROW()+1)))</f>
        <v>6.4999999999999997E-3</v>
      </c>
      <c r="C137" s="1" cm="1">
        <f t="array" aca="1" ref="C137" ca="1">IF(ISBLANK(INDIRECT(CONCATENATE("Input!",RSE_Setup!$B$18,ROW()+1))),"",INDIRECT(CONCATENATE("Input!",RSE_Setup!$B$18,ROW()+1)))</f>
        <v>0.111111</v>
      </c>
      <c r="D137" s="1" cm="1">
        <f t="array" aca="1" ref="D137" ca="1">IF(ISBLANK(INDIRECT(CONCATENATE("Input!",RSE_Setup!$B$19,ROW()+1))),"",INDIRECT(CONCATENATE("Input!",RSE_Setup!$B$19,ROW()+1)))</f>
        <v>4750</v>
      </c>
      <c r="E137" s="1" cm="1">
        <f t="array" aca="1" ref="E137" ca="1">IF(ISBLANK(INDIRECT(CONCATENATE("Input!",RSE_Setup!$B$28,ROW()+1))),"",INDIRECT(CONCATENATE("Input!",RSE_Setup!$B$28,ROW()+1)))</f>
        <v>454.133803</v>
      </c>
      <c r="F137" s="1">
        <f ca="1"/>
        <v>452.8173952722583</v>
      </c>
    </row>
    <row r="138" spans="1:6" x14ac:dyDescent="0.3">
      <c r="A138" s="1" cm="1">
        <f t="array" aca="1" ref="A138" ca="1">IF(ISBLANK(INDIRECT(CONCATENATE("Input!",RSE_Setup!$B$16,ROW()+1))),"",INDIRECT(CONCATENATE("Input!",RSE_Setup!$B$16,ROW()+1)))</f>
        <v>5.0000000000000001E-4</v>
      </c>
      <c r="B138" s="1" cm="1">
        <f t="array" aca="1" ref="B138" ca="1">IF(ISBLANK(INDIRECT(CONCATENATE("Input!",RSE_Setup!$B$17,ROW()+1))),"",INDIRECT(CONCATENATE("Input!",RSE_Setup!$B$17,ROW()+1)))</f>
        <v>6.4999999999999997E-3</v>
      </c>
      <c r="C138" s="1" cm="1">
        <f t="array" aca="1" ref="C138" ca="1">IF(ISBLANK(INDIRECT(CONCATENATE("Input!",RSE_Setup!$B$18,ROW()+1))),"",INDIRECT(CONCATENATE("Input!",RSE_Setup!$B$18,ROW()+1)))</f>
        <v>5.5556000000000001E-2</v>
      </c>
      <c r="D138" s="1" cm="1">
        <f t="array" aca="1" ref="D138" ca="1">IF(ISBLANK(INDIRECT(CONCATENATE("Input!",RSE_Setup!$B$19,ROW()+1))),"",INDIRECT(CONCATENATE("Input!",RSE_Setup!$B$19,ROW()+1)))</f>
        <v>5500</v>
      </c>
      <c r="E138" s="1" cm="1">
        <f t="array" aca="1" ref="E138" ca="1">IF(ISBLANK(INDIRECT(CONCATENATE("Input!",RSE_Setup!$B$28,ROW()+1))),"",INDIRECT(CONCATENATE("Input!",RSE_Setup!$B$28,ROW()+1)))</f>
        <v>519.32737199999997</v>
      </c>
      <c r="F138" s="1">
        <f ca="1"/>
        <v>517.07983799821545</v>
      </c>
    </row>
    <row r="139" spans="1:6" x14ac:dyDescent="0.3">
      <c r="A139" s="1" cm="1">
        <f t="array" aca="1" ref="A139" ca="1">IF(ISBLANK(INDIRECT(CONCATENATE("Input!",RSE_Setup!$B$16,ROW()+1))),"",INDIRECT(CONCATENATE("Input!",RSE_Setup!$B$16,ROW()+1)))</f>
        <v>7.5000000000000002E-4</v>
      </c>
      <c r="B139" s="1" cm="1">
        <f t="array" aca="1" ref="B139" ca="1">IF(ISBLANK(INDIRECT(CONCATENATE("Input!",RSE_Setup!$B$17,ROW()+1))),"",INDIRECT(CONCATENATE("Input!",RSE_Setup!$B$17,ROW()+1)))</f>
        <v>4.0000000000000001E-3</v>
      </c>
      <c r="C139" s="1" cm="1">
        <f t="array" aca="1" ref="C139" ca="1">IF(ISBLANK(INDIRECT(CONCATENATE("Input!",RSE_Setup!$B$18,ROW()+1))),"",INDIRECT(CONCATENATE("Input!",RSE_Setup!$B$18,ROW()+1)))</f>
        <v>0.13333300000000001</v>
      </c>
      <c r="D139" s="1" cm="1">
        <f t="array" aca="1" ref="D139" ca="1">IF(ISBLANK(INDIRECT(CONCATENATE("Input!",RSE_Setup!$B$19,ROW()+1))),"",INDIRECT(CONCATENATE("Input!",RSE_Setup!$B$19,ROW()+1)))</f>
        <v>4000</v>
      </c>
      <c r="E139" s="1" cm="1">
        <f t="array" aca="1" ref="E139" ca="1">IF(ISBLANK(INDIRECT(CONCATENATE("Input!",RSE_Setup!$B$28,ROW()+1))),"",INDIRECT(CONCATENATE("Input!",RSE_Setup!$B$28,ROW()+1)))</f>
        <v>279.42349899999999</v>
      </c>
      <c r="F139" s="1">
        <f ca="1"/>
        <v>286.25173369654686</v>
      </c>
    </row>
    <row r="140" spans="1:6" x14ac:dyDescent="0.3">
      <c r="A140" s="1" cm="1">
        <f t="array" aca="1" ref="A140" ca="1">IF(ISBLANK(INDIRECT(CONCATENATE("Input!",RSE_Setup!$B$16,ROW()+1))),"",INDIRECT(CONCATENATE("Input!",RSE_Setup!$B$16,ROW()+1)))</f>
        <v>7.5000000000000002E-4</v>
      </c>
      <c r="B140" s="1" cm="1">
        <f t="array" aca="1" ref="B140" ca="1">IF(ISBLANK(INDIRECT(CONCATENATE("Input!",RSE_Setup!$B$17,ROW()+1))),"",INDIRECT(CONCATENATE("Input!",RSE_Setup!$B$17,ROW()+1)))</f>
        <v>4.0000000000000001E-3</v>
      </c>
      <c r="C140" s="1" cm="1">
        <f t="array" aca="1" ref="C140" ca="1">IF(ISBLANK(INDIRECT(CONCATENATE("Input!",RSE_Setup!$B$18,ROW()+1))),"",INDIRECT(CONCATENATE("Input!",RSE_Setup!$B$18,ROW()+1)))</f>
        <v>0.111111</v>
      </c>
      <c r="D140" s="1" cm="1">
        <f t="array" aca="1" ref="D140" ca="1">IF(ISBLANK(INDIRECT(CONCATENATE("Input!",RSE_Setup!$B$19,ROW()+1))),"",INDIRECT(CONCATENATE("Input!",RSE_Setup!$B$19,ROW()+1)))</f>
        <v>3750</v>
      </c>
      <c r="E140" s="1" cm="1">
        <f t="array" aca="1" ref="E140" ca="1">IF(ISBLANK(INDIRECT(CONCATENATE("Input!",RSE_Setup!$B$28,ROW()+1))),"",INDIRECT(CONCATENATE("Input!",RSE_Setup!$B$28,ROW()+1)))</f>
        <v>260.74862400000001</v>
      </c>
      <c r="F140" s="1">
        <f ca="1"/>
        <v>257.8149619971519</v>
      </c>
    </row>
    <row r="141" spans="1:6" x14ac:dyDescent="0.3">
      <c r="A141" s="1" cm="1">
        <f t="array" aca="1" ref="A141" ca="1">IF(ISBLANK(INDIRECT(CONCATENATE("Input!",RSE_Setup!$B$16,ROW()+1))),"",INDIRECT(CONCATENATE("Input!",RSE_Setup!$B$16,ROW()+1)))</f>
        <v>7.5000000000000002E-4</v>
      </c>
      <c r="B141" s="1" cm="1">
        <f t="array" aca="1" ref="B141" ca="1">IF(ISBLANK(INDIRECT(CONCATENATE("Input!",RSE_Setup!$B$17,ROW()+1))),"",INDIRECT(CONCATENATE("Input!",RSE_Setup!$B$17,ROW()+1)))</f>
        <v>4.0000000000000001E-3</v>
      </c>
      <c r="C141" s="1" cm="1">
        <f t="array" aca="1" ref="C141" ca="1">IF(ISBLANK(INDIRECT(CONCATENATE("Input!",RSE_Setup!$B$18,ROW()+1))),"",INDIRECT(CONCATENATE("Input!",RSE_Setup!$B$18,ROW()+1)))</f>
        <v>0.111111</v>
      </c>
      <c r="D141" s="1" cm="1">
        <f t="array" aca="1" ref="D141" ca="1">IF(ISBLANK(INDIRECT(CONCATENATE("Input!",RSE_Setup!$B$19,ROW()+1))),"",INDIRECT(CONCATENATE("Input!",RSE_Setup!$B$19,ROW()+1)))</f>
        <v>4750</v>
      </c>
      <c r="E141" s="1" cm="1">
        <f t="array" aca="1" ref="E141" ca="1">IF(ISBLANK(INDIRECT(CONCATENATE("Input!",RSE_Setup!$B$28,ROW()+1))),"",INDIRECT(CONCATENATE("Input!",RSE_Setup!$B$28,ROW()+1)))</f>
        <v>316.441282</v>
      </c>
      <c r="F141" s="1">
        <f ca="1"/>
        <v>316.85454431464257</v>
      </c>
    </row>
    <row r="142" spans="1:6" x14ac:dyDescent="0.3">
      <c r="A142" s="1" cm="1">
        <f t="array" aca="1" ref="A142" ca="1">IF(ISBLANK(INDIRECT(CONCATENATE("Input!",RSE_Setup!$B$16,ROW()+1))),"",INDIRECT(CONCATENATE("Input!",RSE_Setup!$B$16,ROW()+1)))</f>
        <v>7.5000000000000002E-4</v>
      </c>
      <c r="B142" s="1" cm="1">
        <f t="array" aca="1" ref="B142" ca="1">IF(ISBLANK(INDIRECT(CONCATENATE("Input!",RSE_Setup!$B$17,ROW()+1))),"",INDIRECT(CONCATENATE("Input!",RSE_Setup!$B$17,ROW()+1)))</f>
        <v>4.0000000000000001E-3</v>
      </c>
      <c r="C142" s="1" cm="1">
        <f t="array" aca="1" ref="C142" ca="1">IF(ISBLANK(INDIRECT(CONCATENATE("Input!",RSE_Setup!$B$18,ROW()+1))),"",INDIRECT(CONCATENATE("Input!",RSE_Setup!$B$18,ROW()+1)))</f>
        <v>5.5556000000000001E-2</v>
      </c>
      <c r="D142" s="1" cm="1">
        <f t="array" aca="1" ref="D142" ca="1">IF(ISBLANK(INDIRECT(CONCATENATE("Input!",RSE_Setup!$B$19,ROW()+1))),"",INDIRECT(CONCATENATE("Input!",RSE_Setup!$B$19,ROW()+1)))</f>
        <v>5500</v>
      </c>
      <c r="E142" s="1" cm="1">
        <f t="array" aca="1" ref="E142" ca="1">IF(ISBLANK(INDIRECT(CONCATENATE("Input!",RSE_Setup!$B$28,ROW()+1))),"",INDIRECT(CONCATENATE("Input!",RSE_Setup!$B$28,ROW()+1)))</f>
        <v>345.82369599999998</v>
      </c>
      <c r="F142" s="1">
        <f ca="1"/>
        <v>339.96743474502159</v>
      </c>
    </row>
    <row r="143" spans="1:6" x14ac:dyDescent="0.3">
      <c r="A143" s="1" cm="1">
        <f t="array" aca="1" ref="A143" ca="1">IF(ISBLANK(INDIRECT(CONCATENATE("Input!",RSE_Setup!$B$16,ROW()+1))),"",INDIRECT(CONCATENATE("Input!",RSE_Setup!$B$16,ROW()+1)))</f>
        <v>7.5000000000000002E-4</v>
      </c>
      <c r="B143" s="1" cm="1">
        <f t="array" aca="1" ref="B143" ca="1">IF(ISBLANK(INDIRECT(CONCATENATE("Input!",RSE_Setup!$B$17,ROW()+1))),"",INDIRECT(CONCATENATE("Input!",RSE_Setup!$B$17,ROW()+1)))</f>
        <v>6.0000000000000001E-3</v>
      </c>
      <c r="C143" s="1" cm="1">
        <f t="array" aca="1" ref="C143" ca="1">IF(ISBLANK(INDIRECT(CONCATENATE("Input!",RSE_Setup!$B$18,ROW()+1))),"",INDIRECT(CONCATENATE("Input!",RSE_Setup!$B$18,ROW()+1)))</f>
        <v>0.13333300000000001</v>
      </c>
      <c r="D143" s="1" cm="1">
        <f t="array" aca="1" ref="D143" ca="1">IF(ISBLANK(INDIRECT(CONCATENATE("Input!",RSE_Setup!$B$19,ROW()+1))),"",INDIRECT(CONCATENATE("Input!",RSE_Setup!$B$19,ROW()+1)))</f>
        <v>4000</v>
      </c>
      <c r="E143" s="1" cm="1">
        <f t="array" aca="1" ref="E143" ca="1">IF(ISBLANK(INDIRECT(CONCATENATE("Input!",RSE_Setup!$B$28,ROW()+1))),"",INDIRECT(CONCATENATE("Input!",RSE_Setup!$B$28,ROW()+1)))</f>
        <v>362.04977000000002</v>
      </c>
      <c r="F143" s="1">
        <f ca="1"/>
        <v>362.11150090640882</v>
      </c>
    </row>
    <row r="144" spans="1:6" x14ac:dyDescent="0.3">
      <c r="A144" s="1" cm="1">
        <f t="array" aca="1" ref="A144" ca="1">IF(ISBLANK(INDIRECT(CONCATENATE("Input!",RSE_Setup!$B$16,ROW()+1))),"",INDIRECT(CONCATENATE("Input!",RSE_Setup!$B$16,ROW()+1)))</f>
        <v>7.5000000000000002E-4</v>
      </c>
      <c r="B144" s="1" cm="1">
        <f t="array" aca="1" ref="B144" ca="1">IF(ISBLANK(INDIRECT(CONCATENATE("Input!",RSE_Setup!$B$17,ROW()+1))),"",INDIRECT(CONCATENATE("Input!",RSE_Setup!$B$17,ROW()+1)))</f>
        <v>6.0000000000000001E-3</v>
      </c>
      <c r="C144" s="1" cm="1">
        <f t="array" aca="1" ref="C144" ca="1">IF(ISBLANK(INDIRECT(CONCATENATE("Input!",RSE_Setup!$B$18,ROW()+1))),"",INDIRECT(CONCATENATE("Input!",RSE_Setup!$B$18,ROW()+1)))</f>
        <v>0.111111</v>
      </c>
      <c r="D144" s="1" cm="1">
        <f t="array" aca="1" ref="D144" ca="1">IF(ISBLANK(INDIRECT(CONCATENATE("Input!",RSE_Setup!$B$19,ROW()+1))),"",INDIRECT(CONCATENATE("Input!",RSE_Setup!$B$19,ROW()+1)))</f>
        <v>3750</v>
      </c>
      <c r="E144" s="1" cm="1">
        <f t="array" aca="1" ref="E144" ca="1">IF(ISBLANK(INDIRECT(CONCATENATE("Input!",RSE_Setup!$B$28,ROW()+1))),"",INDIRECT(CONCATENATE("Input!",RSE_Setup!$B$28,ROW()+1)))</f>
        <v>341.72748100000001</v>
      </c>
      <c r="F144" s="1">
        <f ca="1"/>
        <v>332.30312552220926</v>
      </c>
    </row>
    <row r="145" spans="1:6" x14ac:dyDescent="0.3">
      <c r="A145" s="1" cm="1">
        <f t="array" aca="1" ref="A145" ca="1">IF(ISBLANK(INDIRECT(CONCATENATE("Input!",RSE_Setup!$B$16,ROW()+1))),"",INDIRECT(CONCATENATE("Input!",RSE_Setup!$B$16,ROW()+1)))</f>
        <v>7.5000000000000002E-4</v>
      </c>
      <c r="B145" s="1" cm="1">
        <f t="array" aca="1" ref="B145" ca="1">IF(ISBLANK(INDIRECT(CONCATENATE("Input!",RSE_Setup!$B$17,ROW()+1))),"",INDIRECT(CONCATENATE("Input!",RSE_Setup!$B$17,ROW()+1)))</f>
        <v>6.0000000000000001E-3</v>
      </c>
      <c r="C145" s="1" cm="1">
        <f t="array" aca="1" ref="C145" ca="1">IF(ISBLANK(INDIRECT(CONCATENATE("Input!",RSE_Setup!$B$18,ROW()+1))),"",INDIRECT(CONCATENATE("Input!",RSE_Setup!$B$18,ROW()+1)))</f>
        <v>0.111111</v>
      </c>
      <c r="D145" s="1" cm="1">
        <f t="array" aca="1" ref="D145" ca="1">IF(ISBLANK(INDIRECT(CONCATENATE("Input!",RSE_Setup!$B$19,ROW()+1))),"",INDIRECT(CONCATENATE("Input!",RSE_Setup!$B$19,ROW()+1)))</f>
        <v>4750</v>
      </c>
      <c r="E145" s="1" cm="1">
        <f t="array" aca="1" ref="E145" ca="1">IF(ISBLANK(INDIRECT(CONCATENATE("Input!",RSE_Setup!$B$28,ROW()+1))),"",INDIRECT(CONCATENATE("Input!",RSE_Setup!$B$28,ROW()+1)))</f>
        <v>418.97887700000001</v>
      </c>
      <c r="F145" s="1">
        <f ca="1"/>
        <v>416.70952119947719</v>
      </c>
    </row>
    <row r="146" spans="1:6" x14ac:dyDescent="0.3">
      <c r="A146" s="1" cm="1">
        <f t="array" aca="1" ref="A146" ca="1">IF(ISBLANK(INDIRECT(CONCATENATE("Input!",RSE_Setup!$B$16,ROW()+1))),"",INDIRECT(CONCATENATE("Input!",RSE_Setup!$B$16,ROW()+1)))</f>
        <v>7.5000000000000002E-4</v>
      </c>
      <c r="B146" s="1" cm="1">
        <f t="array" aca="1" ref="B146" ca="1">IF(ISBLANK(INDIRECT(CONCATENATE("Input!",RSE_Setup!$B$17,ROW()+1))),"",INDIRECT(CONCATENATE("Input!",RSE_Setup!$B$17,ROW()+1)))</f>
        <v>6.0000000000000001E-3</v>
      </c>
      <c r="C146" s="1" cm="1">
        <f t="array" aca="1" ref="C146" ca="1">IF(ISBLANK(INDIRECT(CONCATENATE("Input!",RSE_Setup!$B$18,ROW()+1))),"",INDIRECT(CONCATENATE("Input!",RSE_Setup!$B$18,ROW()+1)))</f>
        <v>5.5556000000000001E-2</v>
      </c>
      <c r="D146" s="1" cm="1">
        <f t="array" aca="1" ref="D146" ca="1">IF(ISBLANK(INDIRECT(CONCATENATE("Input!",RSE_Setup!$B$19,ROW()+1))),"",INDIRECT(CONCATENATE("Input!",RSE_Setup!$B$19,ROW()+1)))</f>
        <v>5500</v>
      </c>
      <c r="E146" s="1" cm="1">
        <f t="array" aca="1" ref="E146" ca="1">IF(ISBLANK(INDIRECT(CONCATENATE("Input!",RSE_Setup!$B$28,ROW()+1))),"",INDIRECT(CONCATENATE("Input!",RSE_Setup!$B$28,ROW()+1)))</f>
        <v>474.24856399999999</v>
      </c>
      <c r="F146" s="1">
        <f ca="1"/>
        <v>471.27277078753843</v>
      </c>
    </row>
    <row r="147" spans="1:6" x14ac:dyDescent="0.3">
      <c r="A147" s="1" cm="1">
        <f t="array" aca="1" ref="A147" ca="1">IF(ISBLANK(INDIRECT(CONCATENATE("Input!",RSE_Setup!$B$16,ROW()+1))),"",INDIRECT(CONCATENATE("Input!",RSE_Setup!$B$16,ROW()+1)))</f>
        <v>7.5000000000000002E-4</v>
      </c>
      <c r="B147" s="1" cm="1">
        <f t="array" aca="1" ref="B147" ca="1">IF(ISBLANK(INDIRECT(CONCATENATE("Input!",RSE_Setup!$B$17,ROW()+1))),"",INDIRECT(CONCATENATE("Input!",RSE_Setup!$B$17,ROW()+1)))</f>
        <v>8.0000000000000002E-3</v>
      </c>
      <c r="C147" s="1" cm="1">
        <f t="array" aca="1" ref="C147" ca="1">IF(ISBLANK(INDIRECT(CONCATENATE("Input!",RSE_Setup!$B$18,ROW()+1))),"",INDIRECT(CONCATENATE("Input!",RSE_Setup!$B$18,ROW()+1)))</f>
        <v>0.111111</v>
      </c>
      <c r="D147" s="1" cm="1">
        <f t="array" aca="1" ref="D147" ca="1">IF(ISBLANK(INDIRECT(CONCATENATE("Input!",RSE_Setup!$B$19,ROW()+1))),"",INDIRECT(CONCATENATE("Input!",RSE_Setup!$B$19,ROW()+1)))</f>
        <v>4750</v>
      </c>
      <c r="E147" s="1" cm="1">
        <f t="array" aca="1" ref="E147" ca="1">IF(ISBLANK(INDIRECT(CONCATENATE("Input!",RSE_Setup!$B$28,ROW()+1))),"",INDIRECT(CONCATENATE("Input!",RSE_Setup!$B$28,ROW()+1)))</f>
        <v>536.58568300000002</v>
      </c>
      <c r="F147" s="1">
        <f ca="1"/>
        <v>534.71226529854971</v>
      </c>
    </row>
    <row r="148" spans="1:6" x14ac:dyDescent="0.3">
      <c r="A148" s="1" cm="1">
        <f t="array" aca="1" ref="A148" ca="1">IF(ISBLANK(INDIRECT(CONCATENATE("Input!",RSE_Setup!$B$16,ROW()+1))),"",INDIRECT(CONCATENATE("Input!",RSE_Setup!$B$16,ROW()+1)))</f>
        <v>7.5000000000000002E-4</v>
      </c>
      <c r="B148" s="1" cm="1">
        <f t="array" aca="1" ref="B148" ca="1">IF(ISBLANK(INDIRECT(CONCATENATE("Input!",RSE_Setup!$B$17,ROW()+1))),"",INDIRECT(CONCATENATE("Input!",RSE_Setup!$B$17,ROW()+1)))</f>
        <v>8.0000000000000002E-3</v>
      </c>
      <c r="C148" s="1" cm="1">
        <f t="array" aca="1" ref="C148" ca="1">IF(ISBLANK(INDIRECT(CONCATENATE("Input!",RSE_Setup!$B$18,ROW()+1))),"",INDIRECT(CONCATENATE("Input!",RSE_Setup!$B$18,ROW()+1)))</f>
        <v>5.5556000000000001E-2</v>
      </c>
      <c r="D148" s="1" cm="1">
        <f t="array" aca="1" ref="D148" ca="1">IF(ISBLANK(INDIRECT(CONCATENATE("Input!",RSE_Setup!$B$19,ROW()+1))),"",INDIRECT(CONCATENATE("Input!",RSE_Setup!$B$19,ROW()+1)))</f>
        <v>5500</v>
      </c>
      <c r="E148" s="1" cm="1">
        <f t="array" aca="1" ref="E148" ca="1">IF(ISBLANK(INDIRECT(CONCATENATE("Input!",RSE_Setup!$B$28,ROW()+1))),"",INDIRECT(CONCATENATE("Input!",RSE_Setup!$B$28,ROW()+1)))</f>
        <v>611.71442000000002</v>
      </c>
      <c r="F148" s="1">
        <f ca="1"/>
        <v>620.72587404429328</v>
      </c>
    </row>
    <row r="149" spans="1:6" x14ac:dyDescent="0.3">
      <c r="A149" s="1" cm="1">
        <f t="array" aca="1" ref="A149" ca="1">IF(ISBLANK(INDIRECT(CONCATENATE("Input!",RSE_Setup!$B$16,ROW()+1))),"",INDIRECT(CONCATENATE("Input!",RSE_Setup!$B$16,ROW()+1)))</f>
        <v>1E-3</v>
      </c>
      <c r="B149" s="1" cm="1">
        <f t="array" aca="1" ref="B149" ca="1">IF(ISBLANK(INDIRECT(CONCATENATE("Input!",RSE_Setup!$B$17,ROW()+1))),"",INDIRECT(CONCATENATE("Input!",RSE_Setup!$B$17,ROW()+1)))</f>
        <v>5.0000000000000001E-3</v>
      </c>
      <c r="C149" s="1" cm="1">
        <f t="array" aca="1" ref="C149" ca="1">IF(ISBLANK(INDIRECT(CONCATENATE("Input!",RSE_Setup!$B$18,ROW()+1))),"",INDIRECT(CONCATENATE("Input!",RSE_Setup!$B$18,ROW()+1)))</f>
        <v>0.13333300000000001</v>
      </c>
      <c r="D149" s="1" cm="1">
        <f t="array" aca="1" ref="D149" ca="1">IF(ISBLANK(INDIRECT(CONCATENATE("Input!",RSE_Setup!$B$19,ROW()+1))),"",INDIRECT(CONCATENATE("Input!",RSE_Setup!$B$19,ROW()+1)))</f>
        <v>4000</v>
      </c>
      <c r="E149" s="1" cm="1">
        <f t="array" aca="1" ref="E149" ca="1">IF(ISBLANK(INDIRECT(CONCATENATE("Input!",RSE_Setup!$B$28,ROW()+1))),"",INDIRECT(CONCATENATE("Input!",RSE_Setup!$B$28,ROW()+1)))</f>
        <v>314.76941699999998</v>
      </c>
      <c r="F149" s="1">
        <f ca="1"/>
        <v>316.18626357420595</v>
      </c>
    </row>
    <row r="150" spans="1:6" x14ac:dyDescent="0.3">
      <c r="A150" s="1" cm="1">
        <f t="array" aca="1" ref="A150" ca="1">IF(ISBLANK(INDIRECT(CONCATENATE("Input!",RSE_Setup!$B$16,ROW()+1))),"",INDIRECT(CONCATENATE("Input!",RSE_Setup!$B$16,ROW()+1)))</f>
        <v>1E-3</v>
      </c>
      <c r="B150" s="1" cm="1">
        <f t="array" aca="1" ref="B150" ca="1">IF(ISBLANK(INDIRECT(CONCATENATE("Input!",RSE_Setup!$B$17,ROW()+1))),"",INDIRECT(CONCATENATE("Input!",RSE_Setup!$B$17,ROW()+1)))</f>
        <v>5.0000000000000001E-3</v>
      </c>
      <c r="C150" s="1" cm="1">
        <f t="array" aca="1" ref="C150" ca="1">IF(ISBLANK(INDIRECT(CONCATENATE("Input!",RSE_Setup!$B$18,ROW()+1))),"",INDIRECT(CONCATENATE("Input!",RSE_Setup!$B$18,ROW()+1)))</f>
        <v>0.111111</v>
      </c>
      <c r="D150" s="1" cm="1">
        <f t="array" aca="1" ref="D150" ca="1">IF(ISBLANK(INDIRECT(CONCATENATE("Input!",RSE_Setup!$B$19,ROW()+1))),"",INDIRECT(CONCATENATE("Input!",RSE_Setup!$B$19,ROW()+1)))</f>
        <v>3750</v>
      </c>
      <c r="E150" s="1" cm="1">
        <f t="array" aca="1" ref="E150" ca="1">IF(ISBLANK(INDIRECT(CONCATENATE("Input!",RSE_Setup!$B$28,ROW()+1))),"",INDIRECT(CONCATENATE("Input!",RSE_Setup!$B$28,ROW()+1)))</f>
        <v>294.76227899999998</v>
      </c>
      <c r="F150" s="1">
        <f ca="1"/>
        <v>287.51533938703517</v>
      </c>
    </row>
    <row r="151" spans="1:6" x14ac:dyDescent="0.3">
      <c r="A151" s="1" cm="1">
        <f t="array" aca="1" ref="A151" ca="1">IF(ISBLANK(INDIRECT(CONCATENATE("Input!",RSE_Setup!$B$16,ROW()+1))),"",INDIRECT(CONCATENATE("Input!",RSE_Setup!$B$16,ROW()+1)))</f>
        <v>1E-3</v>
      </c>
      <c r="B151" s="1" cm="1">
        <f t="array" aca="1" ref="B151" ca="1">IF(ISBLANK(INDIRECT(CONCATENATE("Input!",RSE_Setup!$B$17,ROW()+1))),"",INDIRECT(CONCATENATE("Input!",RSE_Setup!$B$17,ROW()+1)))</f>
        <v>5.0000000000000001E-3</v>
      </c>
      <c r="C151" s="1" cm="1">
        <f t="array" aca="1" ref="C151" ca="1">IF(ISBLANK(INDIRECT(CONCATENATE("Input!",RSE_Setup!$B$18,ROW()+1))),"",INDIRECT(CONCATENATE("Input!",RSE_Setup!$B$18,ROW()+1)))</f>
        <v>0.111111</v>
      </c>
      <c r="D151" s="1" cm="1">
        <f t="array" aca="1" ref="D151" ca="1">IF(ISBLANK(INDIRECT(CONCATENATE("Input!",RSE_Setup!$B$19,ROW()+1))),"",INDIRECT(CONCATENATE("Input!",RSE_Setup!$B$19,ROW()+1)))</f>
        <v>4750</v>
      </c>
      <c r="E151" s="1" cm="1">
        <f t="array" aca="1" ref="E151" ca="1">IF(ISBLANK(INDIRECT(CONCATENATE("Input!",RSE_Setup!$B$28,ROW()+1))),"",INDIRECT(CONCATENATE("Input!",RSE_Setup!$B$28,ROW()+1)))</f>
        <v>357.04092300000002</v>
      </c>
      <c r="F151" s="1">
        <f ca="1"/>
        <v>357.08143621347517</v>
      </c>
    </row>
    <row r="152" spans="1:6" x14ac:dyDescent="0.3">
      <c r="A152" s="1" cm="1">
        <f t="array" aca="1" ref="A152" ca="1">IF(ISBLANK(INDIRECT(CONCATENATE("Input!",RSE_Setup!$B$16,ROW()+1))),"",INDIRECT(CONCATENATE("Input!",RSE_Setup!$B$16,ROW()+1)))</f>
        <v>1E-3</v>
      </c>
      <c r="B152" s="1" cm="1">
        <f t="array" aca="1" ref="B152" ca="1">IF(ISBLANK(INDIRECT(CONCATENATE("Input!",RSE_Setup!$B$17,ROW()+1))),"",INDIRECT(CONCATENATE("Input!",RSE_Setup!$B$17,ROW()+1)))</f>
        <v>5.0000000000000001E-3</v>
      </c>
      <c r="C152" s="1" cm="1">
        <f t="array" aca="1" ref="C152" ca="1">IF(ISBLANK(INDIRECT(CONCATENATE("Input!",RSE_Setup!$B$18,ROW()+1))),"",INDIRECT(CONCATENATE("Input!",RSE_Setup!$B$18,ROW()+1)))</f>
        <v>5.5556000000000001E-2</v>
      </c>
      <c r="D152" s="1" cm="1">
        <f t="array" aca="1" ref="D152" ca="1">IF(ISBLANK(INDIRECT(CONCATENATE("Input!",RSE_Setup!$B$19,ROW()+1))),"",INDIRECT(CONCATENATE("Input!",RSE_Setup!$B$19,ROW()+1)))</f>
        <v>5500</v>
      </c>
      <c r="E152" s="1" cm="1">
        <f t="array" aca="1" ref="E152" ca="1">IF(ISBLANK(INDIRECT(CONCATENATE("Input!",RSE_Setup!$B$28,ROW()+1))),"",INDIRECT(CONCATENATE("Input!",RSE_Setup!$B$28,ROW()+1)))</f>
        <v>398.50573300000002</v>
      </c>
      <c r="F152" s="1">
        <f ca="1"/>
        <v>394.08290287421994</v>
      </c>
    </row>
    <row r="153" spans="1:6" x14ac:dyDescent="0.3">
      <c r="A153" s="1" cm="1">
        <f t="array" aca="1" ref="A153" ca="1">IF(ISBLANK(INDIRECT(CONCATENATE("Input!",RSE_Setup!$B$16,ROW()+1))),"",INDIRECT(CONCATENATE("Input!",RSE_Setup!$B$16,ROW()+1)))</f>
        <v>1E-3</v>
      </c>
      <c r="B153" s="1" cm="1">
        <f t="array" aca="1" ref="B153" ca="1">IF(ISBLANK(INDIRECT(CONCATENATE("Input!",RSE_Setup!$B$17,ROW()+1))),"",INDIRECT(CONCATENATE("Input!",RSE_Setup!$B$17,ROW()+1)))</f>
        <v>6.4999999999999997E-3</v>
      </c>
      <c r="C153" s="1" cm="1">
        <f t="array" aca="1" ref="C153" ca="1">IF(ISBLANK(INDIRECT(CONCATENATE("Input!",RSE_Setup!$B$18,ROW()+1))),"",INDIRECT(CONCATENATE("Input!",RSE_Setup!$B$18,ROW()+1)))</f>
        <v>0.13333300000000001</v>
      </c>
      <c r="D153" s="1" cm="1">
        <f t="array" aca="1" ref="D153" ca="1">IF(ISBLANK(INDIRECT(CONCATENATE("Input!",RSE_Setup!$B$19,ROW()+1))),"",INDIRECT(CONCATENATE("Input!",RSE_Setup!$B$19,ROW()+1)))</f>
        <v>4000</v>
      </c>
      <c r="E153" s="1" cm="1">
        <f t="array" aca="1" ref="E153" ca="1">IF(ISBLANK(INDIRECT(CONCATENATE("Input!",RSE_Setup!$B$28,ROW()+1))),"",INDIRECT(CONCATENATE("Input!",RSE_Setup!$B$28,ROW()+1)))</f>
        <v>377.583777</v>
      </c>
      <c r="F153" s="1">
        <f ca="1"/>
        <v>377.29073070257124</v>
      </c>
    </row>
    <row r="154" spans="1:6" x14ac:dyDescent="0.3">
      <c r="A154" s="1" cm="1">
        <f t="array" aca="1" ref="A154" ca="1">IF(ISBLANK(INDIRECT(CONCATENATE("Input!",RSE_Setup!$B$16,ROW()+1))),"",INDIRECT(CONCATENATE("Input!",RSE_Setup!$B$16,ROW()+1)))</f>
        <v>1E-3</v>
      </c>
      <c r="B154" s="1" cm="1">
        <f t="array" aca="1" ref="B154" ca="1">IF(ISBLANK(INDIRECT(CONCATENATE("Input!",RSE_Setup!$B$17,ROW()+1))),"",INDIRECT(CONCATENATE("Input!",RSE_Setup!$B$17,ROW()+1)))</f>
        <v>6.4999999999999997E-3</v>
      </c>
      <c r="C154" s="1" cm="1">
        <f t="array" aca="1" ref="C154" ca="1">IF(ISBLANK(INDIRECT(CONCATENATE("Input!",RSE_Setup!$B$18,ROW()+1))),"",INDIRECT(CONCATENATE("Input!",RSE_Setup!$B$18,ROW()+1)))</f>
        <v>0.111111</v>
      </c>
      <c r="D154" s="1" cm="1">
        <f t="array" aca="1" ref="D154" ca="1">IF(ISBLANK(INDIRECT(CONCATENATE("Input!",RSE_Setup!$B$19,ROW()+1))),"",INDIRECT(CONCATENATE("Input!",RSE_Setup!$B$19,ROW()+1)))</f>
        <v>3750</v>
      </c>
      <c r="E154" s="1" cm="1">
        <f t="array" aca="1" ref="E154" ca="1">IF(ISBLANK(INDIRECT(CONCATENATE("Input!",RSE_Setup!$B$28,ROW()+1))),"",INDIRECT(CONCATENATE("Input!",RSE_Setup!$B$28,ROW()+1)))</f>
        <v>355.618786</v>
      </c>
      <c r="F154" s="1">
        <f ca="1"/>
        <v>347.59110375179699</v>
      </c>
    </row>
    <row r="155" spans="1:6" x14ac:dyDescent="0.3">
      <c r="A155" s="1" cm="1">
        <f t="array" aca="1" ref="A155" ca="1">IF(ISBLANK(INDIRECT(CONCATENATE("Input!",RSE_Setup!$B$16,ROW()+1))),"",INDIRECT(CONCATENATE("Input!",RSE_Setup!$B$16,ROW()+1)))</f>
        <v>1E-3</v>
      </c>
      <c r="B155" s="1" cm="1">
        <f t="array" aca="1" ref="B155" ca="1">IF(ISBLANK(INDIRECT(CONCATENATE("Input!",RSE_Setup!$B$17,ROW()+1))),"",INDIRECT(CONCATENATE("Input!",RSE_Setup!$B$17,ROW()+1)))</f>
        <v>6.4999999999999997E-3</v>
      </c>
      <c r="C155" s="1" cm="1">
        <f t="array" aca="1" ref="C155" ca="1">IF(ISBLANK(INDIRECT(CONCATENATE("Input!",RSE_Setup!$B$18,ROW()+1))),"",INDIRECT(CONCATENATE("Input!",RSE_Setup!$B$18,ROW()+1)))</f>
        <v>0.111111</v>
      </c>
      <c r="D155" s="1" cm="1">
        <f t="array" aca="1" ref="D155" ca="1">IF(ISBLANK(INDIRECT(CONCATENATE("Input!",RSE_Setup!$B$19,ROW()+1))),"",INDIRECT(CONCATENATE("Input!",RSE_Setup!$B$19,ROW()+1)))</f>
        <v>4750</v>
      </c>
      <c r="E155" s="1" cm="1">
        <f t="array" aca="1" ref="E155" ca="1">IF(ISBLANK(INDIRECT(CONCATENATE("Input!",RSE_Setup!$B$28,ROW()+1))),"",INDIRECT(CONCATENATE("Input!",RSE_Setup!$B$28,ROW()+1)))</f>
        <v>436.89670699999999</v>
      </c>
      <c r="F155" s="1">
        <f ca="1"/>
        <v>436.18231059806982</v>
      </c>
    </row>
    <row r="156" spans="1:6" x14ac:dyDescent="0.3">
      <c r="A156" s="1" cm="1">
        <f t="array" aca="1" ref="A156" ca="1">IF(ISBLANK(INDIRECT(CONCATENATE("Input!",RSE_Setup!$B$16,ROW()+1))),"",INDIRECT(CONCATENATE("Input!",RSE_Setup!$B$16,ROW()+1)))</f>
        <v>1E-3</v>
      </c>
      <c r="B156" s="1" cm="1">
        <f t="array" aca="1" ref="B156" ca="1">IF(ISBLANK(INDIRECT(CONCATENATE("Input!",RSE_Setup!$B$17,ROW()+1))),"",INDIRECT(CONCATENATE("Input!",RSE_Setup!$B$17,ROW()+1)))</f>
        <v>6.4999999999999997E-3</v>
      </c>
      <c r="C156" s="1" cm="1">
        <f t="array" aca="1" ref="C156" ca="1">IF(ISBLANK(INDIRECT(CONCATENATE("Input!",RSE_Setup!$B$18,ROW()+1))),"",INDIRECT(CONCATENATE("Input!",RSE_Setup!$B$18,ROW()+1)))</f>
        <v>5.5556000000000001E-2</v>
      </c>
      <c r="D156" s="1" cm="1">
        <f t="array" aca="1" ref="D156" ca="1">IF(ISBLANK(INDIRECT(CONCATENATE("Input!",RSE_Setup!$B$19,ROW()+1))),"",INDIRECT(CONCATENATE("Input!",RSE_Setup!$B$19,ROW()+1)))</f>
        <v>5500</v>
      </c>
      <c r="E156" s="1" cm="1">
        <f t="array" aca="1" ref="E156" ca="1">IF(ISBLANK(INDIRECT(CONCATENATE("Input!",RSE_Setup!$B$28,ROW()+1))),"",INDIRECT(CONCATENATE("Input!",RSE_Setup!$B$28,ROW()+1)))</f>
        <v>498.44593099999997</v>
      </c>
      <c r="F156" s="1">
        <f ca="1"/>
        <v>496.77154662707642</v>
      </c>
    </row>
    <row r="157" spans="1:6" x14ac:dyDescent="0.3">
      <c r="A157" s="1" cm="1">
        <f t="array" aca="1" ref="A157" ca="1">IF(ISBLANK(INDIRECT(CONCATENATE("Input!",RSE_Setup!$B$16,ROW()+1))),"",INDIRECT(CONCATENATE("Input!",RSE_Setup!$B$16,ROW()+1)))</f>
        <v>1E-3</v>
      </c>
      <c r="B157" s="1" cm="1">
        <f t="array" aca="1" ref="B157" ca="1">IF(ISBLANK(INDIRECT(CONCATENATE("Input!",RSE_Setup!$B$17,ROW()+1))),"",INDIRECT(CONCATENATE("Input!",RSE_Setup!$B$17,ROW()+1)))</f>
        <v>8.0000000000000002E-3</v>
      </c>
      <c r="C157" s="1" cm="1">
        <f t="array" aca="1" ref="C157" ca="1">IF(ISBLANK(INDIRECT(CONCATENATE("Input!",RSE_Setup!$B$18,ROW()+1))),"",INDIRECT(CONCATENATE("Input!",RSE_Setup!$B$18,ROW()+1)))</f>
        <v>0.111111</v>
      </c>
      <c r="D157" s="1" cm="1">
        <f t="array" aca="1" ref="D157" ca="1">IF(ISBLANK(INDIRECT(CONCATENATE("Input!",RSE_Setup!$B$19,ROW()+1))),"",INDIRECT(CONCATENATE("Input!",RSE_Setup!$B$19,ROW()+1)))</f>
        <v>4750</v>
      </c>
      <c r="E157" s="1" cm="1">
        <f t="array" aca="1" ref="E157" ca="1">IF(ISBLANK(INDIRECT(CONCATENATE("Input!",RSE_Setup!$B$28,ROW()+1))),"",INDIRECT(CONCATENATE("Input!",RSE_Setup!$B$28,ROW()+1)))</f>
        <v>527.53734399999996</v>
      </c>
      <c r="F157" s="1">
        <f ca="1"/>
        <v>525.49130404067353</v>
      </c>
    </row>
    <row r="158" spans="1:6" x14ac:dyDescent="0.3">
      <c r="A158" s="1" cm="1">
        <f t="array" aca="1" ref="A158" ca="1">IF(ISBLANK(INDIRECT(CONCATENATE("Input!",RSE_Setup!$B$16,ROW()+1))),"",INDIRECT(CONCATENATE("Input!",RSE_Setup!$B$16,ROW()+1)))</f>
        <v>1E-3</v>
      </c>
      <c r="B158" s="1" cm="1">
        <f t="array" aca="1" ref="B158" ca="1">IF(ISBLANK(INDIRECT(CONCATENATE("Input!",RSE_Setup!$B$17,ROW()+1))),"",INDIRECT(CONCATENATE("Input!",RSE_Setup!$B$17,ROW()+1)))</f>
        <v>8.0000000000000002E-3</v>
      </c>
      <c r="C158" s="1" cm="1">
        <f t="array" aca="1" ref="C158" ca="1">IF(ISBLANK(INDIRECT(CONCATENATE("Input!",RSE_Setup!$B$18,ROW()+1))),"",INDIRECT(CONCATENATE("Input!",RSE_Setup!$B$18,ROW()+1)))</f>
        <v>5.5556000000000001E-2</v>
      </c>
      <c r="D158" s="1" cm="1">
        <f t="array" aca="1" ref="D158" ca="1">IF(ISBLANK(INDIRECT(CONCATENATE("Input!",RSE_Setup!$B$19,ROW()+1))),"",INDIRECT(CONCATENATE("Input!",RSE_Setup!$B$19,ROW()+1)))</f>
        <v>5500</v>
      </c>
      <c r="E158" s="1" cm="1">
        <f t="array" aca="1" ref="E158" ca="1">IF(ISBLANK(INDIRECT(CONCATENATE("Input!",RSE_Setup!$B$28,ROW()+1))),"",INDIRECT(CONCATENATE("Input!",RSE_Setup!$B$28,ROW()+1)))</f>
        <v>601.19556299999999</v>
      </c>
      <c r="F158" s="1">
        <f ca="1"/>
        <v>609.66830943794162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5550E-F8FE-4A2E-8FD8-AD9FA2D54A16}">
  <sheetPr codeName="Sheet9"/>
  <dimension ref="A1:G158"/>
  <sheetViews>
    <sheetView workbookViewId="0"/>
  </sheetViews>
  <sheetFormatPr defaultRowHeight="14.4" x14ac:dyDescent="0.3"/>
  <cols>
    <col min="1" max="2" width="8" style="1" bestFit="1" customWidth="1"/>
    <col min="3" max="3" width="9" style="1" bestFit="1" customWidth="1"/>
    <col min="4" max="4" width="6" style="1" bestFit="1" customWidth="1"/>
    <col min="5" max="5" width="12" style="1" bestFit="1" customWidth="1"/>
    <col min="6" max="6" width="15.77734375" style="1" bestFit="1" customWidth="1"/>
  </cols>
  <sheetData>
    <row r="1" spans="1:7" x14ac:dyDescent="0.3">
      <c r="A1" s="1" t="s">
        <v>32</v>
      </c>
      <c r="B1" s="1" t="s">
        <v>33</v>
      </c>
      <c r="C1" s="1" t="s">
        <v>34</v>
      </c>
      <c r="D1" s="1" t="s">
        <v>35</v>
      </c>
      <c r="E1" s="1" t="s">
        <v>37</v>
      </c>
      <c r="F1" s="1" t="s">
        <v>299</v>
      </c>
      <c r="G1" t="s">
        <v>16</v>
      </c>
    </row>
    <row r="2" spans="1:7" x14ac:dyDescent="0.3">
      <c r="A2" s="1" cm="1">
        <f t="array" aca="1" ref="A2" ca="1">IF(ISBLANK(INDIRECT(CONCATENATE("Input!",RSE_Setup!$B$16,ROW()+1))),"",INDIRECT(CONCATENATE("Input!",RSE_Setup!$B$16,ROW()+1)))</f>
        <v>5.0000000000000001E-4</v>
      </c>
      <c r="B2" s="1" cm="1">
        <f t="array" aca="1" ref="B2" ca="1">IF(ISBLANK(INDIRECT(CONCATENATE("Input!",RSE_Setup!$B$17,ROW()+1))),"",INDIRECT(CONCATENATE("Input!",RSE_Setup!$B$17,ROW()+1)))</f>
        <v>3.0000000000000001E-3</v>
      </c>
      <c r="C2" s="1" cm="1">
        <f t="array" aca="1" ref="C2" ca="1">IF(ISBLANK(INDIRECT(CONCATENATE("Input!",RSE_Setup!$B$18,ROW()+1))),"",INDIRECT(CONCATENATE("Input!",RSE_Setup!$B$18,ROW()+1)))</f>
        <v>3.2258000000000002E-2</v>
      </c>
      <c r="D2" s="1" cm="1">
        <f t="array" aca="1" ref="D2" ca="1">IF(ISBLANK(INDIRECT(CONCATENATE("Input!",RSE_Setup!$B$19,ROW()+1))),"",INDIRECT(CONCATENATE("Input!",RSE_Setup!$B$19,ROW()+1)))</f>
        <v>3250</v>
      </c>
      <c r="E2" s="1" cm="1">
        <f t="array" aca="1" ref="E2" ca="1">IF(ISBLANK(INDIRECT(CONCATENATE("Input!",RSE_Setup!$B$29,ROW()+1))),"",INDIRECT(CONCATENATE("Input!",RSE_Setup!$B$29,ROW()+1)))</f>
        <v>1.4</v>
      </c>
      <c r="F2" s="1" cm="1">
        <f t="array" aca="1" ref="F2:F158" ca="1">(0.006649467508949 + 0 * 1 + 237.681754647702 * RLHP20 + -5.13493394737822 * RLHP60 + 1.68563434362442 * HP_ETW + -0.0000389690330718506 * ETW + -91134.2245357607 * RLHP20^2 + -2148.8158950392 * RLHP20 * RLHP60 + -43.9183631801513 * RLHP20 * HP_ETW + -0.0167732503379815 * RLHP20 * ETW + 543.227108761018 * RLHP60^2 + 51.8010625168731 * RLHP60 * HP_ETW + -0.000263414310628155 * RLHP60 * ETW + -11.4932171041341 * HP_ETW^2 + 0.0131472539226722 * HP_ETW * ETW + 3.833065420622E-09 * ETW^2)</f>
        <v>1.3980389961099977</v>
      </c>
      <c r="G2" t="s">
        <v>308</v>
      </c>
    </row>
    <row r="3" spans="1:7" x14ac:dyDescent="0.3">
      <c r="A3" s="1" cm="1">
        <f t="array" aca="1" ref="A3" ca="1">IF(ISBLANK(INDIRECT(CONCATENATE("Input!",RSE_Setup!$B$16,ROW()+1))),"",INDIRECT(CONCATENATE("Input!",RSE_Setup!$B$16,ROW()+1)))</f>
        <v>5.0000000000000001E-4</v>
      </c>
      <c r="B3" s="1" cm="1">
        <f t="array" aca="1" ref="B3" ca="1">IF(ISBLANK(INDIRECT(CONCATENATE("Input!",RSE_Setup!$B$17,ROW()+1))),"",INDIRECT(CONCATENATE("Input!",RSE_Setup!$B$17,ROW()+1)))</f>
        <v>3.0000000000000001E-3</v>
      </c>
      <c r="C3" s="1" cm="1">
        <f t="array" aca="1" ref="C3" ca="1">IF(ISBLANK(INDIRECT(CONCATENATE("Input!",RSE_Setup!$B$18,ROW()+1))),"",INDIRECT(CONCATENATE("Input!",RSE_Setup!$B$18,ROW()+1)))</f>
        <v>3.2258000000000002E-2</v>
      </c>
      <c r="D3" s="1" cm="1">
        <f t="array" aca="1" ref="D3" ca="1">IF(ISBLANK(INDIRECT(CONCATENATE("Input!",RSE_Setup!$B$19,ROW()+1))),"",INDIRECT(CONCATENATE("Input!",RSE_Setup!$B$19,ROW()+1)))</f>
        <v>4250</v>
      </c>
      <c r="E3" s="1" cm="1">
        <f t="array" aca="1" ref="E3" ca="1">IF(ISBLANK(INDIRECT(CONCATENATE("Input!",RSE_Setup!$B$29,ROW()+1))),"",INDIRECT(CONCATENATE("Input!",RSE_Setup!$B$29,ROW()+1)))</f>
        <v>1.8</v>
      </c>
      <c r="F3" s="1">
        <f ca="1"/>
        <v>1.8027452026294966</v>
      </c>
    </row>
    <row r="4" spans="1:7" x14ac:dyDescent="0.3">
      <c r="A4" s="1" cm="1">
        <f t="array" aca="1" ref="A4" ca="1">IF(ISBLANK(INDIRECT(CONCATENATE("Input!",RSE_Setup!$B$16,ROW()+1))),"",INDIRECT(CONCATENATE("Input!",RSE_Setup!$B$16,ROW()+1)))</f>
        <v>5.0000000000000001E-4</v>
      </c>
      <c r="B4" s="1" cm="1">
        <f t="array" aca="1" ref="B4" ca="1">IF(ISBLANK(INDIRECT(CONCATENATE("Input!",RSE_Setup!$B$17,ROW()+1))),"",INDIRECT(CONCATENATE("Input!",RSE_Setup!$B$17,ROW()+1)))</f>
        <v>4.7499999999999999E-3</v>
      </c>
      <c r="C4" s="1" cm="1">
        <f t="array" aca="1" ref="C4" ca="1">IF(ISBLANK(INDIRECT(CONCATENATE("Input!",RSE_Setup!$B$18,ROW()+1))),"",INDIRECT(CONCATENATE("Input!",RSE_Setup!$B$18,ROW()+1)))</f>
        <v>3.2258000000000002E-2</v>
      </c>
      <c r="D4" s="1" cm="1">
        <f t="array" aca="1" ref="D4" ca="1">IF(ISBLANK(INDIRECT(CONCATENATE("Input!",RSE_Setup!$B$19,ROW()+1))),"",INDIRECT(CONCATENATE("Input!",RSE_Setup!$B$19,ROW()+1)))</f>
        <v>3250</v>
      </c>
      <c r="E4" s="1" cm="1">
        <f t="array" aca="1" ref="E4" ca="1">IF(ISBLANK(INDIRECT(CONCATENATE("Input!",RSE_Setup!$B$29,ROW()+1))),"",INDIRECT(CONCATENATE("Input!",RSE_Setup!$B$29,ROW()+1)))</f>
        <v>1.4</v>
      </c>
      <c r="F4" s="1">
        <f ca="1"/>
        <v>1.3959662442454714</v>
      </c>
    </row>
    <row r="5" spans="1:7" x14ac:dyDescent="0.3">
      <c r="A5" s="1" cm="1">
        <f t="array" aca="1" ref="A5" ca="1">IF(ISBLANK(INDIRECT(CONCATENATE("Input!",RSE_Setup!$B$16,ROW()+1))),"",INDIRECT(CONCATENATE("Input!",RSE_Setup!$B$16,ROW()+1)))</f>
        <v>5.0000000000000001E-4</v>
      </c>
      <c r="B5" s="1" cm="1">
        <f t="array" aca="1" ref="B5" ca="1">IF(ISBLANK(INDIRECT(CONCATENATE("Input!",RSE_Setup!$B$17,ROW()+1))),"",INDIRECT(CONCATENATE("Input!",RSE_Setup!$B$17,ROW()+1)))</f>
        <v>4.7499999999999999E-3</v>
      </c>
      <c r="C5" s="1" cm="1">
        <f t="array" aca="1" ref="C5" ca="1">IF(ISBLANK(INDIRECT(CONCATENATE("Input!",RSE_Setup!$B$18,ROW()+1))),"",INDIRECT(CONCATENATE("Input!",RSE_Setup!$B$18,ROW()+1)))</f>
        <v>3.2258000000000002E-2</v>
      </c>
      <c r="D5" s="1" cm="1">
        <f t="array" aca="1" ref="D5" ca="1">IF(ISBLANK(INDIRECT(CONCATENATE("Input!",RSE_Setup!$B$19,ROW()+1))),"",INDIRECT(CONCATENATE("Input!",RSE_Setup!$B$19,ROW()+1)))</f>
        <v>4250</v>
      </c>
      <c r="E5" s="1" cm="1">
        <f t="array" aca="1" ref="E5" ca="1">IF(ISBLANK(INDIRECT(CONCATENATE("Input!",RSE_Setup!$B$29,ROW()+1))),"",INDIRECT(CONCATENATE("Input!",RSE_Setup!$B$29,ROW()+1)))</f>
        <v>1.8</v>
      </c>
      <c r="F5" s="1">
        <f ca="1"/>
        <v>1.8002114757213712</v>
      </c>
    </row>
    <row r="6" spans="1:7" x14ac:dyDescent="0.3">
      <c r="A6" s="1" cm="1">
        <f t="array" aca="1" ref="A6" ca="1">IF(ISBLANK(INDIRECT(CONCATENATE("Input!",RSE_Setup!$B$16,ROW()+1))),"",INDIRECT(CONCATENATE("Input!",RSE_Setup!$B$16,ROW()+1)))</f>
        <v>5.0000000000000001E-4</v>
      </c>
      <c r="B6" s="1" cm="1">
        <f t="array" aca="1" ref="B6" ca="1">IF(ISBLANK(INDIRECT(CONCATENATE("Input!",RSE_Setup!$B$17,ROW()+1))),"",INDIRECT(CONCATENATE("Input!",RSE_Setup!$B$17,ROW()+1)))</f>
        <v>6.4999999999999997E-3</v>
      </c>
      <c r="C6" s="1" cm="1">
        <f t="array" aca="1" ref="C6" ca="1">IF(ISBLANK(INDIRECT(CONCATENATE("Input!",RSE_Setup!$B$18,ROW()+1))),"",INDIRECT(CONCATENATE("Input!",RSE_Setup!$B$18,ROW()+1)))</f>
        <v>3.2258000000000002E-2</v>
      </c>
      <c r="D6" s="1" cm="1">
        <f t="array" aca="1" ref="D6" ca="1">IF(ISBLANK(INDIRECT(CONCATENATE("Input!",RSE_Setup!$B$19,ROW()+1))),"",INDIRECT(CONCATENATE("Input!",RSE_Setup!$B$19,ROW()+1)))</f>
        <v>3250</v>
      </c>
      <c r="E6" s="1" cm="1">
        <f t="array" aca="1" ref="E6" ca="1">IF(ISBLANK(INDIRECT(CONCATENATE("Input!",RSE_Setup!$B$29,ROW()+1))),"",INDIRECT(CONCATENATE("Input!",RSE_Setup!$B$29,ROW()+1)))</f>
        <v>1.4</v>
      </c>
      <c r="F6" s="1">
        <f ca="1"/>
        <v>1.3972207584221064</v>
      </c>
    </row>
    <row r="7" spans="1:7" x14ac:dyDescent="0.3">
      <c r="A7" s="1" cm="1">
        <f t="array" aca="1" ref="A7" ca="1">IF(ISBLANK(INDIRECT(CONCATENATE("Input!",RSE_Setup!$B$16,ROW()+1))),"",INDIRECT(CONCATENATE("Input!",RSE_Setup!$B$16,ROW()+1)))</f>
        <v>5.0000000000000001E-4</v>
      </c>
      <c r="B7" s="1" cm="1">
        <f t="array" aca="1" ref="B7" ca="1">IF(ISBLANK(INDIRECT(CONCATENATE("Input!",RSE_Setup!$B$17,ROW()+1))),"",INDIRECT(CONCATENATE("Input!",RSE_Setup!$B$17,ROW()+1)))</f>
        <v>6.4999999999999997E-3</v>
      </c>
      <c r="C7" s="1" cm="1">
        <f t="array" aca="1" ref="C7" ca="1">IF(ISBLANK(INDIRECT(CONCATENATE("Input!",RSE_Setup!$B$18,ROW()+1))),"",INDIRECT(CONCATENATE("Input!",RSE_Setup!$B$18,ROW()+1)))</f>
        <v>3.2258000000000002E-2</v>
      </c>
      <c r="D7" s="1" cm="1">
        <f t="array" aca="1" ref="D7" ca="1">IF(ISBLANK(INDIRECT(CONCATENATE("Input!",RSE_Setup!$B$19,ROW()+1))),"",INDIRECT(CONCATENATE("Input!",RSE_Setup!$B$19,ROW()+1)))</f>
        <v>4250</v>
      </c>
      <c r="E7" s="1" cm="1">
        <f t="array" aca="1" ref="E7" ca="1">IF(ISBLANK(INDIRECT(CONCATENATE("Input!",RSE_Setup!$B$29,ROW()+1))),"",INDIRECT(CONCATENATE("Input!",RSE_Setup!$B$29,ROW()+1)))</f>
        <v>1.8</v>
      </c>
      <c r="F7" s="1">
        <f ca="1"/>
        <v>1.801005014854407</v>
      </c>
    </row>
    <row r="8" spans="1:7" x14ac:dyDescent="0.3">
      <c r="A8" s="1" cm="1">
        <f t="array" aca="1" ref="A8" ca="1">IF(ISBLANK(INDIRECT(CONCATENATE("Input!",RSE_Setup!$B$16,ROW()+1))),"",INDIRECT(CONCATENATE("Input!",RSE_Setup!$B$16,ROW()+1)))</f>
        <v>7.5000000000000002E-4</v>
      </c>
      <c r="B8" s="1" cm="1">
        <f t="array" aca="1" ref="B8" ca="1">IF(ISBLANK(INDIRECT(CONCATENATE("Input!",RSE_Setup!$B$17,ROW()+1))),"",INDIRECT(CONCATENATE("Input!",RSE_Setup!$B$17,ROW()+1)))</f>
        <v>4.0000000000000001E-3</v>
      </c>
      <c r="C8" s="1" cm="1">
        <f t="array" aca="1" ref="C8" ca="1">IF(ISBLANK(INDIRECT(CONCATENATE("Input!",RSE_Setup!$B$18,ROW()+1))),"",INDIRECT(CONCATENATE("Input!",RSE_Setup!$B$18,ROW()+1)))</f>
        <v>3.2258000000000002E-2</v>
      </c>
      <c r="D8" s="1" cm="1">
        <f t="array" aca="1" ref="D8" ca="1">IF(ISBLANK(INDIRECT(CONCATENATE("Input!",RSE_Setup!$B$19,ROW()+1))),"",INDIRECT(CONCATENATE("Input!",RSE_Setup!$B$19,ROW()+1)))</f>
        <v>3250</v>
      </c>
      <c r="E8" s="1" cm="1">
        <f t="array" aca="1" ref="E8" ca="1">IF(ISBLANK(INDIRECT(CONCATENATE("Input!",RSE_Setup!$B$29,ROW()+1))),"",INDIRECT(CONCATENATE("Input!",RSE_Setup!$B$29,ROW()+1)))</f>
        <v>1.4</v>
      </c>
      <c r="F8" s="1">
        <f ca="1"/>
        <v>1.4112568782015396</v>
      </c>
    </row>
    <row r="9" spans="1:7" x14ac:dyDescent="0.3">
      <c r="A9" s="1" cm="1">
        <f t="array" aca="1" ref="A9" ca="1">IF(ISBLANK(INDIRECT(CONCATENATE("Input!",RSE_Setup!$B$16,ROW()+1))),"",INDIRECT(CONCATENATE("Input!",RSE_Setup!$B$16,ROW()+1)))</f>
        <v>7.5000000000000002E-4</v>
      </c>
      <c r="B9" s="1" cm="1">
        <f t="array" aca="1" ref="B9" ca="1">IF(ISBLANK(INDIRECT(CONCATENATE("Input!",RSE_Setup!$B$17,ROW()+1))),"",INDIRECT(CONCATENATE("Input!",RSE_Setup!$B$17,ROW()+1)))</f>
        <v>4.0000000000000001E-3</v>
      </c>
      <c r="C9" s="1" cm="1">
        <f t="array" aca="1" ref="C9" ca="1">IF(ISBLANK(INDIRECT(CONCATENATE("Input!",RSE_Setup!$B$18,ROW()+1))),"",INDIRECT(CONCATENATE("Input!",RSE_Setup!$B$18,ROW()+1)))</f>
        <v>3.2258000000000002E-2</v>
      </c>
      <c r="D9" s="1" cm="1">
        <f t="array" aca="1" ref="D9" ca="1">IF(ISBLANK(INDIRECT(CONCATENATE("Input!",RSE_Setup!$B$19,ROW()+1))),"",INDIRECT(CONCATENATE("Input!",RSE_Setup!$B$19,ROW()+1)))</f>
        <v>4250</v>
      </c>
      <c r="E9" s="1" cm="1">
        <f t="array" aca="1" ref="E9" ca="1">IF(ISBLANK(INDIRECT(CONCATENATE("Input!",RSE_Setup!$B$29,ROW()+1))),"",INDIRECT(CONCATENATE("Input!",RSE_Setup!$B$29,ROW()+1)))</f>
        <v>1.8</v>
      </c>
      <c r="F9" s="1">
        <f ca="1"/>
        <v>1.8115063578259152</v>
      </c>
    </row>
    <row r="10" spans="1:7" x14ac:dyDescent="0.3">
      <c r="A10" s="1" cm="1">
        <f t="array" aca="1" ref="A10" ca="1">IF(ISBLANK(INDIRECT(CONCATENATE("Input!",RSE_Setup!$B$16,ROW()+1))),"",INDIRECT(CONCATENATE("Input!",RSE_Setup!$B$16,ROW()+1)))</f>
        <v>7.5000000000000002E-4</v>
      </c>
      <c r="B10" s="1" cm="1">
        <f t="array" aca="1" ref="B10" ca="1">IF(ISBLANK(INDIRECT(CONCATENATE("Input!",RSE_Setup!$B$17,ROW()+1))),"",INDIRECT(CONCATENATE("Input!",RSE_Setup!$B$17,ROW()+1)))</f>
        <v>6.0000000000000001E-3</v>
      </c>
      <c r="C10" s="1" cm="1">
        <f t="array" aca="1" ref="C10" ca="1">IF(ISBLANK(INDIRECT(CONCATENATE("Input!",RSE_Setup!$B$18,ROW()+1))),"",INDIRECT(CONCATENATE("Input!",RSE_Setup!$B$18,ROW()+1)))</f>
        <v>3.2258000000000002E-2</v>
      </c>
      <c r="D10" s="1" cm="1">
        <f t="array" aca="1" ref="D10" ca="1">IF(ISBLANK(INDIRECT(CONCATENATE("Input!",RSE_Setup!$B$19,ROW()+1))),"",INDIRECT(CONCATENATE("Input!",RSE_Setup!$B$19,ROW()+1)))</f>
        <v>3250</v>
      </c>
      <c r="E10" s="1" cm="1">
        <f t="array" aca="1" ref="E10" ca="1">IF(ISBLANK(INDIRECT(CONCATENATE("Input!",RSE_Setup!$B$29,ROW()+1))),"",INDIRECT(CONCATENATE("Input!",RSE_Setup!$B$29,ROW()+1)))</f>
        <v>1.4</v>
      </c>
      <c r="F10" s="1">
        <f ca="1"/>
        <v>1.4102581329697002</v>
      </c>
    </row>
    <row r="11" spans="1:7" x14ac:dyDescent="0.3">
      <c r="A11" s="1" cm="1">
        <f t="array" aca="1" ref="A11" ca="1">IF(ISBLANK(INDIRECT(CONCATENATE("Input!",RSE_Setup!$B$16,ROW()+1))),"",INDIRECT(CONCATENATE("Input!",RSE_Setup!$B$16,ROW()+1)))</f>
        <v>7.5000000000000002E-4</v>
      </c>
      <c r="B11" s="1" cm="1">
        <f t="array" aca="1" ref="B11" ca="1">IF(ISBLANK(INDIRECT(CONCATENATE("Input!",RSE_Setup!$B$17,ROW()+1))),"",INDIRECT(CONCATENATE("Input!",RSE_Setup!$B$17,ROW()+1)))</f>
        <v>6.0000000000000001E-3</v>
      </c>
      <c r="C11" s="1" cm="1">
        <f t="array" aca="1" ref="C11" ca="1">IF(ISBLANK(INDIRECT(CONCATENATE("Input!",RSE_Setup!$B$18,ROW()+1))),"",INDIRECT(CONCATENATE("Input!",RSE_Setup!$B$18,ROW()+1)))</f>
        <v>3.2258000000000002E-2</v>
      </c>
      <c r="D11" s="1" cm="1">
        <f t="array" aca="1" ref="D11" ca="1">IF(ISBLANK(INDIRECT(CONCATENATE("Input!",RSE_Setup!$B$19,ROW()+1))),"",INDIRECT(CONCATENATE("Input!",RSE_Setup!$B$19,ROW()+1)))</f>
        <v>4250</v>
      </c>
      <c r="E11" s="1" cm="1">
        <f t="array" aca="1" ref="E11" ca="1">IF(ISBLANK(INDIRECT(CONCATENATE("Input!",RSE_Setup!$B$29,ROW()+1))),"",INDIRECT(CONCATENATE("Input!",RSE_Setup!$B$29,ROW()+1)))</f>
        <v>1.8</v>
      </c>
      <c r="F11" s="1">
        <f ca="1"/>
        <v>1.8099807839728195</v>
      </c>
    </row>
    <row r="12" spans="1:7" x14ac:dyDescent="0.3">
      <c r="A12" s="1" cm="1">
        <f t="array" aca="1" ref="A12" ca="1">IF(ISBLANK(INDIRECT(CONCATENATE("Input!",RSE_Setup!$B$16,ROW()+1))),"",INDIRECT(CONCATENATE("Input!",RSE_Setup!$B$16,ROW()+1)))</f>
        <v>7.5000000000000002E-4</v>
      </c>
      <c r="B12" s="1" cm="1">
        <f t="array" aca="1" ref="B12" ca="1">IF(ISBLANK(INDIRECT(CONCATENATE("Input!",RSE_Setup!$B$17,ROW()+1))),"",INDIRECT(CONCATENATE("Input!",RSE_Setup!$B$17,ROW()+1)))</f>
        <v>8.0000000000000002E-3</v>
      </c>
      <c r="C12" s="1" cm="1">
        <f t="array" aca="1" ref="C12" ca="1">IF(ISBLANK(INDIRECT(CONCATENATE("Input!",RSE_Setup!$B$18,ROW()+1))),"",INDIRECT(CONCATENATE("Input!",RSE_Setup!$B$18,ROW()+1)))</f>
        <v>3.2258000000000002E-2</v>
      </c>
      <c r="D12" s="1" cm="1">
        <f t="array" aca="1" ref="D12" ca="1">IF(ISBLANK(INDIRECT(CONCATENATE("Input!",RSE_Setup!$B$19,ROW()+1))),"",INDIRECT(CONCATENATE("Input!",RSE_Setup!$B$19,ROW()+1)))</f>
        <v>4250</v>
      </c>
      <c r="E12" s="1" cm="1">
        <f t="array" aca="1" ref="E12" ca="1">IF(ISBLANK(INDIRECT(CONCATENATE("Input!",RSE_Setup!$B$29,ROW()+1))),"",INDIRECT(CONCATENATE("Input!",RSE_Setup!$B$29,ROW()+1)))</f>
        <v>1.8</v>
      </c>
      <c r="F12" s="1">
        <f ca="1"/>
        <v>1.812801026989812</v>
      </c>
    </row>
    <row r="13" spans="1:7" x14ac:dyDescent="0.3">
      <c r="A13" s="1" cm="1">
        <f t="array" aca="1" ref="A13" ca="1">IF(ISBLANK(INDIRECT(CONCATENATE("Input!",RSE_Setup!$B$16,ROW()+1))),"",INDIRECT(CONCATENATE("Input!",RSE_Setup!$B$16,ROW()+1)))</f>
        <v>1E-3</v>
      </c>
      <c r="B13" s="1" cm="1">
        <f t="array" aca="1" ref="B13" ca="1">IF(ISBLANK(INDIRECT(CONCATENATE("Input!",RSE_Setup!$B$17,ROW()+1))),"",INDIRECT(CONCATENATE("Input!",RSE_Setup!$B$17,ROW()+1)))</f>
        <v>5.0000000000000001E-3</v>
      </c>
      <c r="C13" s="1" cm="1">
        <f t="array" aca="1" ref="C13" ca="1">IF(ISBLANK(INDIRECT(CONCATENATE("Input!",RSE_Setup!$B$18,ROW()+1))),"",INDIRECT(CONCATENATE("Input!",RSE_Setup!$B$18,ROW()+1)))</f>
        <v>3.2258000000000002E-2</v>
      </c>
      <c r="D13" s="1" cm="1">
        <f t="array" aca="1" ref="D13" ca="1">IF(ISBLANK(INDIRECT(CONCATENATE("Input!",RSE_Setup!$B$19,ROW()+1))),"",INDIRECT(CONCATENATE("Input!",RSE_Setup!$B$19,ROW()+1)))</f>
        <v>3250</v>
      </c>
      <c r="E13" s="1" cm="1">
        <f t="array" aca="1" ref="E13" ca="1">IF(ISBLANK(INDIRECT(CONCATENATE("Input!",RSE_Setup!$B$29,ROW()+1))),"",INDIRECT(CONCATENATE("Input!",RSE_Setup!$B$29,ROW()+1)))</f>
        <v>1.4</v>
      </c>
      <c r="F13" s="1">
        <f ca="1"/>
        <v>1.4130950284961139</v>
      </c>
    </row>
    <row r="14" spans="1:7" x14ac:dyDescent="0.3">
      <c r="A14" s="1" cm="1">
        <f t="array" aca="1" ref="A14" ca="1">IF(ISBLANK(INDIRECT(CONCATENATE("Input!",RSE_Setup!$B$16,ROW()+1))),"",INDIRECT(CONCATENATE("Input!",RSE_Setup!$B$16,ROW()+1)))</f>
        <v>1E-3</v>
      </c>
      <c r="B14" s="1" cm="1">
        <f t="array" aca="1" ref="B14" ca="1">IF(ISBLANK(INDIRECT(CONCATENATE("Input!",RSE_Setup!$B$17,ROW()+1))),"",INDIRECT(CONCATENATE("Input!",RSE_Setup!$B$17,ROW()+1)))</f>
        <v>5.0000000000000001E-3</v>
      </c>
      <c r="C14" s="1" cm="1">
        <f t="array" aca="1" ref="C14" ca="1">IF(ISBLANK(INDIRECT(CONCATENATE("Input!",RSE_Setup!$B$18,ROW()+1))),"",INDIRECT(CONCATENATE("Input!",RSE_Setup!$B$18,ROW()+1)))</f>
        <v>3.2258000000000002E-2</v>
      </c>
      <c r="D14" s="1" cm="1">
        <f t="array" aca="1" ref="D14" ca="1">IF(ISBLANK(INDIRECT(CONCATENATE("Input!",RSE_Setup!$B$19,ROW()+1))),"",INDIRECT(CONCATENATE("Input!",RSE_Setup!$B$19,ROW()+1)))</f>
        <v>4250</v>
      </c>
      <c r="E14" s="1" cm="1">
        <f t="array" aca="1" ref="E14" ca="1">IF(ISBLANK(INDIRECT(CONCATENATE("Input!",RSE_Setup!$B$29,ROW()+1))),"",INDIRECT(CONCATENATE("Input!",RSE_Setup!$B$29,ROW()+1)))</f>
        <v>1.8</v>
      </c>
      <c r="F14" s="1">
        <f ca="1"/>
        <v>1.8088877812253656</v>
      </c>
    </row>
    <row r="15" spans="1:7" x14ac:dyDescent="0.3">
      <c r="A15" s="1" cm="1">
        <f t="array" aca="1" ref="A15" ca="1">IF(ISBLANK(INDIRECT(CONCATENATE("Input!",RSE_Setup!$B$16,ROW()+1))),"",INDIRECT(CONCATENATE("Input!",RSE_Setup!$B$16,ROW()+1)))</f>
        <v>1E-3</v>
      </c>
      <c r="B15" s="1" cm="1">
        <f t="array" aca="1" ref="B15" ca="1">IF(ISBLANK(INDIRECT(CONCATENATE("Input!",RSE_Setup!$B$17,ROW()+1))),"",INDIRECT(CONCATENATE("Input!",RSE_Setup!$B$17,ROW()+1)))</f>
        <v>6.4999999999999997E-3</v>
      </c>
      <c r="C15" s="1" cm="1">
        <f t="array" aca="1" ref="C15" ca="1">IF(ISBLANK(INDIRECT(CONCATENATE("Input!",RSE_Setup!$B$18,ROW()+1))),"",INDIRECT(CONCATENATE("Input!",RSE_Setup!$B$18,ROW()+1)))</f>
        <v>3.2258000000000002E-2</v>
      </c>
      <c r="D15" s="1" cm="1">
        <f t="array" aca="1" ref="D15" ca="1">IF(ISBLANK(INDIRECT(CONCATENATE("Input!",RSE_Setup!$B$19,ROW()+1))),"",INDIRECT(CONCATENATE("Input!",RSE_Setup!$B$19,ROW()+1)))</f>
        <v>3250</v>
      </c>
      <c r="E15" s="1" cm="1">
        <f t="array" aca="1" ref="E15" ca="1">IF(ISBLANK(INDIRECT(CONCATENATE("Input!",RSE_Setup!$B$29,ROW()+1))),"",INDIRECT(CONCATENATE("Input!",RSE_Setup!$B$29,ROW()+1)))</f>
        <v>1.4</v>
      </c>
      <c r="F15" s="1">
        <f ca="1"/>
        <v>1.4127624246063069</v>
      </c>
    </row>
    <row r="16" spans="1:7" x14ac:dyDescent="0.3">
      <c r="A16" s="1" cm="1">
        <f t="array" aca="1" ref="A16" ca="1">IF(ISBLANK(INDIRECT(CONCATENATE("Input!",RSE_Setup!$B$16,ROW()+1))),"",INDIRECT(CONCATENATE("Input!",RSE_Setup!$B$16,ROW()+1)))</f>
        <v>1E-3</v>
      </c>
      <c r="B16" s="1" cm="1">
        <f t="array" aca="1" ref="B16" ca="1">IF(ISBLANK(INDIRECT(CONCATENATE("Input!",RSE_Setup!$B$17,ROW()+1))),"",INDIRECT(CONCATENATE("Input!",RSE_Setup!$B$17,ROW()+1)))</f>
        <v>6.4999999999999997E-3</v>
      </c>
      <c r="C16" s="1" cm="1">
        <f t="array" aca="1" ref="C16" ca="1">IF(ISBLANK(INDIRECT(CONCATENATE("Input!",RSE_Setup!$B$18,ROW()+1))),"",INDIRECT(CONCATENATE("Input!",RSE_Setup!$B$18,ROW()+1)))</f>
        <v>3.2258000000000002E-2</v>
      </c>
      <c r="D16" s="1" cm="1">
        <f t="array" aca="1" ref="D16" ca="1">IF(ISBLANK(INDIRECT(CONCATENATE("Input!",RSE_Setup!$B$19,ROW()+1))),"",INDIRECT(CONCATENATE("Input!",RSE_Setup!$B$19,ROW()+1)))</f>
        <v>4250</v>
      </c>
      <c r="E16" s="1" cm="1">
        <f t="array" aca="1" ref="E16" ca="1">IF(ISBLANK(INDIRECT(CONCATENATE("Input!",RSE_Setup!$B$29,ROW()+1))),"",INDIRECT(CONCATENATE("Input!",RSE_Setup!$B$29,ROW()+1)))</f>
        <v>1.8</v>
      </c>
      <c r="F16" s="1">
        <f ca="1"/>
        <v>1.8081600558696165</v>
      </c>
    </row>
    <row r="17" spans="1:6" x14ac:dyDescent="0.3">
      <c r="A17" s="1" cm="1">
        <f t="array" aca="1" ref="A17" ca="1">IF(ISBLANK(INDIRECT(CONCATENATE("Input!",RSE_Setup!$B$16,ROW()+1))),"",INDIRECT(CONCATENATE("Input!",RSE_Setup!$B$16,ROW()+1)))</f>
        <v>1E-3</v>
      </c>
      <c r="B17" s="1" cm="1">
        <f t="array" aca="1" ref="B17" ca="1">IF(ISBLANK(INDIRECT(CONCATENATE("Input!",RSE_Setup!$B$17,ROW()+1))),"",INDIRECT(CONCATENATE("Input!",RSE_Setup!$B$17,ROW()+1)))</f>
        <v>8.0000000000000002E-3</v>
      </c>
      <c r="C17" s="1" cm="1">
        <f t="array" aca="1" ref="C17" ca="1">IF(ISBLANK(INDIRECT(CONCATENATE("Input!",RSE_Setup!$B$18,ROW()+1))),"",INDIRECT(CONCATENATE("Input!",RSE_Setup!$B$18,ROW()+1)))</f>
        <v>3.2258000000000002E-2</v>
      </c>
      <c r="D17" s="1" cm="1">
        <f t="array" aca="1" ref="D17" ca="1">IF(ISBLANK(INDIRECT(CONCATENATE("Input!",RSE_Setup!$B$19,ROW()+1))),"",INDIRECT(CONCATENATE("Input!",RSE_Setup!$B$19,ROW()+1)))</f>
        <v>4250</v>
      </c>
      <c r="E17" s="1" cm="1">
        <f t="array" aca="1" ref="E17" ca="1">IF(ISBLANK(INDIRECT(CONCATENATE("Input!",RSE_Setup!$B$29,ROW()+1))),"",INDIRECT(CONCATENATE("Input!",RSE_Setup!$B$29,ROW()+1)))</f>
        <v>1.8</v>
      </c>
      <c r="F17" s="1">
        <f ca="1"/>
        <v>1.809876852503292</v>
      </c>
    </row>
    <row r="18" spans="1:6" x14ac:dyDescent="0.3">
      <c r="A18" s="1" cm="1">
        <f t="array" aca="1" ref="A18" ca="1">IF(ISBLANK(INDIRECT(CONCATENATE("Input!",RSE_Setup!$B$16,ROW()+1))),"",INDIRECT(CONCATENATE("Input!",RSE_Setup!$B$16,ROW()+1)))</f>
        <v>2.9999999999999997E-4</v>
      </c>
      <c r="B18" s="1" cm="1">
        <f t="array" aca="1" ref="B18" ca="1">IF(ISBLANK(INDIRECT(CONCATENATE("Input!",RSE_Setup!$B$17,ROW()+1))),"",INDIRECT(CONCATENATE("Input!",RSE_Setup!$B$17,ROW()+1)))</f>
        <v>2E-3</v>
      </c>
      <c r="C18" s="1" cm="1">
        <f t="array" aca="1" ref="C18" ca="1">IF(ISBLANK(INDIRECT(CONCATENATE("Input!",RSE_Setup!$B$18,ROW()+1))),"",INDIRECT(CONCATENATE("Input!",RSE_Setup!$B$18,ROW()+1)))</f>
        <v>3.2258000000000002E-2</v>
      </c>
      <c r="D18" s="1" cm="1">
        <f t="array" aca="1" ref="D18" ca="1">IF(ISBLANK(INDIRECT(CONCATENATE("Input!",RSE_Setup!$B$19,ROW()+1))),"",INDIRECT(CONCATENATE("Input!",RSE_Setup!$B$19,ROW()+1)))</f>
        <v>5250</v>
      </c>
      <c r="E18" s="1" cm="1">
        <f t="array" aca="1" ref="E18" ca="1">IF(ISBLANK(INDIRECT(CONCATENATE("Input!",RSE_Setup!$B$29,ROW()+1))),"",INDIRECT(CONCATENATE("Input!",RSE_Setup!$B$29,ROW()+1)))</f>
        <v>2.2000000000000002</v>
      </c>
      <c r="F18" s="1">
        <f ca="1"/>
        <v>2.2041225807184315</v>
      </c>
    </row>
    <row r="19" spans="1:6" x14ac:dyDescent="0.3">
      <c r="A19" s="1" cm="1">
        <f t="array" aca="1" ref="A19" ca="1">IF(ISBLANK(INDIRECT(CONCATENATE("Input!",RSE_Setup!$B$16,ROW()+1))),"",INDIRECT(CONCATENATE("Input!",RSE_Setup!$B$16,ROW()+1)))</f>
        <v>2.9999999999999997E-4</v>
      </c>
      <c r="B19" s="1" cm="1">
        <f t="array" aca="1" ref="B19" ca="1">IF(ISBLANK(INDIRECT(CONCATENATE("Input!",RSE_Setup!$B$17,ROW()+1))),"",INDIRECT(CONCATENATE("Input!",RSE_Setup!$B$17,ROW()+1)))</f>
        <v>2E-3</v>
      </c>
      <c r="C19" s="1" cm="1">
        <f t="array" aca="1" ref="C19" ca="1">IF(ISBLANK(INDIRECT(CONCATENATE("Input!",RSE_Setup!$B$18,ROW()+1))),"",INDIRECT(CONCATENATE("Input!",RSE_Setup!$B$18,ROW()+1)))</f>
        <v>3.2258000000000002E-2</v>
      </c>
      <c r="D19" s="1" cm="1">
        <f t="array" aca="1" ref="D19" ca="1">IF(ISBLANK(INDIRECT(CONCATENATE("Input!",RSE_Setup!$B$19,ROW()+1))),"",INDIRECT(CONCATENATE("Input!",RSE_Setup!$B$19,ROW()+1)))</f>
        <v>6500</v>
      </c>
      <c r="E19" s="1" cm="1">
        <f t="array" aca="1" ref="E19" ca="1">IF(ISBLANK(INDIRECT(CONCATENATE("Input!",RSE_Setup!$B$29,ROW()+1))),"",INDIRECT(CONCATENATE("Input!",RSE_Setup!$B$29,ROW()+1)))</f>
        <v>2.8</v>
      </c>
      <c r="F19" s="1">
        <f ca="1"/>
        <v>2.7348910793876402</v>
      </c>
    </row>
    <row r="20" spans="1:6" x14ac:dyDescent="0.3">
      <c r="A20" s="1" cm="1">
        <f t="array" aca="1" ref="A20" ca="1">IF(ISBLANK(INDIRECT(CONCATENATE("Input!",RSE_Setup!$B$16,ROW()+1))),"",INDIRECT(CONCATENATE("Input!",RSE_Setup!$B$16,ROW()+1)))</f>
        <v>2.9999999999999997E-4</v>
      </c>
      <c r="B20" s="1" cm="1">
        <f t="array" aca="1" ref="B20" ca="1">IF(ISBLANK(INDIRECT(CONCATENATE("Input!",RSE_Setup!$B$17,ROW()+1))),"",INDIRECT(CONCATENATE("Input!",RSE_Setup!$B$17,ROW()+1)))</f>
        <v>3.0000000000000001E-3</v>
      </c>
      <c r="C20" s="1" cm="1">
        <f t="array" aca="1" ref="C20" ca="1">IF(ISBLANK(INDIRECT(CONCATENATE("Input!",RSE_Setup!$B$18,ROW()+1))),"",INDIRECT(CONCATENATE("Input!",RSE_Setup!$B$18,ROW()+1)))</f>
        <v>3.2258000000000002E-2</v>
      </c>
      <c r="D20" s="1" cm="1">
        <f t="array" aca="1" ref="D20" ca="1">IF(ISBLANK(INDIRECT(CONCATENATE("Input!",RSE_Setup!$B$19,ROW()+1))),"",INDIRECT(CONCATENATE("Input!",RSE_Setup!$B$19,ROW()+1)))</f>
        <v>5250</v>
      </c>
      <c r="E20" s="1" cm="1">
        <f t="array" aca="1" ref="E20" ca="1">IF(ISBLANK(INDIRECT(CONCATENATE("Input!",RSE_Setup!$B$29,ROW()+1))),"",INDIRECT(CONCATENATE("Input!",RSE_Setup!$B$29,ROW()+1)))</f>
        <v>2.2000000000000002</v>
      </c>
      <c r="F20" s="1">
        <f ca="1"/>
        <v>2.2013472110902184</v>
      </c>
    </row>
    <row r="21" spans="1:6" x14ac:dyDescent="0.3">
      <c r="A21" s="1" cm="1">
        <f t="array" aca="1" ref="A21" ca="1">IF(ISBLANK(INDIRECT(CONCATENATE("Input!",RSE_Setup!$B$16,ROW()+1))),"",INDIRECT(CONCATENATE("Input!",RSE_Setup!$B$16,ROW()+1)))</f>
        <v>2.9999999999999997E-4</v>
      </c>
      <c r="B21" s="1" cm="1">
        <f t="array" aca="1" ref="B21" ca="1">IF(ISBLANK(INDIRECT(CONCATENATE("Input!",RSE_Setup!$B$17,ROW()+1))),"",INDIRECT(CONCATENATE("Input!",RSE_Setup!$B$17,ROW()+1)))</f>
        <v>3.0000000000000001E-3</v>
      </c>
      <c r="C21" s="1" cm="1">
        <f t="array" aca="1" ref="C21" ca="1">IF(ISBLANK(INDIRECT(CONCATENATE("Input!",RSE_Setup!$B$18,ROW()+1))),"",INDIRECT(CONCATENATE("Input!",RSE_Setup!$B$18,ROW()+1)))</f>
        <v>3.2258000000000002E-2</v>
      </c>
      <c r="D21" s="1" cm="1">
        <f t="array" aca="1" ref="D21" ca="1">IF(ISBLANK(INDIRECT(CONCATENATE("Input!",RSE_Setup!$B$19,ROW()+1))),"",INDIRECT(CONCATENATE("Input!",RSE_Setup!$B$19,ROW()+1)))</f>
        <v>6500</v>
      </c>
      <c r="E21" s="1" cm="1">
        <f t="array" aca="1" ref="E21" ca="1">IF(ISBLANK(INDIRECT(CONCATENATE("Input!",RSE_Setup!$B$29,ROW()+1))),"",INDIRECT(CONCATENATE("Input!",RSE_Setup!$B$29,ROW()+1)))</f>
        <v>2.8</v>
      </c>
      <c r="F21" s="1">
        <f ca="1"/>
        <v>2.7317864418711415</v>
      </c>
    </row>
    <row r="22" spans="1:6" x14ac:dyDescent="0.3">
      <c r="A22" s="1" cm="1">
        <f t="array" aca="1" ref="A22" ca="1">IF(ISBLANK(INDIRECT(CONCATENATE("Input!",RSE_Setup!$B$16,ROW()+1))),"",INDIRECT(CONCATENATE("Input!",RSE_Setup!$B$16,ROW()+1)))</f>
        <v>2.9999999999999997E-4</v>
      </c>
      <c r="B22" s="1" cm="1">
        <f t="array" aca="1" ref="B22" ca="1">IF(ISBLANK(INDIRECT(CONCATENATE("Input!",RSE_Setup!$B$17,ROW()+1))),"",INDIRECT(CONCATENATE("Input!",RSE_Setup!$B$17,ROW()+1)))</f>
        <v>4.0000000000000001E-3</v>
      </c>
      <c r="C22" s="1" cm="1">
        <f t="array" aca="1" ref="C22" ca="1">IF(ISBLANK(INDIRECT(CONCATENATE("Input!",RSE_Setup!$B$18,ROW()+1))),"",INDIRECT(CONCATENATE("Input!",RSE_Setup!$B$18,ROW()+1)))</f>
        <v>3.2258000000000002E-2</v>
      </c>
      <c r="D22" s="1" cm="1">
        <f t="array" aca="1" ref="D22" ca="1">IF(ISBLANK(INDIRECT(CONCATENATE("Input!",RSE_Setup!$B$19,ROW()+1))),"",INDIRECT(CONCATENATE("Input!",RSE_Setup!$B$19,ROW()+1)))</f>
        <v>5250</v>
      </c>
      <c r="E22" s="1" cm="1">
        <f t="array" aca="1" ref="E22" ca="1">IF(ISBLANK(INDIRECT(CONCATENATE("Input!",RSE_Setup!$B$29,ROW()+1))),"",INDIRECT(CONCATENATE("Input!",RSE_Setup!$B$29,ROW()+1)))</f>
        <v>2.2000000000000002</v>
      </c>
      <c r="F22" s="1">
        <f ca="1"/>
        <v>2.199658295679527</v>
      </c>
    </row>
    <row r="23" spans="1:6" x14ac:dyDescent="0.3">
      <c r="A23" s="1" cm="1">
        <f t="array" aca="1" ref="A23" ca="1">IF(ISBLANK(INDIRECT(CONCATENATE("Input!",RSE_Setup!$B$16,ROW()+1))),"",INDIRECT(CONCATENATE("Input!",RSE_Setup!$B$16,ROW()+1)))</f>
        <v>2.9999999999999997E-4</v>
      </c>
      <c r="B23" s="1" cm="1">
        <f t="array" aca="1" ref="B23" ca="1">IF(ISBLANK(INDIRECT(CONCATENATE("Input!",RSE_Setup!$B$17,ROW()+1))),"",INDIRECT(CONCATENATE("Input!",RSE_Setup!$B$17,ROW()+1)))</f>
        <v>4.0000000000000001E-3</v>
      </c>
      <c r="C23" s="1" cm="1">
        <f t="array" aca="1" ref="C23" ca="1">IF(ISBLANK(INDIRECT(CONCATENATE("Input!",RSE_Setup!$B$18,ROW()+1))),"",INDIRECT(CONCATENATE("Input!",RSE_Setup!$B$18,ROW()+1)))</f>
        <v>3.2258000000000002E-2</v>
      </c>
      <c r="D23" s="1" cm="1">
        <f t="array" aca="1" ref="D23" ca="1">IF(ISBLANK(INDIRECT(CONCATENATE("Input!",RSE_Setup!$B$19,ROW()+1))),"",INDIRECT(CONCATENATE("Input!",RSE_Setup!$B$19,ROW()+1)))</f>
        <v>6500</v>
      </c>
      <c r="E23" s="1" cm="1">
        <f t="array" aca="1" ref="E23" ca="1">IF(ISBLANK(INDIRECT(CONCATENATE("Input!",RSE_Setup!$B$29,ROW()+1))),"",INDIRECT(CONCATENATE("Input!",RSE_Setup!$B$29,ROW()+1)))</f>
        <v>2.8</v>
      </c>
      <c r="F23" s="1">
        <f ca="1"/>
        <v>2.729768258572165</v>
      </c>
    </row>
    <row r="24" spans="1:6" x14ac:dyDescent="0.3">
      <c r="A24" s="1" cm="1">
        <f t="array" aca="1" ref="A24" ca="1">IF(ISBLANK(INDIRECT(CONCATENATE("Input!",RSE_Setup!$B$16,ROW()+1))),"",INDIRECT(CONCATENATE("Input!",RSE_Setup!$B$16,ROW()+1)))</f>
        <v>5.0000000000000001E-4</v>
      </c>
      <c r="B24" s="1" cm="1">
        <f t="array" aca="1" ref="B24" ca="1">IF(ISBLANK(INDIRECT(CONCATENATE("Input!",RSE_Setup!$B$17,ROW()+1))),"",INDIRECT(CONCATENATE("Input!",RSE_Setup!$B$17,ROW()+1)))</f>
        <v>3.0000000000000001E-3</v>
      </c>
      <c r="C24" s="1" cm="1">
        <f t="array" aca="1" ref="C24" ca="1">IF(ISBLANK(INDIRECT(CONCATENATE("Input!",RSE_Setup!$B$18,ROW()+1))),"",INDIRECT(CONCATENATE("Input!",RSE_Setup!$B$18,ROW()+1)))</f>
        <v>5.5556000000000001E-2</v>
      </c>
      <c r="D24" s="1" cm="1">
        <f t="array" aca="1" ref="D24" ca="1">IF(ISBLANK(INDIRECT(CONCATENATE("Input!",RSE_Setup!$B$19,ROW()+1))),"",INDIRECT(CONCATENATE("Input!",RSE_Setup!$B$19,ROW()+1)))</f>
        <v>3750</v>
      </c>
      <c r="E24" s="1" cm="1">
        <f t="array" aca="1" ref="E24" ca="1">IF(ISBLANK(INDIRECT(CONCATENATE("Input!",RSE_Setup!$B$29,ROW()+1))),"",INDIRECT(CONCATENATE("Input!",RSE_Setup!$B$29,ROW()+1)))</f>
        <v>2.8</v>
      </c>
      <c r="F24" s="1">
        <f ca="1"/>
        <v>2.766943562976989</v>
      </c>
    </row>
    <row r="25" spans="1:6" x14ac:dyDescent="0.3">
      <c r="A25" s="1" cm="1">
        <f t="array" aca="1" ref="A25" ca="1">IF(ISBLANK(INDIRECT(CONCATENATE("Input!",RSE_Setup!$B$16,ROW()+1))),"",INDIRECT(CONCATENATE("Input!",RSE_Setup!$B$16,ROW()+1)))</f>
        <v>5.0000000000000001E-4</v>
      </c>
      <c r="B25" s="1" cm="1">
        <f t="array" aca="1" ref="B25" ca="1">IF(ISBLANK(INDIRECT(CONCATENATE("Input!",RSE_Setup!$B$17,ROW()+1))),"",INDIRECT(CONCATENATE("Input!",RSE_Setup!$B$17,ROW()+1)))</f>
        <v>3.0000000000000001E-3</v>
      </c>
      <c r="C25" s="1" cm="1">
        <f t="array" aca="1" ref="C25" ca="1">IF(ISBLANK(INDIRECT(CONCATENATE("Input!",RSE_Setup!$B$18,ROW()+1))),"",INDIRECT(CONCATENATE("Input!",RSE_Setup!$B$18,ROW()+1)))</f>
        <v>3.2258000000000002E-2</v>
      </c>
      <c r="D25" s="1" cm="1">
        <f t="array" aca="1" ref="D25" ca="1">IF(ISBLANK(INDIRECT(CONCATENATE("Input!",RSE_Setup!$B$19,ROW()+1))),"",INDIRECT(CONCATENATE("Input!",RSE_Setup!$B$19,ROW()+1)))</f>
        <v>3750</v>
      </c>
      <c r="E25" s="1" cm="1">
        <f t="array" aca="1" ref="E25" ca="1">IF(ISBLANK(INDIRECT(CONCATENATE("Input!",RSE_Setup!$B$29,ROW()+1))),"",INDIRECT(CONCATENATE("Input!",RSE_Setup!$B$29,ROW()+1)))</f>
        <v>1.6</v>
      </c>
      <c r="F25" s="1">
        <f ca="1"/>
        <v>1.5994338330145919</v>
      </c>
    </row>
    <row r="26" spans="1:6" x14ac:dyDescent="0.3">
      <c r="A26" s="1" cm="1">
        <f t="array" aca="1" ref="A26" ca="1">IF(ISBLANK(INDIRECT(CONCATENATE("Input!",RSE_Setup!$B$16,ROW()+1))),"",INDIRECT(CONCATENATE("Input!",RSE_Setup!$B$16,ROW()+1)))</f>
        <v>5.0000000000000001E-4</v>
      </c>
      <c r="B26" s="1" cm="1">
        <f t="array" aca="1" ref="B26" ca="1">IF(ISBLANK(INDIRECT(CONCATENATE("Input!",RSE_Setup!$B$17,ROW()+1))),"",INDIRECT(CONCATENATE("Input!",RSE_Setup!$B$17,ROW()+1)))</f>
        <v>3.0000000000000001E-3</v>
      </c>
      <c r="C26" s="1" cm="1">
        <f t="array" aca="1" ref="C26" ca="1">IF(ISBLANK(INDIRECT(CONCATENATE("Input!",RSE_Setup!$B$18,ROW()+1))),"",INDIRECT(CONCATENATE("Input!",RSE_Setup!$B$18,ROW()+1)))</f>
        <v>3.2258000000000002E-2</v>
      </c>
      <c r="D26" s="1" cm="1">
        <f t="array" aca="1" ref="D26" ca="1">IF(ISBLANK(INDIRECT(CONCATENATE("Input!",RSE_Setup!$B$19,ROW()+1))),"",INDIRECT(CONCATENATE("Input!",RSE_Setup!$B$19,ROW()+1)))</f>
        <v>5250</v>
      </c>
      <c r="E26" s="1" cm="1">
        <f t="array" aca="1" ref="E26" ca="1">IF(ISBLANK(INDIRECT(CONCATENATE("Input!",RSE_Setup!$B$29,ROW()+1))),"",INDIRECT(CONCATENATE("Input!",RSE_Setup!$B$29,ROW()+1)))</f>
        <v>2.2000000000000002</v>
      </c>
      <c r="F26" s="1">
        <f ca="1"/>
        <v>2.2151175399902399</v>
      </c>
    </row>
    <row r="27" spans="1:6" x14ac:dyDescent="0.3">
      <c r="A27" s="1" cm="1">
        <f t="array" aca="1" ref="A27" ca="1">IF(ISBLANK(INDIRECT(CONCATENATE("Input!",RSE_Setup!$B$16,ROW()+1))),"",INDIRECT(CONCATENATE("Input!",RSE_Setup!$B$16,ROW()+1)))</f>
        <v>5.0000000000000001E-4</v>
      </c>
      <c r="B27" s="1" cm="1">
        <f t="array" aca="1" ref="B27" ca="1">IF(ISBLANK(INDIRECT(CONCATENATE("Input!",RSE_Setup!$B$17,ROW()+1))),"",INDIRECT(CONCATENATE("Input!",RSE_Setup!$B$17,ROW()+1)))</f>
        <v>3.0000000000000001E-3</v>
      </c>
      <c r="C27" s="1" cm="1">
        <f t="array" aca="1" ref="C27" ca="1">IF(ISBLANK(INDIRECT(CONCATENATE("Input!",RSE_Setup!$B$18,ROW()+1))),"",INDIRECT(CONCATENATE("Input!",RSE_Setup!$B$18,ROW()+1)))</f>
        <v>3.2258000000000002E-2</v>
      </c>
      <c r="D27" s="1" cm="1">
        <f t="array" aca="1" ref="D27" ca="1">IF(ISBLANK(INDIRECT(CONCATENATE("Input!",RSE_Setup!$B$19,ROW()+1))),"",INDIRECT(CONCATENATE("Input!",RSE_Setup!$B$19,ROW()+1)))</f>
        <v>6500</v>
      </c>
      <c r="E27" s="1" cm="1">
        <f t="array" aca="1" ref="E27" ca="1">IF(ISBLANK(INDIRECT(CONCATENATE("Input!",RSE_Setup!$B$29,ROW()+1))),"",INDIRECT(CONCATENATE("Input!",RSE_Setup!$B$29,ROW()+1)))</f>
        <v>2.8</v>
      </c>
      <c r="F27" s="1">
        <f ca="1"/>
        <v>2.7413634581866675</v>
      </c>
    </row>
    <row r="28" spans="1:6" x14ac:dyDescent="0.3">
      <c r="A28" s="1" cm="1">
        <f t="array" aca="1" ref="A28" ca="1">IF(ISBLANK(INDIRECT(CONCATENATE("Input!",RSE_Setup!$B$16,ROW()+1))),"",INDIRECT(CONCATENATE("Input!",RSE_Setup!$B$16,ROW()+1)))</f>
        <v>5.0000000000000001E-4</v>
      </c>
      <c r="B28" s="1" cm="1">
        <f t="array" aca="1" ref="B28" ca="1">IF(ISBLANK(INDIRECT(CONCATENATE("Input!",RSE_Setup!$B$17,ROW()+1))),"",INDIRECT(CONCATENATE("Input!",RSE_Setup!$B$17,ROW()+1)))</f>
        <v>4.7499999999999999E-3</v>
      </c>
      <c r="C28" s="1" cm="1">
        <f t="array" aca="1" ref="C28" ca="1">IF(ISBLANK(INDIRECT(CONCATENATE("Input!",RSE_Setup!$B$18,ROW()+1))),"",INDIRECT(CONCATENATE("Input!",RSE_Setup!$B$18,ROW()+1)))</f>
        <v>5.5556000000000001E-2</v>
      </c>
      <c r="D28" s="1" cm="1">
        <f t="array" aca="1" ref="D28" ca="1">IF(ISBLANK(INDIRECT(CONCATENATE("Input!",RSE_Setup!$B$19,ROW()+1))),"",INDIRECT(CONCATENATE("Input!",RSE_Setup!$B$19,ROW()+1)))</f>
        <v>3000</v>
      </c>
      <c r="E28" s="1" cm="1">
        <f t="array" aca="1" ref="E28" ca="1">IF(ISBLANK(INDIRECT(CONCATENATE("Input!",RSE_Setup!$B$29,ROW()+1))),"",INDIRECT(CONCATENATE("Input!",RSE_Setup!$B$29,ROW()+1)))</f>
        <v>2.2000000000000002</v>
      </c>
      <c r="F28" s="1">
        <f ca="1"/>
        <v>2.2359959648854315</v>
      </c>
    </row>
    <row r="29" spans="1:6" x14ac:dyDescent="0.3">
      <c r="A29" s="1" cm="1">
        <f t="array" aca="1" ref="A29" ca="1">IF(ISBLANK(INDIRECT(CONCATENATE("Input!",RSE_Setup!$B$16,ROW()+1))),"",INDIRECT(CONCATENATE("Input!",RSE_Setup!$B$16,ROW()+1)))</f>
        <v>5.0000000000000001E-4</v>
      </c>
      <c r="B29" s="1" cm="1">
        <f t="array" aca="1" ref="B29" ca="1">IF(ISBLANK(INDIRECT(CONCATENATE("Input!",RSE_Setup!$B$17,ROW()+1))),"",INDIRECT(CONCATENATE("Input!",RSE_Setup!$B$17,ROW()+1)))</f>
        <v>4.7499999999999999E-3</v>
      </c>
      <c r="C29" s="1" cm="1">
        <f t="array" aca="1" ref="C29" ca="1">IF(ISBLANK(INDIRECT(CONCATENATE("Input!",RSE_Setup!$B$18,ROW()+1))),"",INDIRECT(CONCATENATE("Input!",RSE_Setup!$B$18,ROW()+1)))</f>
        <v>5.5556000000000001E-2</v>
      </c>
      <c r="D29" s="1" cm="1">
        <f t="array" aca="1" ref="D29" ca="1">IF(ISBLANK(INDIRECT(CONCATENATE("Input!",RSE_Setup!$B$19,ROW()+1))),"",INDIRECT(CONCATENATE("Input!",RSE_Setup!$B$19,ROW()+1)))</f>
        <v>3750</v>
      </c>
      <c r="E29" s="1" cm="1">
        <f t="array" aca="1" ref="E29" ca="1">IF(ISBLANK(INDIRECT(CONCATENATE("Input!",RSE_Setup!$B$29,ROW()+1))),"",INDIRECT(CONCATENATE("Input!",RSE_Setup!$B$29,ROW()+1)))</f>
        <v>2.8</v>
      </c>
      <c r="F29" s="1">
        <f ca="1"/>
        <v>2.7667523306110695</v>
      </c>
    </row>
    <row r="30" spans="1:6" x14ac:dyDescent="0.3">
      <c r="A30" s="1" cm="1">
        <f t="array" aca="1" ref="A30" ca="1">IF(ISBLANK(INDIRECT(CONCATENATE("Input!",RSE_Setup!$B$16,ROW()+1))),"",INDIRECT(CONCATENATE("Input!",RSE_Setup!$B$16,ROW()+1)))</f>
        <v>5.0000000000000001E-4</v>
      </c>
      <c r="B30" s="1" cm="1">
        <f t="array" aca="1" ref="B30" ca="1">IF(ISBLANK(INDIRECT(CONCATENATE("Input!",RSE_Setup!$B$17,ROW()+1))),"",INDIRECT(CONCATENATE("Input!",RSE_Setup!$B$17,ROW()+1)))</f>
        <v>4.7499999999999999E-3</v>
      </c>
      <c r="C30" s="1" cm="1">
        <f t="array" aca="1" ref="C30" ca="1">IF(ISBLANK(INDIRECT(CONCATENATE("Input!",RSE_Setup!$B$18,ROW()+1))),"",INDIRECT(CONCATENATE("Input!",RSE_Setup!$B$18,ROW()+1)))</f>
        <v>3.2258000000000002E-2</v>
      </c>
      <c r="D30" s="1" cm="1">
        <f t="array" aca="1" ref="D30" ca="1">IF(ISBLANK(INDIRECT(CONCATENATE("Input!",RSE_Setup!$B$19,ROW()+1))),"",INDIRECT(CONCATENATE("Input!",RSE_Setup!$B$19,ROW()+1)))</f>
        <v>3750</v>
      </c>
      <c r="E30" s="1" cm="1">
        <f t="array" aca="1" ref="E30" ca="1">IF(ISBLANK(INDIRECT(CONCATENATE("Input!",RSE_Setup!$B$29,ROW()+1))),"",INDIRECT(CONCATENATE("Input!",RSE_Setup!$B$29,ROW()+1)))</f>
        <v>1.6</v>
      </c>
      <c r="F30" s="1">
        <f ca="1"/>
        <v>1.5971305936282658</v>
      </c>
    </row>
    <row r="31" spans="1:6" x14ac:dyDescent="0.3">
      <c r="A31" s="1" cm="1">
        <f t="array" aca="1" ref="A31" ca="1">IF(ISBLANK(INDIRECT(CONCATENATE("Input!",RSE_Setup!$B$16,ROW()+1))),"",INDIRECT(CONCATENATE("Input!",RSE_Setup!$B$16,ROW()+1)))</f>
        <v>5.0000000000000001E-4</v>
      </c>
      <c r="B31" s="1" cm="1">
        <f t="array" aca="1" ref="B31" ca="1">IF(ISBLANK(INDIRECT(CONCATENATE("Input!",RSE_Setup!$B$17,ROW()+1))),"",INDIRECT(CONCATENATE("Input!",RSE_Setup!$B$17,ROW()+1)))</f>
        <v>4.7499999999999999E-3</v>
      </c>
      <c r="C31" s="1" cm="1">
        <f t="array" aca="1" ref="C31" ca="1">IF(ISBLANK(INDIRECT(CONCATENATE("Input!",RSE_Setup!$B$18,ROW()+1))),"",INDIRECT(CONCATENATE("Input!",RSE_Setup!$B$18,ROW()+1)))</f>
        <v>3.2258000000000002E-2</v>
      </c>
      <c r="D31" s="1" cm="1">
        <f t="array" aca="1" ref="D31" ca="1">IF(ISBLANK(INDIRECT(CONCATENATE("Input!",RSE_Setup!$B$19,ROW()+1))),"",INDIRECT(CONCATENATE("Input!",RSE_Setup!$B$19,ROW()+1)))</f>
        <v>5250</v>
      </c>
      <c r="E31" s="1" cm="1">
        <f t="array" aca="1" ref="E31" ca="1">IF(ISBLANK(INDIRECT(CONCATENATE("Input!",RSE_Setup!$B$29,ROW()+1))),"",INDIRECT(CONCATENATE("Input!",RSE_Setup!$B$29,ROW()+1)))</f>
        <v>2.2000000000000002</v>
      </c>
      <c r="F31" s="1">
        <f ca="1"/>
        <v>2.2121228380385149</v>
      </c>
    </row>
    <row r="32" spans="1:6" x14ac:dyDescent="0.3">
      <c r="A32" s="1" cm="1">
        <f t="array" aca="1" ref="A32" ca="1">IF(ISBLANK(INDIRECT(CONCATENATE("Input!",RSE_Setup!$B$16,ROW()+1))),"",INDIRECT(CONCATENATE("Input!",RSE_Setup!$B$16,ROW()+1)))</f>
        <v>5.0000000000000001E-4</v>
      </c>
      <c r="B32" s="1" cm="1">
        <f t="array" aca="1" ref="B32" ca="1">IF(ISBLANK(INDIRECT(CONCATENATE("Input!",RSE_Setup!$B$17,ROW()+1))),"",INDIRECT(CONCATENATE("Input!",RSE_Setup!$B$17,ROW()+1)))</f>
        <v>4.7499999999999999E-3</v>
      </c>
      <c r="C32" s="1" cm="1">
        <f t="array" aca="1" ref="C32" ca="1">IF(ISBLANK(INDIRECT(CONCATENATE("Input!",RSE_Setup!$B$18,ROW()+1))),"",INDIRECT(CONCATENATE("Input!",RSE_Setup!$B$18,ROW()+1)))</f>
        <v>3.2258000000000002E-2</v>
      </c>
      <c r="D32" s="1" cm="1">
        <f t="array" aca="1" ref="D32" ca="1">IF(ISBLANK(INDIRECT(CONCATENATE("Input!",RSE_Setup!$B$19,ROW()+1))),"",INDIRECT(CONCATENATE("Input!",RSE_Setup!$B$19,ROW()+1)))</f>
        <v>6500</v>
      </c>
      <c r="E32" s="1" cm="1">
        <f t="array" aca="1" ref="E32" ca="1">IF(ISBLANK(INDIRECT(CONCATENATE("Input!",RSE_Setup!$B$29,ROW()+1))),"",INDIRECT(CONCATENATE("Input!",RSE_Setup!$B$29,ROW()+1)))</f>
        <v>2.8</v>
      </c>
      <c r="F32" s="1">
        <f ca="1"/>
        <v>2.7377925374304435</v>
      </c>
    </row>
    <row r="33" spans="1:6" x14ac:dyDescent="0.3">
      <c r="A33" s="1" cm="1">
        <f t="array" aca="1" ref="A33" ca="1">IF(ISBLANK(INDIRECT(CONCATENATE("Input!",RSE_Setup!$B$16,ROW()+1))),"",INDIRECT(CONCATENATE("Input!",RSE_Setup!$B$16,ROW()+1)))</f>
        <v>5.0000000000000001E-4</v>
      </c>
      <c r="B33" s="1" cm="1">
        <f t="array" aca="1" ref="B33" ca="1">IF(ISBLANK(INDIRECT(CONCATENATE("Input!",RSE_Setup!$B$17,ROW()+1))),"",INDIRECT(CONCATENATE("Input!",RSE_Setup!$B$17,ROW()+1)))</f>
        <v>6.4999999999999997E-3</v>
      </c>
      <c r="C33" s="1" cm="1">
        <f t="array" aca="1" ref="C33" ca="1">IF(ISBLANK(INDIRECT(CONCATENATE("Input!",RSE_Setup!$B$18,ROW()+1))),"",INDIRECT(CONCATENATE("Input!",RSE_Setup!$B$18,ROW()+1)))</f>
        <v>5.5556000000000001E-2</v>
      </c>
      <c r="D33" s="1" cm="1">
        <f t="array" aca="1" ref="D33" ca="1">IF(ISBLANK(INDIRECT(CONCATENATE("Input!",RSE_Setup!$B$19,ROW()+1))),"",INDIRECT(CONCATENATE("Input!",RSE_Setup!$B$19,ROW()+1)))</f>
        <v>3000</v>
      </c>
      <c r="E33" s="1" cm="1">
        <f t="array" aca="1" ref="E33" ca="1">IF(ISBLANK(INDIRECT(CONCATENATE("Input!",RSE_Setup!$B$29,ROW()+1))),"",INDIRECT(CONCATENATE("Input!",RSE_Setup!$B$29,ROW()+1)))</f>
        <v>2.2000000000000002</v>
      </c>
      <c r="F33" s="1">
        <f ca="1"/>
        <v>2.2394777298433732</v>
      </c>
    </row>
    <row r="34" spans="1:6" x14ac:dyDescent="0.3">
      <c r="A34" s="1" cm="1">
        <f t="array" aca="1" ref="A34" ca="1">IF(ISBLANK(INDIRECT(CONCATENATE("Input!",RSE_Setup!$B$16,ROW()+1))),"",INDIRECT(CONCATENATE("Input!",RSE_Setup!$B$16,ROW()+1)))</f>
        <v>5.0000000000000001E-4</v>
      </c>
      <c r="B34" s="1" cm="1">
        <f t="array" aca="1" ref="B34" ca="1">IF(ISBLANK(INDIRECT(CONCATENATE("Input!",RSE_Setup!$B$17,ROW()+1))),"",INDIRECT(CONCATENATE("Input!",RSE_Setup!$B$17,ROW()+1)))</f>
        <v>6.4999999999999997E-3</v>
      </c>
      <c r="C34" s="1" cm="1">
        <f t="array" aca="1" ref="C34" ca="1">IF(ISBLANK(INDIRECT(CONCATENATE("Input!",RSE_Setup!$B$18,ROW()+1))),"",INDIRECT(CONCATENATE("Input!",RSE_Setup!$B$18,ROW()+1)))</f>
        <v>5.5556000000000001E-2</v>
      </c>
      <c r="D34" s="1" cm="1">
        <f t="array" aca="1" ref="D34" ca="1">IF(ISBLANK(INDIRECT(CONCATENATE("Input!",RSE_Setup!$B$19,ROW()+1))),"",INDIRECT(CONCATENATE("Input!",RSE_Setup!$B$19,ROW()+1)))</f>
        <v>3750</v>
      </c>
      <c r="E34" s="1" cm="1">
        <f t="array" aca="1" ref="E34" ca="1">IF(ISBLANK(INDIRECT(CONCATENATE("Input!",RSE_Setup!$B$29,ROW()+1))),"",INDIRECT(CONCATENATE("Input!",RSE_Setup!$B$29,ROW()+1)))</f>
        <v>2.8</v>
      </c>
      <c r="F34" s="1">
        <f ca="1"/>
        <v>2.7698883642863117</v>
      </c>
    </row>
    <row r="35" spans="1:6" x14ac:dyDescent="0.3">
      <c r="A35" s="1" cm="1">
        <f t="array" aca="1" ref="A35" ca="1">IF(ISBLANK(INDIRECT(CONCATENATE("Input!",RSE_Setup!$B$16,ROW()+1))),"",INDIRECT(CONCATENATE("Input!",RSE_Setup!$B$16,ROW()+1)))</f>
        <v>5.0000000000000001E-4</v>
      </c>
      <c r="B35" s="1" cm="1">
        <f t="array" aca="1" ref="B35" ca="1">IF(ISBLANK(INDIRECT(CONCATENATE("Input!",RSE_Setup!$B$17,ROW()+1))),"",INDIRECT(CONCATENATE("Input!",RSE_Setup!$B$17,ROW()+1)))</f>
        <v>6.4999999999999997E-3</v>
      </c>
      <c r="C35" s="1" cm="1">
        <f t="array" aca="1" ref="C35" ca="1">IF(ISBLANK(INDIRECT(CONCATENATE("Input!",RSE_Setup!$B$18,ROW()+1))),"",INDIRECT(CONCATENATE("Input!",RSE_Setup!$B$18,ROW()+1)))</f>
        <v>3.2258000000000002E-2</v>
      </c>
      <c r="D35" s="1" cm="1">
        <f t="array" aca="1" ref="D35" ca="1">IF(ISBLANK(INDIRECT(CONCATENATE("Input!",RSE_Setup!$B$19,ROW()+1))),"",INDIRECT(CONCATENATE("Input!",RSE_Setup!$B$19,ROW()+1)))</f>
        <v>3750</v>
      </c>
      <c r="E35" s="1" cm="1">
        <f t="array" aca="1" ref="E35" ca="1">IF(ISBLANK(INDIRECT(CONCATENATE("Input!",RSE_Setup!$B$29,ROW()+1))),"",INDIRECT(CONCATENATE("Input!",RSE_Setup!$B$29,ROW()+1)))</f>
        <v>1.6</v>
      </c>
      <c r="F35" s="1">
        <f ca="1"/>
        <v>1.5981546202831012</v>
      </c>
    </row>
    <row r="36" spans="1:6" x14ac:dyDescent="0.3">
      <c r="A36" s="1" cm="1">
        <f t="array" aca="1" ref="A36" ca="1">IF(ISBLANK(INDIRECT(CONCATENATE("Input!",RSE_Setup!$B$16,ROW()+1))),"",INDIRECT(CONCATENATE("Input!",RSE_Setup!$B$16,ROW()+1)))</f>
        <v>5.0000000000000001E-4</v>
      </c>
      <c r="B36" s="1" cm="1">
        <f t="array" aca="1" ref="B36" ca="1">IF(ISBLANK(INDIRECT(CONCATENATE("Input!",RSE_Setup!$B$17,ROW()+1))),"",INDIRECT(CONCATENATE("Input!",RSE_Setup!$B$17,ROW()+1)))</f>
        <v>6.4999999999999997E-3</v>
      </c>
      <c r="C36" s="1" cm="1">
        <f t="array" aca="1" ref="C36" ca="1">IF(ISBLANK(INDIRECT(CONCATENATE("Input!",RSE_Setup!$B$18,ROW()+1))),"",INDIRECT(CONCATENATE("Input!",RSE_Setup!$B$18,ROW()+1)))</f>
        <v>3.2258000000000002E-2</v>
      </c>
      <c r="D36" s="1" cm="1">
        <f t="array" aca="1" ref="D36" ca="1">IF(ISBLANK(INDIRECT(CONCATENATE("Input!",RSE_Setup!$B$19,ROW()+1))),"",INDIRECT(CONCATENATE("Input!",RSE_Setup!$B$19,ROW()+1)))</f>
        <v>5250</v>
      </c>
      <c r="E36" s="1" cm="1">
        <f t="array" aca="1" ref="E36" ca="1">IF(ISBLANK(INDIRECT(CONCATENATE("Input!",RSE_Setup!$B$29,ROW()+1))),"",INDIRECT(CONCATENATE("Input!",RSE_Setup!$B$29,ROW()+1)))</f>
        <v>2.2000000000000002</v>
      </c>
      <c r="F36" s="1">
        <f ca="1"/>
        <v>2.2124554021279512</v>
      </c>
    </row>
    <row r="37" spans="1:6" x14ac:dyDescent="0.3">
      <c r="A37" s="1" cm="1">
        <f t="array" aca="1" ref="A37" ca="1">IF(ISBLANK(INDIRECT(CONCATENATE("Input!",RSE_Setup!$B$16,ROW()+1))),"",INDIRECT(CONCATENATE("Input!",RSE_Setup!$B$16,ROW()+1)))</f>
        <v>5.0000000000000001E-4</v>
      </c>
      <c r="B37" s="1" cm="1">
        <f t="array" aca="1" ref="B37" ca="1">IF(ISBLANK(INDIRECT(CONCATENATE("Input!",RSE_Setup!$B$17,ROW()+1))),"",INDIRECT(CONCATENATE("Input!",RSE_Setup!$B$17,ROW()+1)))</f>
        <v>6.4999999999999997E-3</v>
      </c>
      <c r="C37" s="1" cm="1">
        <f t="array" aca="1" ref="C37" ca="1">IF(ISBLANK(INDIRECT(CONCATENATE("Input!",RSE_Setup!$B$18,ROW()+1))),"",INDIRECT(CONCATENATE("Input!",RSE_Setup!$B$18,ROW()+1)))</f>
        <v>3.2258000000000002E-2</v>
      </c>
      <c r="D37" s="1" cm="1">
        <f t="array" aca="1" ref="D37" ca="1">IF(ISBLANK(INDIRECT(CONCATENATE("Input!",RSE_Setup!$B$19,ROW()+1))),"",INDIRECT(CONCATENATE("Input!",RSE_Setup!$B$19,ROW()+1)))</f>
        <v>6500</v>
      </c>
      <c r="E37" s="1" cm="1">
        <f t="array" aca="1" ref="E37" ca="1">IF(ISBLANK(INDIRECT(CONCATENATE("Input!",RSE_Setup!$B$29,ROW()+1))),"",INDIRECT(CONCATENATE("Input!",RSE_Setup!$B$29,ROW()+1)))</f>
        <v>2.8</v>
      </c>
      <c r="F37" s="1">
        <f ca="1"/>
        <v>2.7375488827153811</v>
      </c>
    </row>
    <row r="38" spans="1:6" x14ac:dyDescent="0.3">
      <c r="A38" s="1" cm="1">
        <f t="array" aca="1" ref="A38" ca="1">IF(ISBLANK(INDIRECT(CONCATENATE("Input!",RSE_Setup!$B$16,ROW()+1))),"",INDIRECT(CONCATENATE("Input!",RSE_Setup!$B$16,ROW()+1)))</f>
        <v>7.5000000000000002E-4</v>
      </c>
      <c r="B38" s="1" cm="1">
        <f t="array" aca="1" ref="B38" ca="1">IF(ISBLANK(INDIRECT(CONCATENATE("Input!",RSE_Setup!$B$17,ROW()+1))),"",INDIRECT(CONCATENATE("Input!",RSE_Setup!$B$17,ROW()+1)))</f>
        <v>4.0000000000000001E-3</v>
      </c>
      <c r="C38" s="1" cm="1">
        <f t="array" aca="1" ref="C38" ca="1">IF(ISBLANK(INDIRECT(CONCATENATE("Input!",RSE_Setup!$B$18,ROW()+1))),"",INDIRECT(CONCATENATE("Input!",RSE_Setup!$B$18,ROW()+1)))</f>
        <v>5.5556000000000001E-2</v>
      </c>
      <c r="D38" s="1" cm="1">
        <f t="array" aca="1" ref="D38" ca="1">IF(ISBLANK(INDIRECT(CONCATENATE("Input!",RSE_Setup!$B$19,ROW()+1))),"",INDIRECT(CONCATENATE("Input!",RSE_Setup!$B$19,ROW()+1)))</f>
        <v>3750</v>
      </c>
      <c r="E38" s="1" cm="1">
        <f t="array" aca="1" ref="E38" ca="1">IF(ISBLANK(INDIRECT(CONCATENATE("Input!",RSE_Setup!$B$29,ROW()+1))),"",INDIRECT(CONCATENATE("Input!",RSE_Setup!$B$29,ROW()+1)))</f>
        <v>2.8</v>
      </c>
      <c r="F38" s="1">
        <f ca="1"/>
        <v>2.7788841402691444</v>
      </c>
    </row>
    <row r="39" spans="1:6" x14ac:dyDescent="0.3">
      <c r="A39" s="1" cm="1">
        <f t="array" aca="1" ref="A39" ca="1">IF(ISBLANK(INDIRECT(CONCATENATE("Input!",RSE_Setup!$B$16,ROW()+1))),"",INDIRECT(CONCATENATE("Input!",RSE_Setup!$B$16,ROW()+1)))</f>
        <v>7.5000000000000002E-4</v>
      </c>
      <c r="B39" s="1" cm="1">
        <f t="array" aca="1" ref="B39" ca="1">IF(ISBLANK(INDIRECT(CONCATENATE("Input!",RSE_Setup!$B$17,ROW()+1))),"",INDIRECT(CONCATENATE("Input!",RSE_Setup!$B$17,ROW()+1)))</f>
        <v>4.0000000000000001E-3</v>
      </c>
      <c r="C39" s="1" cm="1">
        <f t="array" aca="1" ref="C39" ca="1">IF(ISBLANK(INDIRECT(CONCATENATE("Input!",RSE_Setup!$B$18,ROW()+1))),"",INDIRECT(CONCATENATE("Input!",RSE_Setup!$B$18,ROW()+1)))</f>
        <v>3.2258000000000002E-2</v>
      </c>
      <c r="D39" s="1" cm="1">
        <f t="array" aca="1" ref="D39" ca="1">IF(ISBLANK(INDIRECT(CONCATENATE("Input!",RSE_Setup!$B$19,ROW()+1))),"",INDIRECT(CONCATENATE("Input!",RSE_Setup!$B$19,ROW()+1)))</f>
        <v>3750</v>
      </c>
      <c r="E39" s="1" cm="1">
        <f t="array" aca="1" ref="E39" ca="1">IF(ISBLANK(INDIRECT(CONCATENATE("Input!",RSE_Setup!$B$29,ROW()+1))),"",INDIRECT(CONCATENATE("Input!",RSE_Setup!$B$29,ROW()+1)))</f>
        <v>1.6</v>
      </c>
      <c r="F39" s="1">
        <f ca="1"/>
        <v>1.610423351658572</v>
      </c>
    </row>
    <row r="40" spans="1:6" x14ac:dyDescent="0.3">
      <c r="A40" s="1" cm="1">
        <f t="array" aca="1" ref="A40" ca="1">IF(ISBLANK(INDIRECT(CONCATENATE("Input!",RSE_Setup!$B$16,ROW()+1))),"",INDIRECT(CONCATENATE("Input!",RSE_Setup!$B$16,ROW()+1)))</f>
        <v>7.5000000000000002E-4</v>
      </c>
      <c r="B40" s="1" cm="1">
        <f t="array" aca="1" ref="B40" ca="1">IF(ISBLANK(INDIRECT(CONCATENATE("Input!",RSE_Setup!$B$17,ROW()+1))),"",INDIRECT(CONCATENATE("Input!",RSE_Setup!$B$17,ROW()+1)))</f>
        <v>4.0000000000000001E-3</v>
      </c>
      <c r="C40" s="1" cm="1">
        <f t="array" aca="1" ref="C40" ca="1">IF(ISBLANK(INDIRECT(CONCATENATE("Input!",RSE_Setup!$B$18,ROW()+1))),"",INDIRECT(CONCATENATE("Input!",RSE_Setup!$B$18,ROW()+1)))</f>
        <v>3.2258000000000002E-2</v>
      </c>
      <c r="D40" s="1" cm="1">
        <f t="array" aca="1" ref="D40" ca="1">IF(ISBLANK(INDIRECT(CONCATENATE("Input!",RSE_Setup!$B$19,ROW()+1))),"",INDIRECT(CONCATENATE("Input!",RSE_Setup!$B$19,ROW()+1)))</f>
        <v>5250</v>
      </c>
      <c r="E40" s="1" cm="1">
        <f t="array" aca="1" ref="E40" ca="1">IF(ISBLANK(INDIRECT(CONCATENATE("Input!",RSE_Setup!$B$29,ROW()+1))),"",INDIRECT(CONCATENATE("Input!",RSE_Setup!$B$29,ROW()+1)))</f>
        <v>2.2000000000000002</v>
      </c>
      <c r="F40" s="1">
        <f ca="1"/>
        <v>2.2194219682915346</v>
      </c>
    </row>
    <row r="41" spans="1:6" x14ac:dyDescent="0.3">
      <c r="A41" s="1" cm="1">
        <f t="array" aca="1" ref="A41" ca="1">IF(ISBLANK(INDIRECT(CONCATENATE("Input!",RSE_Setup!$B$16,ROW()+1))),"",INDIRECT(CONCATENATE("Input!",RSE_Setup!$B$16,ROW()+1)))</f>
        <v>7.5000000000000002E-4</v>
      </c>
      <c r="B41" s="1" cm="1">
        <f t="array" aca="1" ref="B41" ca="1">IF(ISBLANK(INDIRECT(CONCATENATE("Input!",RSE_Setup!$B$17,ROW()+1))),"",INDIRECT(CONCATENATE("Input!",RSE_Setup!$B$17,ROW()+1)))</f>
        <v>4.0000000000000001E-3</v>
      </c>
      <c r="C41" s="1" cm="1">
        <f t="array" aca="1" ref="C41" ca="1">IF(ISBLANK(INDIRECT(CONCATENATE("Input!",RSE_Setup!$B$18,ROW()+1))),"",INDIRECT(CONCATENATE("Input!",RSE_Setup!$B$18,ROW()+1)))</f>
        <v>3.2258000000000002E-2</v>
      </c>
      <c r="D41" s="1" cm="1">
        <f t="array" aca="1" ref="D41" ca="1">IF(ISBLANK(INDIRECT(CONCATENATE("Input!",RSE_Setup!$B$19,ROW()+1))),"",INDIRECT(CONCATENATE("Input!",RSE_Setup!$B$19,ROW()+1)))</f>
        <v>6500</v>
      </c>
      <c r="E41" s="1" cm="1">
        <f t="array" aca="1" ref="E41" ca="1">IF(ISBLANK(INDIRECT(CONCATENATE("Input!",RSE_Setup!$B$29,ROW()+1))),"",INDIRECT(CONCATENATE("Input!",RSE_Setup!$B$29,ROW()+1)))</f>
        <v>2.8</v>
      </c>
      <c r="F41" s="1">
        <f ca="1"/>
        <v>2.740096977869058</v>
      </c>
    </row>
    <row r="42" spans="1:6" x14ac:dyDescent="0.3">
      <c r="A42" s="1" cm="1">
        <f t="array" aca="1" ref="A42" ca="1">IF(ISBLANK(INDIRECT(CONCATENATE("Input!",RSE_Setup!$B$16,ROW()+1))),"",INDIRECT(CONCATENATE("Input!",RSE_Setup!$B$16,ROW()+1)))</f>
        <v>7.5000000000000002E-4</v>
      </c>
      <c r="B42" s="1" cm="1">
        <f t="array" aca="1" ref="B42" ca="1">IF(ISBLANK(INDIRECT(CONCATENATE("Input!",RSE_Setup!$B$17,ROW()+1))),"",INDIRECT(CONCATENATE("Input!",RSE_Setup!$B$17,ROW()+1)))</f>
        <v>6.0000000000000001E-3</v>
      </c>
      <c r="C42" s="1" cm="1">
        <f t="array" aca="1" ref="C42" ca="1">IF(ISBLANK(INDIRECT(CONCATENATE("Input!",RSE_Setup!$B$18,ROW()+1))),"",INDIRECT(CONCATENATE("Input!",RSE_Setup!$B$18,ROW()+1)))</f>
        <v>5.5556000000000001E-2</v>
      </c>
      <c r="D42" s="1" cm="1">
        <f t="array" aca="1" ref="D42" ca="1">IF(ISBLANK(INDIRECT(CONCATENATE("Input!",RSE_Setup!$B$19,ROW()+1))),"",INDIRECT(CONCATENATE("Input!",RSE_Setup!$B$19,ROW()+1)))</f>
        <v>3000</v>
      </c>
      <c r="E42" s="1" cm="1">
        <f t="array" aca="1" ref="E42" ca="1">IF(ISBLANK(INDIRECT(CONCATENATE("Input!",RSE_Setup!$B$29,ROW()+1))),"",INDIRECT(CONCATENATE("Input!",RSE_Setup!$B$29,ROW()+1)))</f>
        <v>2.2000000000000002</v>
      </c>
      <c r="F42" s="1">
        <f ca="1"/>
        <v>2.2526712726646605</v>
      </c>
    </row>
    <row r="43" spans="1:6" x14ac:dyDescent="0.3">
      <c r="A43" s="1" cm="1">
        <f t="array" aca="1" ref="A43" ca="1">IF(ISBLANK(INDIRECT(CONCATENATE("Input!",RSE_Setup!$B$16,ROW()+1))),"",INDIRECT(CONCATENATE("Input!",RSE_Setup!$B$16,ROW()+1)))</f>
        <v>7.5000000000000002E-4</v>
      </c>
      <c r="B43" s="1" cm="1">
        <f t="array" aca="1" ref="B43" ca="1">IF(ISBLANK(INDIRECT(CONCATENATE("Input!",RSE_Setup!$B$17,ROW()+1))),"",INDIRECT(CONCATENATE("Input!",RSE_Setup!$B$17,ROW()+1)))</f>
        <v>6.0000000000000001E-3</v>
      </c>
      <c r="C43" s="1" cm="1">
        <f t="array" aca="1" ref="C43" ca="1">IF(ISBLANK(INDIRECT(CONCATENATE("Input!",RSE_Setup!$B$18,ROW()+1))),"",INDIRECT(CONCATENATE("Input!",RSE_Setup!$B$18,ROW()+1)))</f>
        <v>5.5556000000000001E-2</v>
      </c>
      <c r="D43" s="1" cm="1">
        <f t="array" aca="1" ref="D43" ca="1">IF(ISBLANK(INDIRECT(CONCATENATE("Input!",RSE_Setup!$B$19,ROW()+1))),"",INDIRECT(CONCATENATE("Input!",RSE_Setup!$B$19,ROW()+1)))</f>
        <v>3750</v>
      </c>
      <c r="E43" s="1" cm="1">
        <f t="array" aca="1" ref="E43" ca="1">IF(ISBLANK(INDIRECT(CONCATENATE("Input!",RSE_Setup!$B$29,ROW()+1))),"",INDIRECT(CONCATENATE("Input!",RSE_Setup!$B$29,ROW()+1)))</f>
        <v>2.8</v>
      </c>
      <c r="F43" s="1">
        <f ca="1"/>
        <v>2.780035703035713</v>
      </c>
    </row>
    <row r="44" spans="1:6" x14ac:dyDescent="0.3">
      <c r="A44" s="1" cm="1">
        <f t="array" aca="1" ref="A44" ca="1">IF(ISBLANK(INDIRECT(CONCATENATE("Input!",RSE_Setup!$B$16,ROW()+1))),"",INDIRECT(CONCATENATE("Input!",RSE_Setup!$B$16,ROW()+1)))</f>
        <v>7.5000000000000002E-4</v>
      </c>
      <c r="B44" s="1" cm="1">
        <f t="array" aca="1" ref="B44" ca="1">IF(ISBLANK(INDIRECT(CONCATENATE("Input!",RSE_Setup!$B$17,ROW()+1))),"",INDIRECT(CONCATENATE("Input!",RSE_Setup!$B$17,ROW()+1)))</f>
        <v>6.0000000000000001E-3</v>
      </c>
      <c r="C44" s="1" cm="1">
        <f t="array" aca="1" ref="C44" ca="1">IF(ISBLANK(INDIRECT(CONCATENATE("Input!",RSE_Setup!$B$18,ROW()+1))),"",INDIRECT(CONCATENATE("Input!",RSE_Setup!$B$18,ROW()+1)))</f>
        <v>3.2258000000000002E-2</v>
      </c>
      <c r="D44" s="1" cm="1">
        <f t="array" aca="1" ref="D44" ca="1">IF(ISBLANK(INDIRECT(CONCATENATE("Input!",RSE_Setup!$B$19,ROW()+1))),"",INDIRECT(CONCATENATE("Input!",RSE_Setup!$B$19,ROW()+1)))</f>
        <v>3750</v>
      </c>
      <c r="E44" s="1" cm="1">
        <f t="array" aca="1" ref="E44" ca="1">IF(ISBLANK(INDIRECT(CONCATENATE("Input!",RSE_Setup!$B$29,ROW()+1))),"",INDIRECT(CONCATENATE("Input!",RSE_Setup!$B$29,ROW()+1)))</f>
        <v>1.6</v>
      </c>
      <c r="F44" s="1">
        <f ca="1"/>
        <v>1.6091611921161044</v>
      </c>
    </row>
    <row r="45" spans="1:6" x14ac:dyDescent="0.3">
      <c r="A45" s="1" cm="1">
        <f t="array" aca="1" ref="A45" ca="1">IF(ISBLANK(INDIRECT(CONCATENATE("Input!",RSE_Setup!$B$16,ROW()+1))),"",INDIRECT(CONCATENATE("Input!",RSE_Setup!$B$16,ROW()+1)))</f>
        <v>7.5000000000000002E-4</v>
      </c>
      <c r="B45" s="1" cm="1">
        <f t="array" aca="1" ref="B45" ca="1">IF(ISBLANK(INDIRECT(CONCATENATE("Input!",RSE_Setup!$B$17,ROW()+1))),"",INDIRECT(CONCATENATE("Input!",RSE_Setup!$B$17,ROW()+1)))</f>
        <v>6.0000000000000001E-3</v>
      </c>
      <c r="C45" s="1" cm="1">
        <f t="array" aca="1" ref="C45" ca="1">IF(ISBLANK(INDIRECT(CONCATENATE("Input!",RSE_Setup!$B$18,ROW()+1))),"",INDIRECT(CONCATENATE("Input!",RSE_Setup!$B$18,ROW()+1)))</f>
        <v>3.2258000000000002E-2</v>
      </c>
      <c r="D45" s="1" cm="1">
        <f t="array" aca="1" ref="D45" ca="1">IF(ISBLANK(INDIRECT(CONCATENATE("Input!",RSE_Setup!$B$19,ROW()+1))),"",INDIRECT(CONCATENATE("Input!",RSE_Setup!$B$19,ROW()+1)))</f>
        <v>5250</v>
      </c>
      <c r="E45" s="1" cm="1">
        <f t="array" aca="1" ref="E45" ca="1">IF(ISBLANK(INDIRECT(CONCATENATE("Input!",RSE_Setup!$B$29,ROW()+1))),"",INDIRECT(CONCATENATE("Input!",RSE_Setup!$B$29,ROW()+1)))</f>
        <v>2.2000000000000002</v>
      </c>
      <c r="F45" s="1">
        <f ca="1"/>
        <v>2.2173695658171826</v>
      </c>
    </row>
    <row r="46" spans="1:6" x14ac:dyDescent="0.3">
      <c r="A46" s="1" cm="1">
        <f t="array" aca="1" ref="A46" ca="1">IF(ISBLANK(INDIRECT(CONCATENATE("Input!",RSE_Setup!$B$16,ROW()+1))),"",INDIRECT(CONCATENATE("Input!",RSE_Setup!$B$16,ROW()+1)))</f>
        <v>7.5000000000000002E-4</v>
      </c>
      <c r="B46" s="1" cm="1">
        <f t="array" aca="1" ref="B46" ca="1">IF(ISBLANK(INDIRECT(CONCATENATE("Input!",RSE_Setup!$B$17,ROW()+1))),"",INDIRECT(CONCATENATE("Input!",RSE_Setup!$B$17,ROW()+1)))</f>
        <v>6.0000000000000001E-3</v>
      </c>
      <c r="C46" s="1" cm="1">
        <f t="array" aca="1" ref="C46" ca="1">IF(ISBLANK(INDIRECT(CONCATENATE("Input!",RSE_Setup!$B$18,ROW()+1))),"",INDIRECT(CONCATENATE("Input!",RSE_Setup!$B$18,ROW()+1)))</f>
        <v>3.2258000000000002E-2</v>
      </c>
      <c r="D46" s="1" cm="1">
        <f t="array" aca="1" ref="D46" ca="1">IF(ISBLANK(INDIRECT(CONCATENATE("Input!",RSE_Setup!$B$19,ROW()+1))),"",INDIRECT(CONCATENATE("Input!",RSE_Setup!$B$19,ROW()+1)))</f>
        <v>6500</v>
      </c>
      <c r="E46" s="1" cm="1">
        <f t="array" aca="1" ref="E46" ca="1">IF(ISBLANK(INDIRECT(CONCATENATE("Input!",RSE_Setup!$B$29,ROW()+1))),"",INDIRECT(CONCATENATE("Input!",RSE_Setup!$B$29,ROW()+1)))</f>
        <v>2.8</v>
      </c>
      <c r="F46" s="1">
        <f ca="1"/>
        <v>2.7373860396181358</v>
      </c>
    </row>
    <row r="47" spans="1:6" x14ac:dyDescent="0.3">
      <c r="A47" s="1" cm="1">
        <f t="array" aca="1" ref="A47" ca="1">IF(ISBLANK(INDIRECT(CONCATENATE("Input!",RSE_Setup!$B$16,ROW()+1))),"",INDIRECT(CONCATENATE("Input!",RSE_Setup!$B$16,ROW()+1)))</f>
        <v>7.5000000000000002E-4</v>
      </c>
      <c r="B47" s="1" cm="1">
        <f t="array" aca="1" ref="B47" ca="1">IF(ISBLANK(INDIRECT(CONCATENATE("Input!",RSE_Setup!$B$17,ROW()+1))),"",INDIRECT(CONCATENATE("Input!",RSE_Setup!$B$17,ROW()+1)))</f>
        <v>8.0000000000000002E-3</v>
      </c>
      <c r="C47" s="1" cm="1">
        <f t="array" aca="1" ref="C47" ca="1">IF(ISBLANK(INDIRECT(CONCATENATE("Input!",RSE_Setup!$B$18,ROW()+1))),"",INDIRECT(CONCATENATE("Input!",RSE_Setup!$B$18,ROW()+1)))</f>
        <v>3.2258000000000002E-2</v>
      </c>
      <c r="D47" s="1" cm="1">
        <f t="array" aca="1" ref="D47" ca="1">IF(ISBLANK(INDIRECT(CONCATENATE("Input!",RSE_Setup!$B$19,ROW()+1))),"",INDIRECT(CONCATENATE("Input!",RSE_Setup!$B$19,ROW()+1)))</f>
        <v>5250</v>
      </c>
      <c r="E47" s="1" cm="1">
        <f t="array" aca="1" ref="E47" ca="1">IF(ISBLANK(INDIRECT(CONCATENATE("Input!",RSE_Setup!$B$29,ROW()+1))),"",INDIRECT(CONCATENATE("Input!",RSE_Setup!$B$29,ROW()+1)))</f>
        <v>2.2000000000000002</v>
      </c>
      <c r="F47" s="1">
        <f ca="1"/>
        <v>2.2196629802129189</v>
      </c>
    </row>
    <row r="48" spans="1:6" x14ac:dyDescent="0.3">
      <c r="A48" s="1" cm="1">
        <f t="array" aca="1" ref="A48" ca="1">IF(ISBLANK(INDIRECT(CONCATENATE("Input!",RSE_Setup!$B$16,ROW()+1))),"",INDIRECT(CONCATENATE("Input!",RSE_Setup!$B$16,ROW()+1)))</f>
        <v>7.5000000000000002E-4</v>
      </c>
      <c r="B48" s="1" cm="1">
        <f t="array" aca="1" ref="B48" ca="1">IF(ISBLANK(INDIRECT(CONCATENATE("Input!",RSE_Setup!$B$17,ROW()+1))),"",INDIRECT(CONCATENATE("Input!",RSE_Setup!$B$17,ROW()+1)))</f>
        <v>8.0000000000000002E-3</v>
      </c>
      <c r="C48" s="1" cm="1">
        <f t="array" aca="1" ref="C48" ca="1">IF(ISBLANK(INDIRECT(CONCATENATE("Input!",RSE_Setup!$B$18,ROW()+1))),"",INDIRECT(CONCATENATE("Input!",RSE_Setup!$B$18,ROW()+1)))</f>
        <v>3.2258000000000002E-2</v>
      </c>
      <c r="D48" s="1" cm="1">
        <f t="array" aca="1" ref="D48" ca="1">IF(ISBLANK(INDIRECT(CONCATENATE("Input!",RSE_Setup!$B$19,ROW()+1))),"",INDIRECT(CONCATENATE("Input!",RSE_Setup!$B$19,ROW()+1)))</f>
        <v>6500</v>
      </c>
      <c r="E48" s="1" cm="1">
        <f t="array" aca="1" ref="E48" ca="1">IF(ISBLANK(INDIRECT(CONCATENATE("Input!",RSE_Setup!$B$29,ROW()+1))),"",INDIRECT(CONCATENATE("Input!",RSE_Setup!$B$29,ROW()+1)))</f>
        <v>2.8</v>
      </c>
      <c r="F48" s="1">
        <f ca="1"/>
        <v>2.7390209182373013</v>
      </c>
    </row>
    <row r="49" spans="1:6" x14ac:dyDescent="0.3">
      <c r="A49" s="1" cm="1">
        <f t="array" aca="1" ref="A49" ca="1">IF(ISBLANK(INDIRECT(CONCATENATE("Input!",RSE_Setup!$B$16,ROW()+1))),"",INDIRECT(CONCATENATE("Input!",RSE_Setup!$B$16,ROW()+1)))</f>
        <v>1E-3</v>
      </c>
      <c r="B49" s="1" cm="1">
        <f t="array" aca="1" ref="B49" ca="1">IF(ISBLANK(INDIRECT(CONCATENATE("Input!",RSE_Setup!$B$17,ROW()+1))),"",INDIRECT(CONCATENATE("Input!",RSE_Setup!$B$17,ROW()+1)))</f>
        <v>5.0000000000000001E-3</v>
      </c>
      <c r="C49" s="1" cm="1">
        <f t="array" aca="1" ref="C49" ca="1">IF(ISBLANK(INDIRECT(CONCATENATE("Input!",RSE_Setup!$B$18,ROW()+1))),"",INDIRECT(CONCATENATE("Input!",RSE_Setup!$B$18,ROW()+1)))</f>
        <v>5.5556000000000001E-2</v>
      </c>
      <c r="D49" s="1" cm="1">
        <f t="array" aca="1" ref="D49" ca="1">IF(ISBLANK(INDIRECT(CONCATENATE("Input!",RSE_Setup!$B$19,ROW()+1))),"",INDIRECT(CONCATENATE("Input!",RSE_Setup!$B$19,ROW()+1)))</f>
        <v>3750</v>
      </c>
      <c r="E49" s="1" cm="1">
        <f t="array" aca="1" ref="E49" ca="1">IF(ISBLANK(INDIRECT(CONCATENATE("Input!",RSE_Setup!$B$29,ROW()+1))),"",INDIRECT(CONCATENATE("Input!",RSE_Setup!$B$29,ROW()+1)))</f>
        <v>2.8</v>
      </c>
      <c r="F49" s="1">
        <f ca="1"/>
        <v>2.7794449857643322</v>
      </c>
    </row>
    <row r="50" spans="1:6" x14ac:dyDescent="0.3">
      <c r="A50" s="1" cm="1">
        <f t="array" aca="1" ref="A50" ca="1">IF(ISBLANK(INDIRECT(CONCATENATE("Input!",RSE_Setup!$B$16,ROW()+1))),"",INDIRECT(CONCATENATE("Input!",RSE_Setup!$B$16,ROW()+1)))</f>
        <v>1E-3</v>
      </c>
      <c r="B50" s="1" cm="1">
        <f t="array" aca="1" ref="B50" ca="1">IF(ISBLANK(INDIRECT(CONCATENATE("Input!",RSE_Setup!$B$17,ROW()+1))),"",INDIRECT(CONCATENATE("Input!",RSE_Setup!$B$17,ROW()+1)))</f>
        <v>5.0000000000000001E-3</v>
      </c>
      <c r="C50" s="1" cm="1">
        <f t="array" aca="1" ref="C50" ca="1">IF(ISBLANK(INDIRECT(CONCATENATE("Input!",RSE_Setup!$B$18,ROW()+1))),"",INDIRECT(CONCATENATE("Input!",RSE_Setup!$B$18,ROW()+1)))</f>
        <v>3.2258000000000002E-2</v>
      </c>
      <c r="D50" s="1" cm="1">
        <f t="array" aca="1" ref="D50" ca="1">IF(ISBLANK(INDIRECT(CONCATENATE("Input!",RSE_Setup!$B$19,ROW()+1))),"",INDIRECT(CONCATENATE("Input!",RSE_Setup!$B$19,ROW()+1)))</f>
        <v>3750</v>
      </c>
      <c r="E50" s="1" cm="1">
        <f t="array" aca="1" ref="E50" ca="1">IF(ISBLANK(INDIRECT(CONCATENATE("Input!",RSE_Setup!$B$29,ROW()+1))),"",INDIRECT(CONCATENATE("Input!",RSE_Setup!$B$29,ROW()+1)))</f>
        <v>1.6</v>
      </c>
      <c r="F50" s="1">
        <f ca="1"/>
        <v>1.6100331385055844</v>
      </c>
    </row>
    <row r="51" spans="1:6" x14ac:dyDescent="0.3">
      <c r="A51" s="1" cm="1">
        <f t="array" aca="1" ref="A51" ca="1">IF(ISBLANK(INDIRECT(CONCATENATE("Input!",RSE_Setup!$B$16,ROW()+1))),"",INDIRECT(CONCATENATE("Input!",RSE_Setup!$B$16,ROW()+1)))</f>
        <v>1E-3</v>
      </c>
      <c r="B51" s="1" cm="1">
        <f t="array" aca="1" ref="B51" ca="1">IF(ISBLANK(INDIRECT(CONCATENATE("Input!",RSE_Setup!$B$17,ROW()+1))),"",INDIRECT(CONCATENATE("Input!",RSE_Setup!$B$17,ROW()+1)))</f>
        <v>5.0000000000000001E-3</v>
      </c>
      <c r="C51" s="1" cm="1">
        <f t="array" aca="1" ref="C51" ca="1">IF(ISBLANK(INDIRECT(CONCATENATE("Input!",RSE_Setup!$B$18,ROW()+1))),"",INDIRECT(CONCATENATE("Input!",RSE_Setup!$B$18,ROW()+1)))</f>
        <v>3.2258000000000002E-2</v>
      </c>
      <c r="D51" s="1" cm="1">
        <f t="array" aca="1" ref="D51" ca="1">IF(ISBLANK(INDIRECT(CONCATENATE("Input!",RSE_Setup!$B$19,ROW()+1))),"",INDIRECT(CONCATENATE("Input!",RSE_Setup!$B$19,ROW()+1)))</f>
        <v>5250</v>
      </c>
      <c r="E51" s="1" cm="1">
        <f t="array" aca="1" ref="E51" ca="1">IF(ISBLANK(INDIRECT(CONCATENATE("Input!",RSE_Setup!$B$29,ROW()+1))),"",INDIRECT(CONCATENATE("Input!",RSE_Setup!$B$29,ROW()+1)))</f>
        <v>2.2000000000000002</v>
      </c>
      <c r="F51" s="1">
        <f ca="1"/>
        <v>2.2123466647958616</v>
      </c>
    </row>
    <row r="52" spans="1:6" x14ac:dyDescent="0.3">
      <c r="A52" s="1" cm="1">
        <f t="array" aca="1" ref="A52" ca="1">IF(ISBLANK(INDIRECT(CONCATENATE("Input!",RSE_Setup!$B$16,ROW()+1))),"",INDIRECT(CONCATENATE("Input!",RSE_Setup!$B$16,ROW()+1)))</f>
        <v>1E-3</v>
      </c>
      <c r="B52" s="1" cm="1">
        <f t="array" aca="1" ref="B52" ca="1">IF(ISBLANK(INDIRECT(CONCATENATE("Input!",RSE_Setup!$B$17,ROW()+1))),"",INDIRECT(CONCATENATE("Input!",RSE_Setup!$B$17,ROW()+1)))</f>
        <v>5.0000000000000001E-3</v>
      </c>
      <c r="C52" s="1" cm="1">
        <f t="array" aca="1" ref="C52" ca="1">IF(ISBLANK(INDIRECT(CONCATENATE("Input!",RSE_Setup!$B$18,ROW()+1))),"",INDIRECT(CONCATENATE("Input!",RSE_Setup!$B$18,ROW()+1)))</f>
        <v>3.2258000000000002E-2</v>
      </c>
      <c r="D52" s="1" cm="1">
        <f t="array" aca="1" ref="D52" ca="1">IF(ISBLANK(INDIRECT(CONCATENATE("Input!",RSE_Setup!$B$19,ROW()+1))),"",INDIRECT(CONCATENATE("Input!",RSE_Setup!$B$19,ROW()+1)))</f>
        <v>6500</v>
      </c>
      <c r="E52" s="1" cm="1">
        <f t="array" aca="1" ref="E52" ca="1">IF(ISBLANK(INDIRECT(CONCATENATE("Input!",RSE_Setup!$B$29,ROW()+1))),"",INDIRECT(CONCATENATE("Input!",RSE_Setup!$B$29,ROW()+1)))</f>
        <v>2.8</v>
      </c>
      <c r="F52" s="1">
        <f ca="1"/>
        <v>2.7274507657544809</v>
      </c>
    </row>
    <row r="53" spans="1:6" x14ac:dyDescent="0.3">
      <c r="A53" s="1" cm="1">
        <f t="array" aca="1" ref="A53" ca="1">IF(ISBLANK(INDIRECT(CONCATENATE("Input!",RSE_Setup!$B$16,ROW()+1))),"",INDIRECT(CONCATENATE("Input!",RSE_Setup!$B$16,ROW()+1)))</f>
        <v>1E-3</v>
      </c>
      <c r="B53" s="1" cm="1">
        <f t="array" aca="1" ref="B53" ca="1">IF(ISBLANK(INDIRECT(CONCATENATE("Input!",RSE_Setup!$B$17,ROW()+1))),"",INDIRECT(CONCATENATE("Input!",RSE_Setup!$B$17,ROW()+1)))</f>
        <v>6.4999999999999997E-3</v>
      </c>
      <c r="C53" s="1" cm="1">
        <f t="array" aca="1" ref="C53" ca="1">IF(ISBLANK(INDIRECT(CONCATENATE("Input!",RSE_Setup!$B$18,ROW()+1))),"",INDIRECT(CONCATENATE("Input!",RSE_Setup!$B$18,ROW()+1)))</f>
        <v>5.5556000000000001E-2</v>
      </c>
      <c r="D53" s="1" cm="1">
        <f t="array" aca="1" ref="D53" ca="1">IF(ISBLANK(INDIRECT(CONCATENATE("Input!",RSE_Setup!$B$19,ROW()+1))),"",INDIRECT(CONCATENATE("Input!",RSE_Setup!$B$19,ROW()+1)))</f>
        <v>3750</v>
      </c>
      <c r="E53" s="1" cm="1">
        <f t="array" aca="1" ref="E53" ca="1">IF(ISBLANK(INDIRECT(CONCATENATE("Input!",RSE_Setup!$B$29,ROW()+1))),"",INDIRECT(CONCATENATE("Input!",RSE_Setup!$B$29,ROW()+1)))</f>
        <v>2.8</v>
      </c>
      <c r="F53" s="1">
        <f ca="1"/>
        <v>2.7807251128733315</v>
      </c>
    </row>
    <row r="54" spans="1:6" x14ac:dyDescent="0.3">
      <c r="A54" s="1" cm="1">
        <f t="array" aca="1" ref="A54" ca="1">IF(ISBLANK(INDIRECT(CONCATENATE("Input!",RSE_Setup!$B$16,ROW()+1))),"",INDIRECT(CONCATENATE("Input!",RSE_Setup!$B$16,ROW()+1)))</f>
        <v>1E-3</v>
      </c>
      <c r="B54" s="1" cm="1">
        <f t="array" aca="1" ref="B54" ca="1">IF(ISBLANK(INDIRECT(CONCATENATE("Input!",RSE_Setup!$B$17,ROW()+1))),"",INDIRECT(CONCATENATE("Input!",RSE_Setup!$B$17,ROW()+1)))</f>
        <v>6.4999999999999997E-3</v>
      </c>
      <c r="C54" s="1" cm="1">
        <f t="array" aca="1" ref="C54" ca="1">IF(ISBLANK(INDIRECT(CONCATENATE("Input!",RSE_Setup!$B$18,ROW()+1))),"",INDIRECT(CONCATENATE("Input!",RSE_Setup!$B$18,ROW()+1)))</f>
        <v>3.2258000000000002E-2</v>
      </c>
      <c r="D54" s="1" cm="1">
        <f t="array" aca="1" ref="D54" ca="1">IF(ISBLANK(INDIRECT(CONCATENATE("Input!",RSE_Setup!$B$19,ROW()+1))),"",INDIRECT(CONCATENATE("Input!",RSE_Setup!$B$19,ROW()+1)))</f>
        <v>3750</v>
      </c>
      <c r="E54" s="1" cm="1">
        <f t="array" aca="1" ref="E54" ca="1">IF(ISBLANK(INDIRECT(CONCATENATE("Input!",RSE_Setup!$B$29,ROW()+1))),"",INDIRECT(CONCATENATE("Input!",RSE_Setup!$B$29,ROW()+1)))</f>
        <v>1.6</v>
      </c>
      <c r="F54" s="1">
        <f ca="1"/>
        <v>1.6095029738828064</v>
      </c>
    </row>
    <row r="55" spans="1:6" x14ac:dyDescent="0.3">
      <c r="A55" s="1" cm="1">
        <f t="array" aca="1" ref="A55" ca="1">IF(ISBLANK(INDIRECT(CONCATENATE("Input!",RSE_Setup!$B$16,ROW()+1))),"",INDIRECT(CONCATENATE("Input!",RSE_Setup!$B$16,ROW()+1)))</f>
        <v>1E-3</v>
      </c>
      <c r="B55" s="1" cm="1">
        <f t="array" aca="1" ref="B55" ca="1">IF(ISBLANK(INDIRECT(CONCATENATE("Input!",RSE_Setup!$B$17,ROW()+1))),"",INDIRECT(CONCATENATE("Input!",RSE_Setup!$B$17,ROW()+1)))</f>
        <v>6.4999999999999997E-3</v>
      </c>
      <c r="C55" s="1" cm="1">
        <f t="array" aca="1" ref="C55" ca="1">IF(ISBLANK(INDIRECT(CONCATENATE("Input!",RSE_Setup!$B$18,ROW()+1))),"",INDIRECT(CONCATENATE("Input!",RSE_Setup!$B$18,ROW()+1)))</f>
        <v>3.2258000000000002E-2</v>
      </c>
      <c r="D55" s="1" cm="1">
        <f t="array" aca="1" ref="D55" ca="1">IF(ISBLANK(INDIRECT(CONCATENATE("Input!",RSE_Setup!$B$19,ROW()+1))),"",INDIRECT(CONCATENATE("Input!",RSE_Setup!$B$19,ROW()+1)))</f>
        <v>5250</v>
      </c>
      <c r="E55" s="1" cm="1">
        <f t="array" aca="1" ref="E55" ca="1">IF(ISBLANK(INDIRECT(CONCATENATE("Input!",RSE_Setup!$B$29,ROW()+1))),"",INDIRECT(CONCATENATE("Input!",RSE_Setup!$B$29,ROW()+1)))</f>
        <v>2.2000000000000002</v>
      </c>
      <c r="F55" s="1">
        <f ca="1"/>
        <v>2.2112238179741706</v>
      </c>
    </row>
    <row r="56" spans="1:6" x14ac:dyDescent="0.3">
      <c r="A56" s="1" cm="1">
        <f t="array" aca="1" ref="A56" ca="1">IF(ISBLANK(INDIRECT(CONCATENATE("Input!",RSE_Setup!$B$16,ROW()+1))),"",INDIRECT(CONCATENATE("Input!",RSE_Setup!$B$16,ROW()+1)))</f>
        <v>1E-3</v>
      </c>
      <c r="B56" s="1" cm="1">
        <f t="array" aca="1" ref="B56" ca="1">IF(ISBLANK(INDIRECT(CONCATENATE("Input!",RSE_Setup!$B$17,ROW()+1))),"",INDIRECT(CONCATENATE("Input!",RSE_Setup!$B$17,ROW()+1)))</f>
        <v>6.4999999999999997E-3</v>
      </c>
      <c r="C56" s="1" cm="1">
        <f t="array" aca="1" ref="C56" ca="1">IF(ISBLANK(INDIRECT(CONCATENATE("Input!",RSE_Setup!$B$18,ROW()+1))),"",INDIRECT(CONCATENATE("Input!",RSE_Setup!$B$18,ROW()+1)))</f>
        <v>3.2258000000000002E-2</v>
      </c>
      <c r="D56" s="1" cm="1">
        <f t="array" aca="1" ref="D56" ca="1">IF(ISBLANK(INDIRECT(CONCATENATE("Input!",RSE_Setup!$B$19,ROW()+1))),"",INDIRECT(CONCATENATE("Input!",RSE_Setup!$B$19,ROW()+1)))</f>
        <v>6500</v>
      </c>
      <c r="E56" s="1" cm="1">
        <f t="array" aca="1" ref="E56" ca="1">IF(ISBLANK(INDIRECT(CONCATENATE("Input!",RSE_Setup!$B$29,ROW()+1))),"",INDIRECT(CONCATENATE("Input!",RSE_Setup!$B$29,ROW()+1)))</f>
        <v>2.8</v>
      </c>
      <c r="F56" s="1">
        <f ca="1"/>
        <v>2.7258340171003614</v>
      </c>
    </row>
    <row r="57" spans="1:6" x14ac:dyDescent="0.3">
      <c r="A57" s="1" cm="1">
        <f t="array" aca="1" ref="A57" ca="1">IF(ISBLANK(INDIRECT(CONCATENATE("Input!",RSE_Setup!$B$16,ROW()+1))),"",INDIRECT(CONCATENATE("Input!",RSE_Setup!$B$16,ROW()+1)))</f>
        <v>1E-3</v>
      </c>
      <c r="B57" s="1" cm="1">
        <f t="array" aca="1" ref="B57" ca="1">IF(ISBLANK(INDIRECT(CONCATENATE("Input!",RSE_Setup!$B$17,ROW()+1))),"",INDIRECT(CONCATENATE("Input!",RSE_Setup!$B$17,ROW()+1)))</f>
        <v>8.0000000000000002E-3</v>
      </c>
      <c r="C57" s="1" cm="1">
        <f t="array" aca="1" ref="C57" ca="1">IF(ISBLANK(INDIRECT(CONCATENATE("Input!",RSE_Setup!$B$18,ROW()+1))),"",INDIRECT(CONCATENATE("Input!",RSE_Setup!$B$18,ROW()+1)))</f>
        <v>3.2258000000000002E-2</v>
      </c>
      <c r="D57" s="1" cm="1">
        <f t="array" aca="1" ref="D57" ca="1">IF(ISBLANK(INDIRECT(CONCATENATE("Input!",RSE_Setup!$B$19,ROW()+1))),"",INDIRECT(CONCATENATE("Input!",RSE_Setup!$B$19,ROW()+1)))</f>
        <v>5250</v>
      </c>
      <c r="E57" s="1" cm="1">
        <f t="array" aca="1" ref="E57" ca="1">IF(ISBLANK(INDIRECT(CONCATENATE("Input!",RSE_Setup!$B$29,ROW()+1))),"",INDIRECT(CONCATENATE("Input!",RSE_Setup!$B$29,ROW()+1)))</f>
        <v>2.2000000000000002</v>
      </c>
      <c r="F57" s="1">
        <f ca="1"/>
        <v>2.2125454931419037</v>
      </c>
    </row>
    <row r="58" spans="1:6" x14ac:dyDescent="0.3">
      <c r="A58" s="1" cm="1">
        <f t="array" aca="1" ref="A58" ca="1">IF(ISBLANK(INDIRECT(CONCATENATE("Input!",RSE_Setup!$B$16,ROW()+1))),"",INDIRECT(CONCATENATE("Input!",RSE_Setup!$B$16,ROW()+1)))</f>
        <v>1E-3</v>
      </c>
      <c r="B58" s="1" cm="1">
        <f t="array" aca="1" ref="B58" ca="1">IF(ISBLANK(INDIRECT(CONCATENATE("Input!",RSE_Setup!$B$17,ROW()+1))),"",INDIRECT(CONCATENATE("Input!",RSE_Setup!$B$17,ROW()+1)))</f>
        <v>8.0000000000000002E-3</v>
      </c>
      <c r="C58" s="1" cm="1">
        <f t="array" aca="1" ref="C58" ca="1">IF(ISBLANK(INDIRECT(CONCATENATE("Input!",RSE_Setup!$B$18,ROW()+1))),"",INDIRECT(CONCATENATE("Input!",RSE_Setup!$B$18,ROW()+1)))</f>
        <v>3.2258000000000002E-2</v>
      </c>
      <c r="D58" s="1" cm="1">
        <f t="array" aca="1" ref="D58" ca="1">IF(ISBLANK(INDIRECT(CONCATENATE("Input!",RSE_Setup!$B$19,ROW()+1))),"",INDIRECT(CONCATENATE("Input!",RSE_Setup!$B$19,ROW()+1)))</f>
        <v>6500</v>
      </c>
      <c r="E58" s="1" cm="1">
        <f t="array" aca="1" ref="E58" ca="1">IF(ISBLANK(INDIRECT(CONCATENATE("Input!",RSE_Setup!$B$29,ROW()+1))),"",INDIRECT(CONCATENATE("Input!",RSE_Setup!$B$29,ROW()+1)))</f>
        <v>2.8</v>
      </c>
      <c r="F58" s="1">
        <f ca="1"/>
        <v>2.7266617904356671</v>
      </c>
    </row>
    <row r="59" spans="1:6" x14ac:dyDescent="0.3">
      <c r="A59" s="1" cm="1">
        <f t="array" aca="1" ref="A59" ca="1">IF(ISBLANK(INDIRECT(CONCATENATE("Input!",RSE_Setup!$B$16,ROW()+1))),"",INDIRECT(CONCATENATE("Input!",RSE_Setup!$B$16,ROW()+1)))</f>
        <v>2.9999999999999997E-4</v>
      </c>
      <c r="B59" s="1" cm="1">
        <f t="array" aca="1" ref="B59" ca="1">IF(ISBLANK(INDIRECT(CONCATENATE("Input!",RSE_Setup!$B$17,ROW()+1))),"",INDIRECT(CONCATENATE("Input!",RSE_Setup!$B$17,ROW()+1)))</f>
        <v>2E-3</v>
      </c>
      <c r="C59" s="1" cm="1">
        <f t="array" aca="1" ref="C59" ca="1">IF(ISBLANK(INDIRECT(CONCATENATE("Input!",RSE_Setup!$B$18,ROW()+1))),"",INDIRECT(CONCATENATE("Input!",RSE_Setup!$B$18,ROW()+1)))</f>
        <v>5.5556000000000001E-2</v>
      </c>
      <c r="D59" s="1" cm="1">
        <f t="array" aca="1" ref="D59" ca="1">IF(ISBLANK(INDIRECT(CONCATENATE("Input!",RSE_Setup!$B$19,ROW()+1))),"",INDIRECT(CONCATENATE("Input!",RSE_Setup!$B$19,ROW()+1)))</f>
        <v>6000</v>
      </c>
      <c r="E59" s="1" cm="1">
        <f t="array" aca="1" ref="E59" ca="1">IF(ISBLANK(INDIRECT(CONCATENATE("Input!",RSE_Setup!$B$29,ROW()+1))),"",INDIRECT(CONCATENATE("Input!",RSE_Setup!$B$29,ROW()+1)))</f>
        <v>4.3</v>
      </c>
      <c r="F59" s="1">
        <f ca="1"/>
        <v>4.376839415453615</v>
      </c>
    </row>
    <row r="60" spans="1:6" x14ac:dyDescent="0.3">
      <c r="A60" s="1" cm="1">
        <f t="array" aca="1" ref="A60" ca="1">IF(ISBLANK(INDIRECT(CONCATENATE("Input!",RSE_Setup!$B$16,ROW()+1))),"",INDIRECT(CONCATENATE("Input!",RSE_Setup!$B$16,ROW()+1)))</f>
        <v>2.9999999999999997E-4</v>
      </c>
      <c r="B60" s="1" cm="1">
        <f t="array" aca="1" ref="B60" ca="1">IF(ISBLANK(INDIRECT(CONCATENATE("Input!",RSE_Setup!$B$17,ROW()+1))),"",INDIRECT(CONCATENATE("Input!",RSE_Setup!$B$17,ROW()+1)))</f>
        <v>2E-3</v>
      </c>
      <c r="C60" s="1" cm="1">
        <f t="array" aca="1" ref="C60" ca="1">IF(ISBLANK(INDIRECT(CONCATENATE("Input!",RSE_Setup!$B$18,ROW()+1))),"",INDIRECT(CONCATENATE("Input!",RSE_Setup!$B$18,ROW()+1)))</f>
        <v>3.2258000000000002E-2</v>
      </c>
      <c r="D60" s="1" cm="1">
        <f t="array" aca="1" ref="D60" ca="1">IF(ISBLANK(INDIRECT(CONCATENATE("Input!",RSE_Setup!$B$19,ROW()+1))),"",INDIRECT(CONCATENATE("Input!",RSE_Setup!$B$19,ROW()+1)))</f>
        <v>6000</v>
      </c>
      <c r="E60" s="1" cm="1">
        <f t="array" aca="1" ref="E60" ca="1">IF(ISBLANK(INDIRECT(CONCATENATE("Input!",RSE_Setup!$B$29,ROW()+1))),"",INDIRECT(CONCATENATE("Input!",RSE_Setup!$B$29,ROW()+1)))</f>
        <v>2.5</v>
      </c>
      <c r="F60" s="1">
        <f ca="1"/>
        <v>2.5211462803872235</v>
      </c>
    </row>
    <row r="61" spans="1:6" x14ac:dyDescent="0.3">
      <c r="A61" s="1" cm="1">
        <f t="array" aca="1" ref="A61" ca="1">IF(ISBLANK(INDIRECT(CONCATENATE("Input!",RSE_Setup!$B$16,ROW()+1))),"",INDIRECT(CONCATENATE("Input!",RSE_Setup!$B$16,ROW()+1)))</f>
        <v>2.9999999999999997E-4</v>
      </c>
      <c r="B61" s="1" cm="1">
        <f t="array" aca="1" ref="B61" ca="1">IF(ISBLANK(INDIRECT(CONCATENATE("Input!",RSE_Setup!$B$17,ROW()+1))),"",INDIRECT(CONCATENATE("Input!",RSE_Setup!$B$17,ROW()+1)))</f>
        <v>2E-3</v>
      </c>
      <c r="C61" s="1" cm="1">
        <f t="array" aca="1" ref="C61" ca="1">IF(ISBLANK(INDIRECT(CONCATENATE("Input!",RSE_Setup!$B$18,ROW()+1))),"",INDIRECT(CONCATENATE("Input!",RSE_Setup!$B$18,ROW()+1)))</f>
        <v>3.2258000000000002E-2</v>
      </c>
      <c r="D61" s="1" cm="1">
        <f t="array" aca="1" ref="D61" ca="1">IF(ISBLANK(INDIRECT(CONCATENATE("Input!",RSE_Setup!$B$19,ROW()+1))),"",INDIRECT(CONCATENATE("Input!",RSE_Setup!$B$19,ROW()+1)))</f>
        <v>8000</v>
      </c>
      <c r="E61" s="1" cm="1">
        <f t="array" aca="1" ref="E61" ca="1">IF(ISBLANK(INDIRECT(CONCATENATE("Input!",RSE_Setup!$B$29,ROW()+1))),"",INDIRECT(CONCATENATE("Input!",RSE_Setup!$B$29,ROW()+1)))</f>
        <v>3.4</v>
      </c>
      <c r="F61" s="1">
        <f ca="1"/>
        <v>3.3876246726507566</v>
      </c>
    </row>
    <row r="62" spans="1:6" x14ac:dyDescent="0.3">
      <c r="A62" s="1" cm="1">
        <f t="array" aca="1" ref="A62" ca="1">IF(ISBLANK(INDIRECT(CONCATENATE("Input!",RSE_Setup!$B$16,ROW()+1))),"",INDIRECT(CONCATENATE("Input!",RSE_Setup!$B$16,ROW()+1)))</f>
        <v>2.9999999999999997E-4</v>
      </c>
      <c r="B62" s="1" cm="1">
        <f t="array" aca="1" ref="B62" ca="1">IF(ISBLANK(INDIRECT(CONCATENATE("Input!",RSE_Setup!$B$17,ROW()+1))),"",INDIRECT(CONCATENATE("Input!",RSE_Setup!$B$17,ROW()+1)))</f>
        <v>2E-3</v>
      </c>
      <c r="C62" s="1" cm="1">
        <f t="array" aca="1" ref="C62" ca="1">IF(ISBLANK(INDIRECT(CONCATENATE("Input!",RSE_Setup!$B$18,ROW()+1))),"",INDIRECT(CONCATENATE("Input!",RSE_Setup!$B$18,ROW()+1)))</f>
        <v>3.2258000000000002E-2</v>
      </c>
      <c r="D62" s="1" cm="1">
        <f t="array" aca="1" ref="D62" ca="1">IF(ISBLANK(INDIRECT(CONCATENATE("Input!",RSE_Setup!$B$19,ROW()+1))),"",INDIRECT(CONCATENATE("Input!",RSE_Setup!$B$19,ROW()+1)))</f>
        <v>10000</v>
      </c>
      <c r="E62" s="1" cm="1">
        <f t="array" aca="1" ref="E62" ca="1">IF(ISBLANK(INDIRECT(CONCATENATE("Input!",RSE_Setup!$B$29,ROW()+1))),"",INDIRECT(CONCATENATE("Input!",RSE_Setup!$B$29,ROW()+1)))</f>
        <v>4.3</v>
      </c>
      <c r="F62" s="1">
        <f ca="1"/>
        <v>4.2847675882792648</v>
      </c>
    </row>
    <row r="63" spans="1:6" x14ac:dyDescent="0.3">
      <c r="A63" s="1" cm="1">
        <f t="array" aca="1" ref="A63" ca="1">IF(ISBLANK(INDIRECT(CONCATENATE("Input!",RSE_Setup!$B$16,ROW()+1))),"",INDIRECT(CONCATENATE("Input!",RSE_Setup!$B$16,ROW()+1)))</f>
        <v>2.9999999999999997E-4</v>
      </c>
      <c r="B63" s="1" cm="1">
        <f t="array" aca="1" ref="B63" ca="1">IF(ISBLANK(INDIRECT(CONCATENATE("Input!",RSE_Setup!$B$17,ROW()+1))),"",INDIRECT(CONCATENATE("Input!",RSE_Setup!$B$17,ROW()+1)))</f>
        <v>3.0000000000000001E-3</v>
      </c>
      <c r="C63" s="1" cm="1">
        <f t="array" aca="1" ref="C63" ca="1">IF(ISBLANK(INDIRECT(CONCATENATE("Input!",RSE_Setup!$B$18,ROW()+1))),"",INDIRECT(CONCATENATE("Input!",RSE_Setup!$B$18,ROW()+1)))</f>
        <v>5.5556000000000001E-2</v>
      </c>
      <c r="D63" s="1" cm="1">
        <f t="array" aca="1" ref="D63" ca="1">IF(ISBLANK(INDIRECT(CONCATENATE("Input!",RSE_Setup!$B$19,ROW()+1))),"",INDIRECT(CONCATENATE("Input!",RSE_Setup!$B$19,ROW()+1)))</f>
        <v>6000</v>
      </c>
      <c r="E63" s="1" cm="1">
        <f t="array" aca="1" ref="E63" ca="1">IF(ISBLANK(INDIRECT(CONCATENATE("Input!",RSE_Setup!$B$29,ROW()+1))),"",INDIRECT(CONCATENATE("Input!",RSE_Setup!$B$29,ROW()+1)))</f>
        <v>4.3</v>
      </c>
      <c r="F63" s="1">
        <f ca="1"/>
        <v>4.375073346246948</v>
      </c>
    </row>
    <row r="64" spans="1:6" x14ac:dyDescent="0.3">
      <c r="A64" s="1" cm="1">
        <f t="array" aca="1" ref="A64" ca="1">IF(ISBLANK(INDIRECT(CONCATENATE("Input!",RSE_Setup!$B$16,ROW()+1))),"",INDIRECT(CONCATENATE("Input!",RSE_Setup!$B$16,ROW()+1)))</f>
        <v>2.9999999999999997E-4</v>
      </c>
      <c r="B64" s="1" cm="1">
        <f t="array" aca="1" ref="B64" ca="1">IF(ISBLANK(INDIRECT(CONCATENATE("Input!",RSE_Setup!$B$17,ROW()+1))),"",INDIRECT(CONCATENATE("Input!",RSE_Setup!$B$17,ROW()+1)))</f>
        <v>3.0000000000000001E-3</v>
      </c>
      <c r="C64" s="1" cm="1">
        <f t="array" aca="1" ref="C64" ca="1">IF(ISBLANK(INDIRECT(CONCATENATE("Input!",RSE_Setup!$B$18,ROW()+1))),"",INDIRECT(CONCATENATE("Input!",RSE_Setup!$B$18,ROW()+1)))</f>
        <v>3.2258000000000002E-2</v>
      </c>
      <c r="D64" s="1" cm="1">
        <f t="array" aca="1" ref="D64" ca="1">IF(ISBLANK(INDIRECT(CONCATENATE("Input!",RSE_Setup!$B$19,ROW()+1))),"",INDIRECT(CONCATENATE("Input!",RSE_Setup!$B$19,ROW()+1)))</f>
        <v>6000</v>
      </c>
      <c r="E64" s="1" cm="1">
        <f t="array" aca="1" ref="E64" ca="1">IF(ISBLANK(INDIRECT(CONCATENATE("Input!",RSE_Setup!$B$29,ROW()+1))),"",INDIRECT(CONCATENATE("Input!",RSE_Setup!$B$29,ROW()+1)))</f>
        <v>2.5</v>
      </c>
      <c r="F64" s="1">
        <f ca="1"/>
        <v>2.5181733500260393</v>
      </c>
    </row>
    <row r="65" spans="1:6" x14ac:dyDescent="0.3">
      <c r="A65" s="1" cm="1">
        <f t="array" aca="1" ref="A65" ca="1">IF(ISBLANK(INDIRECT(CONCATENATE("Input!",RSE_Setup!$B$16,ROW()+1))),"",INDIRECT(CONCATENATE("Input!",RSE_Setup!$B$16,ROW()+1)))</f>
        <v>2.9999999999999997E-4</v>
      </c>
      <c r="B65" s="1" cm="1">
        <f t="array" aca="1" ref="B65" ca="1">IF(ISBLANK(INDIRECT(CONCATENATE("Input!",RSE_Setup!$B$17,ROW()+1))),"",INDIRECT(CONCATENATE("Input!",RSE_Setup!$B$17,ROW()+1)))</f>
        <v>3.0000000000000001E-3</v>
      </c>
      <c r="C65" s="1" cm="1">
        <f t="array" aca="1" ref="C65" ca="1">IF(ISBLANK(INDIRECT(CONCATENATE("Input!",RSE_Setup!$B$18,ROW()+1))),"",INDIRECT(CONCATENATE("Input!",RSE_Setup!$B$18,ROW()+1)))</f>
        <v>3.2258000000000002E-2</v>
      </c>
      <c r="D65" s="1" cm="1">
        <f t="array" aca="1" ref="D65" ca="1">IF(ISBLANK(INDIRECT(CONCATENATE("Input!",RSE_Setup!$B$19,ROW()+1))),"",INDIRECT(CONCATENATE("Input!",RSE_Setup!$B$19,ROW()+1)))</f>
        <v>8000</v>
      </c>
      <c r="E65" s="1" cm="1">
        <f t="array" aca="1" ref="E65" ca="1">IF(ISBLANK(INDIRECT(CONCATENATE("Input!",RSE_Setup!$B$29,ROW()+1))),"",INDIRECT(CONCATENATE("Input!",RSE_Setup!$B$29,ROW()+1)))</f>
        <v>3.4</v>
      </c>
      <c r="F65" s="1">
        <f ca="1"/>
        <v>3.3841249136683156</v>
      </c>
    </row>
    <row r="66" spans="1:6" x14ac:dyDescent="0.3">
      <c r="A66" s="1" cm="1">
        <f t="array" aca="1" ref="A66" ca="1">IF(ISBLANK(INDIRECT(CONCATENATE("Input!",RSE_Setup!$B$16,ROW()+1))),"",INDIRECT(CONCATENATE("Input!",RSE_Setup!$B$16,ROW()+1)))</f>
        <v>2.9999999999999997E-4</v>
      </c>
      <c r="B66" s="1" cm="1">
        <f t="array" aca="1" ref="B66" ca="1">IF(ISBLANK(INDIRECT(CONCATENATE("Input!",RSE_Setup!$B$17,ROW()+1))),"",INDIRECT(CONCATENATE("Input!",RSE_Setup!$B$17,ROW()+1)))</f>
        <v>3.0000000000000001E-3</v>
      </c>
      <c r="C66" s="1" cm="1">
        <f t="array" aca="1" ref="C66" ca="1">IF(ISBLANK(INDIRECT(CONCATENATE("Input!",RSE_Setup!$B$18,ROW()+1))),"",INDIRECT(CONCATENATE("Input!",RSE_Setup!$B$18,ROW()+1)))</f>
        <v>3.2258000000000002E-2</v>
      </c>
      <c r="D66" s="1" cm="1">
        <f t="array" aca="1" ref="D66" ca="1">IF(ISBLANK(INDIRECT(CONCATENATE("Input!",RSE_Setup!$B$19,ROW()+1))),"",INDIRECT(CONCATENATE("Input!",RSE_Setup!$B$19,ROW()+1)))</f>
        <v>10000</v>
      </c>
      <c r="E66" s="1" cm="1">
        <f t="array" aca="1" ref="E66" ca="1">IF(ISBLANK(INDIRECT(CONCATENATE("Input!",RSE_Setup!$B$29,ROW()+1))),"",INDIRECT(CONCATENATE("Input!",RSE_Setup!$B$29,ROW()+1)))</f>
        <v>4.3</v>
      </c>
      <c r="F66" s="1">
        <f ca="1"/>
        <v>4.280741000675568</v>
      </c>
    </row>
    <row r="67" spans="1:6" x14ac:dyDescent="0.3">
      <c r="A67" s="1" cm="1">
        <f t="array" aca="1" ref="A67" ca="1">IF(ISBLANK(INDIRECT(CONCATENATE("Input!",RSE_Setup!$B$16,ROW()+1))),"",INDIRECT(CONCATENATE("Input!",RSE_Setup!$B$16,ROW()+1)))</f>
        <v>2.9999999999999997E-4</v>
      </c>
      <c r="B67" s="1" cm="1">
        <f t="array" aca="1" ref="B67" ca="1">IF(ISBLANK(INDIRECT(CONCATENATE("Input!",RSE_Setup!$B$17,ROW()+1))),"",INDIRECT(CONCATENATE("Input!",RSE_Setup!$B$17,ROW()+1)))</f>
        <v>4.0000000000000001E-3</v>
      </c>
      <c r="C67" s="1" cm="1">
        <f t="array" aca="1" ref="C67" ca="1">IF(ISBLANK(INDIRECT(CONCATENATE("Input!",RSE_Setup!$B$18,ROW()+1))),"",INDIRECT(CONCATENATE("Input!",RSE_Setup!$B$18,ROW()+1)))</f>
        <v>5.5556000000000001E-2</v>
      </c>
      <c r="D67" s="1" cm="1">
        <f t="array" aca="1" ref="D67" ca="1">IF(ISBLANK(INDIRECT(CONCATENATE("Input!",RSE_Setup!$B$19,ROW()+1))),"",INDIRECT(CONCATENATE("Input!",RSE_Setup!$B$19,ROW()+1)))</f>
        <v>6000</v>
      </c>
      <c r="E67" s="1" cm="1">
        <f t="array" aca="1" ref="E67" ca="1">IF(ISBLANK(INDIRECT(CONCATENATE("Input!",RSE_Setup!$B$29,ROW()+1))),"",INDIRECT(CONCATENATE("Input!",RSE_Setup!$B$29,ROW()+1)))</f>
        <v>4.3</v>
      </c>
      <c r="F67" s="1">
        <f ca="1"/>
        <v>4.3743937312578041</v>
      </c>
    </row>
    <row r="68" spans="1:6" x14ac:dyDescent="0.3">
      <c r="A68" s="1" cm="1">
        <f t="array" aca="1" ref="A68" ca="1">IF(ISBLANK(INDIRECT(CONCATENATE("Input!",RSE_Setup!$B$16,ROW()+1))),"",INDIRECT(CONCATENATE("Input!",RSE_Setup!$B$16,ROW()+1)))</f>
        <v>2.9999999999999997E-4</v>
      </c>
      <c r="B68" s="1" cm="1">
        <f t="array" aca="1" ref="B68" ca="1">IF(ISBLANK(INDIRECT(CONCATENATE("Input!",RSE_Setup!$B$17,ROW()+1))),"",INDIRECT(CONCATENATE("Input!",RSE_Setup!$B$17,ROW()+1)))</f>
        <v>4.0000000000000001E-3</v>
      </c>
      <c r="C68" s="1" cm="1">
        <f t="array" aca="1" ref="C68" ca="1">IF(ISBLANK(INDIRECT(CONCATENATE("Input!",RSE_Setup!$B$18,ROW()+1))),"",INDIRECT(CONCATENATE("Input!",RSE_Setup!$B$18,ROW()+1)))</f>
        <v>3.2258000000000002E-2</v>
      </c>
      <c r="D68" s="1" cm="1">
        <f t="array" aca="1" ref="D68" ca="1">IF(ISBLANK(INDIRECT(CONCATENATE("Input!",RSE_Setup!$B$19,ROW()+1))),"",INDIRECT(CONCATENATE("Input!",RSE_Setup!$B$19,ROW()+1)))</f>
        <v>6000</v>
      </c>
      <c r="E68" s="1" cm="1">
        <f t="array" aca="1" ref="E68" ca="1">IF(ISBLANK(INDIRECT(CONCATENATE("Input!",RSE_Setup!$B$29,ROW()+1))),"",INDIRECT(CONCATENATE("Input!",RSE_Setup!$B$29,ROW()+1)))</f>
        <v>2.5</v>
      </c>
      <c r="F68" s="1">
        <f ca="1"/>
        <v>2.5162868738823763</v>
      </c>
    </row>
    <row r="69" spans="1:6" x14ac:dyDescent="0.3">
      <c r="A69" s="1" cm="1">
        <f t="array" aca="1" ref="A69" ca="1">IF(ISBLANK(INDIRECT(CONCATENATE("Input!",RSE_Setup!$B$16,ROW()+1))),"",INDIRECT(CONCATENATE("Input!",RSE_Setup!$B$16,ROW()+1)))</f>
        <v>2.9999999999999997E-4</v>
      </c>
      <c r="B69" s="1" cm="1">
        <f t="array" aca="1" ref="B69" ca="1">IF(ISBLANK(INDIRECT(CONCATENATE("Input!",RSE_Setup!$B$17,ROW()+1))),"",INDIRECT(CONCATENATE("Input!",RSE_Setup!$B$17,ROW()+1)))</f>
        <v>4.0000000000000001E-3</v>
      </c>
      <c r="C69" s="1" cm="1">
        <f t="array" aca="1" ref="C69" ca="1">IF(ISBLANK(INDIRECT(CONCATENATE("Input!",RSE_Setup!$B$18,ROW()+1))),"",INDIRECT(CONCATENATE("Input!",RSE_Setup!$B$18,ROW()+1)))</f>
        <v>3.2258000000000002E-2</v>
      </c>
      <c r="D69" s="1" cm="1">
        <f t="array" aca="1" ref="D69" ca="1">IF(ISBLANK(INDIRECT(CONCATENATE("Input!",RSE_Setup!$B$19,ROW()+1))),"",INDIRECT(CONCATENATE("Input!",RSE_Setup!$B$19,ROW()+1)))</f>
        <v>8000</v>
      </c>
      <c r="E69" s="1" cm="1">
        <f t="array" aca="1" ref="E69" ca="1">IF(ISBLANK(INDIRECT(CONCATENATE("Input!",RSE_Setup!$B$29,ROW()+1))),"",INDIRECT(CONCATENATE("Input!",RSE_Setup!$B$29,ROW()+1)))</f>
        <v>3.4</v>
      </c>
      <c r="F69" s="1">
        <f ca="1"/>
        <v>3.3817116089033967</v>
      </c>
    </row>
    <row r="70" spans="1:6" x14ac:dyDescent="0.3">
      <c r="A70" s="1" cm="1">
        <f t="array" aca="1" ref="A70" ca="1">IF(ISBLANK(INDIRECT(CONCATENATE("Input!",RSE_Setup!$B$16,ROW()+1))),"",INDIRECT(CONCATENATE("Input!",RSE_Setup!$B$16,ROW()+1)))</f>
        <v>2.9999999999999997E-4</v>
      </c>
      <c r="B70" s="1" cm="1">
        <f t="array" aca="1" ref="B70" ca="1">IF(ISBLANK(INDIRECT(CONCATENATE("Input!",RSE_Setup!$B$17,ROW()+1))),"",INDIRECT(CONCATENATE("Input!",RSE_Setup!$B$17,ROW()+1)))</f>
        <v>4.0000000000000001E-3</v>
      </c>
      <c r="C70" s="1" cm="1">
        <f t="array" aca="1" ref="C70" ca="1">IF(ISBLANK(INDIRECT(CONCATENATE("Input!",RSE_Setup!$B$18,ROW()+1))),"",INDIRECT(CONCATENATE("Input!",RSE_Setup!$B$18,ROW()+1)))</f>
        <v>3.2258000000000002E-2</v>
      </c>
      <c r="D70" s="1" cm="1">
        <f t="array" aca="1" ref="D70" ca="1">IF(ISBLANK(INDIRECT(CONCATENATE("Input!",RSE_Setup!$B$19,ROW()+1))),"",INDIRECT(CONCATENATE("Input!",RSE_Setup!$B$19,ROW()+1)))</f>
        <v>10000</v>
      </c>
      <c r="E70" s="1" cm="1">
        <f t="array" aca="1" ref="E70" ca="1">IF(ISBLANK(INDIRECT(CONCATENATE("Input!",RSE_Setup!$B$29,ROW()+1))),"",INDIRECT(CONCATENATE("Input!",RSE_Setup!$B$29,ROW()+1)))</f>
        <v>4.3</v>
      </c>
      <c r="F70" s="1">
        <f ca="1"/>
        <v>4.2778008672893932</v>
      </c>
    </row>
    <row r="71" spans="1:6" x14ac:dyDescent="0.3">
      <c r="A71" s="1" cm="1">
        <f t="array" aca="1" ref="A71" ca="1">IF(ISBLANK(INDIRECT(CONCATENATE("Input!",RSE_Setup!$B$16,ROW()+1))),"",INDIRECT(CONCATENATE("Input!",RSE_Setup!$B$16,ROW()+1)))</f>
        <v>5.0000000000000001E-4</v>
      </c>
      <c r="B71" s="1" cm="1">
        <f t="array" aca="1" ref="B71" ca="1">IF(ISBLANK(INDIRECT(CONCATENATE("Input!",RSE_Setup!$B$17,ROW()+1))),"",INDIRECT(CONCATENATE("Input!",RSE_Setup!$B$17,ROW()+1)))</f>
        <v>3.0000000000000001E-3</v>
      </c>
      <c r="C71" s="1" cm="1">
        <f t="array" aca="1" ref="C71" ca="1">IF(ISBLANK(INDIRECT(CONCATENATE("Input!",RSE_Setup!$B$18,ROW()+1))),"",INDIRECT(CONCATENATE("Input!",RSE_Setup!$B$18,ROW()+1)))</f>
        <v>5.5556000000000001E-2</v>
      </c>
      <c r="D71" s="1" cm="1">
        <f t="array" aca="1" ref="D71" ca="1">IF(ISBLANK(INDIRECT(CONCATENATE("Input!",RSE_Setup!$B$19,ROW()+1))),"",INDIRECT(CONCATENATE("Input!",RSE_Setup!$B$19,ROW()+1)))</f>
        <v>3375</v>
      </c>
      <c r="E71" s="1" cm="1">
        <f t="array" aca="1" ref="E71" ca="1">IF(ISBLANK(INDIRECT(CONCATENATE("Input!",RSE_Setup!$B$29,ROW()+1))),"",INDIRECT(CONCATENATE("Input!",RSE_Setup!$B$29,ROW()+1)))</f>
        <v>2.5</v>
      </c>
      <c r="F71" s="1">
        <f ca="1"/>
        <v>2.500853489648045</v>
      </c>
    </row>
    <row r="72" spans="1:6" x14ac:dyDescent="0.3">
      <c r="A72" s="1" cm="1">
        <f t="array" aca="1" ref="A72" ca="1">IF(ISBLANK(INDIRECT(CONCATENATE("Input!",RSE_Setup!$B$16,ROW()+1))),"",INDIRECT(CONCATENATE("Input!",RSE_Setup!$B$16,ROW()+1)))</f>
        <v>5.0000000000000001E-4</v>
      </c>
      <c r="B72" s="1" cm="1">
        <f t="array" aca="1" ref="B72" ca="1">IF(ISBLANK(INDIRECT(CONCATENATE("Input!",RSE_Setup!$B$17,ROW()+1))),"",INDIRECT(CONCATENATE("Input!",RSE_Setup!$B$17,ROW()+1)))</f>
        <v>3.0000000000000001E-3</v>
      </c>
      <c r="C72" s="1" cm="1">
        <f t="array" aca="1" ref="C72" ca="1">IF(ISBLANK(INDIRECT(CONCATENATE("Input!",RSE_Setup!$B$18,ROW()+1))),"",INDIRECT(CONCATENATE("Input!",RSE_Setup!$B$18,ROW()+1)))</f>
        <v>5.5556000000000001E-2</v>
      </c>
      <c r="D72" s="1" cm="1">
        <f t="array" aca="1" ref="D72" ca="1">IF(ISBLANK(INDIRECT(CONCATENATE("Input!",RSE_Setup!$B$19,ROW()+1))),"",INDIRECT(CONCATENATE("Input!",RSE_Setup!$B$19,ROW()+1)))</f>
        <v>4500</v>
      </c>
      <c r="E72" s="1" cm="1">
        <f t="array" aca="1" ref="E72" ca="1">IF(ISBLANK(INDIRECT(CONCATENATE("Input!",RSE_Setup!$B$29,ROW()+1))),"",INDIRECT(CONCATENATE("Input!",RSE_Setup!$B$29,ROW()+1)))</f>
        <v>3.4</v>
      </c>
      <c r="F72" s="1">
        <f ca="1"/>
        <v>3.3023578585835254</v>
      </c>
    </row>
    <row r="73" spans="1:6" x14ac:dyDescent="0.3">
      <c r="A73" s="1" cm="1">
        <f t="array" aca="1" ref="A73" ca="1">IF(ISBLANK(INDIRECT(CONCATENATE("Input!",RSE_Setup!$B$16,ROW()+1))),"",INDIRECT(CONCATENATE("Input!",RSE_Setup!$B$16,ROW()+1)))</f>
        <v>5.0000000000000001E-4</v>
      </c>
      <c r="B73" s="1" cm="1">
        <f t="array" aca="1" ref="B73" ca="1">IF(ISBLANK(INDIRECT(CONCATENATE("Input!",RSE_Setup!$B$17,ROW()+1))),"",INDIRECT(CONCATENATE("Input!",RSE_Setup!$B$17,ROW()+1)))</f>
        <v>3.0000000000000001E-3</v>
      </c>
      <c r="C73" s="1" cm="1">
        <f t="array" aca="1" ref="C73" ca="1">IF(ISBLANK(INDIRECT(CONCATENATE("Input!",RSE_Setup!$B$18,ROW()+1))),"",INDIRECT(CONCATENATE("Input!",RSE_Setup!$B$18,ROW()+1)))</f>
        <v>5.5556000000000001E-2</v>
      </c>
      <c r="D73" s="1" cm="1">
        <f t="array" aca="1" ref="D73" ca="1">IF(ISBLANK(INDIRECT(CONCATENATE("Input!",RSE_Setup!$B$19,ROW()+1))),"",INDIRECT(CONCATENATE("Input!",RSE_Setup!$B$19,ROW()+1)))</f>
        <v>6000</v>
      </c>
      <c r="E73" s="1" cm="1">
        <f t="array" aca="1" ref="E73" ca="1">IF(ISBLANK(INDIRECT(CONCATENATE("Input!",RSE_Setup!$B$29,ROW()+1))),"",INDIRECT(CONCATENATE("Input!",RSE_Setup!$B$29,ROW()+1)))</f>
        <v>4.3</v>
      </c>
      <c r="F73" s="1">
        <f ca="1"/>
        <v>4.3861230455911979</v>
      </c>
    </row>
    <row r="74" spans="1:6" x14ac:dyDescent="0.3">
      <c r="A74" s="1" cm="1">
        <f t="array" aca="1" ref="A74" ca="1">IF(ISBLANK(INDIRECT(CONCATENATE("Input!",RSE_Setup!$B$16,ROW()+1))),"",INDIRECT(CONCATENATE("Input!",RSE_Setup!$B$16,ROW()+1)))</f>
        <v>5.0000000000000001E-4</v>
      </c>
      <c r="B74" s="1" cm="1">
        <f t="array" aca="1" ref="B74" ca="1">IF(ISBLANK(INDIRECT(CONCATENATE("Input!",RSE_Setup!$B$17,ROW()+1))),"",INDIRECT(CONCATENATE("Input!",RSE_Setup!$B$17,ROW()+1)))</f>
        <v>3.0000000000000001E-3</v>
      </c>
      <c r="C74" s="1" cm="1">
        <f t="array" aca="1" ref="C74" ca="1">IF(ISBLANK(INDIRECT(CONCATENATE("Input!",RSE_Setup!$B$18,ROW()+1))),"",INDIRECT(CONCATENATE("Input!",RSE_Setup!$B$18,ROW()+1)))</f>
        <v>3.2258000000000002E-2</v>
      </c>
      <c r="D74" s="1" cm="1">
        <f t="array" aca="1" ref="D74" ca="1">IF(ISBLANK(INDIRECT(CONCATENATE("Input!",RSE_Setup!$B$19,ROW()+1))),"",INDIRECT(CONCATENATE("Input!",RSE_Setup!$B$19,ROW()+1)))</f>
        <v>6000</v>
      </c>
      <c r="E74" s="1" cm="1">
        <f t="array" aca="1" ref="E74" ca="1">IF(ISBLANK(INDIRECT(CONCATENATE("Input!",RSE_Setup!$B$29,ROW()+1))),"",INDIRECT(CONCATENATE("Input!",RSE_Setup!$B$29,ROW()+1)))</f>
        <v>2.5</v>
      </c>
      <c r="F74" s="1">
        <f ca="1"/>
        <v>2.5294276913753633</v>
      </c>
    </row>
    <row r="75" spans="1:6" x14ac:dyDescent="0.3">
      <c r="A75" s="1" cm="1">
        <f t="array" aca="1" ref="A75" ca="1">IF(ISBLANK(INDIRECT(CONCATENATE("Input!",RSE_Setup!$B$16,ROW()+1))),"",INDIRECT(CONCATENATE("Input!",RSE_Setup!$B$16,ROW()+1)))</f>
        <v>5.0000000000000001E-4</v>
      </c>
      <c r="B75" s="1" cm="1">
        <f t="array" aca="1" ref="B75" ca="1">IF(ISBLANK(INDIRECT(CONCATENATE("Input!",RSE_Setup!$B$17,ROW()+1))),"",INDIRECT(CONCATENATE("Input!",RSE_Setup!$B$17,ROW()+1)))</f>
        <v>3.0000000000000001E-3</v>
      </c>
      <c r="C75" s="1" cm="1">
        <f t="array" aca="1" ref="C75" ca="1">IF(ISBLANK(INDIRECT(CONCATENATE("Input!",RSE_Setup!$B$18,ROW()+1))),"",INDIRECT(CONCATENATE("Input!",RSE_Setup!$B$18,ROW()+1)))</f>
        <v>3.2258000000000002E-2</v>
      </c>
      <c r="D75" s="1" cm="1">
        <f t="array" aca="1" ref="D75" ca="1">IF(ISBLANK(INDIRECT(CONCATENATE("Input!",RSE_Setup!$B$19,ROW()+1))),"",INDIRECT(CONCATENATE("Input!",RSE_Setup!$B$19,ROW()+1)))</f>
        <v>8000</v>
      </c>
      <c r="E75" s="1" cm="1">
        <f t="array" aca="1" ref="E75" ca="1">IF(ISBLANK(INDIRECT(CONCATENATE("Input!",RSE_Setup!$B$29,ROW()+1))),"",INDIRECT(CONCATENATE("Input!",RSE_Setup!$B$29,ROW()+1)))</f>
        <v>3.4</v>
      </c>
      <c r="F75" s="1">
        <f ca="1"/>
        <v>3.3886699548824475</v>
      </c>
    </row>
    <row r="76" spans="1:6" x14ac:dyDescent="0.3">
      <c r="A76" s="1" cm="1">
        <f t="array" aca="1" ref="A76" ca="1">IF(ISBLANK(INDIRECT(CONCATENATE("Input!",RSE_Setup!$B$16,ROW()+1))),"",INDIRECT(CONCATENATE("Input!",RSE_Setup!$B$16,ROW()+1)))</f>
        <v>5.0000000000000001E-4</v>
      </c>
      <c r="B76" s="1" cm="1">
        <f t="array" aca="1" ref="B76" ca="1">IF(ISBLANK(INDIRECT(CONCATENATE("Input!",RSE_Setup!$B$17,ROW()+1))),"",INDIRECT(CONCATENATE("Input!",RSE_Setup!$B$17,ROW()+1)))</f>
        <v>3.0000000000000001E-3</v>
      </c>
      <c r="C76" s="1" cm="1">
        <f t="array" aca="1" ref="C76" ca="1">IF(ISBLANK(INDIRECT(CONCATENATE("Input!",RSE_Setup!$B$18,ROW()+1))),"",INDIRECT(CONCATENATE("Input!",RSE_Setup!$B$18,ROW()+1)))</f>
        <v>3.2258000000000002E-2</v>
      </c>
      <c r="D76" s="1" cm="1">
        <f t="array" aca="1" ref="D76" ca="1">IF(ISBLANK(INDIRECT(CONCATENATE("Input!",RSE_Setup!$B$19,ROW()+1))),"",INDIRECT(CONCATENATE("Input!",RSE_Setup!$B$19,ROW()+1)))</f>
        <v>10000</v>
      </c>
      <c r="E76" s="1" cm="1">
        <f t="array" aca="1" ref="E76" ca="1">IF(ISBLANK(INDIRECT(CONCATENATE("Input!",RSE_Setup!$B$29,ROW()+1))),"",INDIRECT(CONCATENATE("Input!",RSE_Setup!$B$29,ROW()+1)))</f>
        <v>4.3</v>
      </c>
      <c r="F76" s="1">
        <f ca="1"/>
        <v>4.2785767417545069</v>
      </c>
    </row>
    <row r="77" spans="1:6" x14ac:dyDescent="0.3">
      <c r="A77" s="1" cm="1">
        <f t="array" aca="1" ref="A77" ca="1">IF(ISBLANK(INDIRECT(CONCATENATE("Input!",RSE_Setup!$B$16,ROW()+1))),"",INDIRECT(CONCATENATE("Input!",RSE_Setup!$B$16,ROW()+1)))</f>
        <v>5.0000000000000001E-4</v>
      </c>
      <c r="B77" s="1" cm="1">
        <f t="array" aca="1" ref="B77" ca="1">IF(ISBLANK(INDIRECT(CONCATENATE("Input!",RSE_Setup!$B$17,ROW()+1))),"",INDIRECT(CONCATENATE("Input!",RSE_Setup!$B$17,ROW()+1)))</f>
        <v>4.7499999999999999E-3</v>
      </c>
      <c r="C77" s="1" cm="1">
        <f t="array" aca="1" ref="C77" ca="1">IF(ISBLANK(INDIRECT(CONCATENATE("Input!",RSE_Setup!$B$18,ROW()+1))),"",INDIRECT(CONCATENATE("Input!",RSE_Setup!$B$18,ROW()+1)))</f>
        <v>5.5556000000000001E-2</v>
      </c>
      <c r="D77" s="1" cm="1">
        <f t="array" aca="1" ref="D77" ca="1">IF(ISBLANK(INDIRECT(CONCATENATE("Input!",RSE_Setup!$B$19,ROW()+1))),"",INDIRECT(CONCATENATE("Input!",RSE_Setup!$B$19,ROW()+1)))</f>
        <v>3375</v>
      </c>
      <c r="E77" s="1" cm="1">
        <f t="array" aca="1" ref="E77" ca="1">IF(ISBLANK(INDIRECT(CONCATENATE("Input!",RSE_Setup!$B$29,ROW()+1))),"",INDIRECT(CONCATENATE("Input!",RSE_Setup!$B$29,ROW()+1)))</f>
        <v>2.5</v>
      </c>
      <c r="F77" s="1">
        <f ca="1"/>
        <v>2.5008351229234758</v>
      </c>
    </row>
    <row r="78" spans="1:6" x14ac:dyDescent="0.3">
      <c r="A78" s="1" cm="1">
        <f t="array" aca="1" ref="A78" ca="1">IF(ISBLANK(INDIRECT(CONCATENATE("Input!",RSE_Setup!$B$16,ROW()+1))),"",INDIRECT(CONCATENATE("Input!",RSE_Setup!$B$16,ROW()+1)))</f>
        <v>5.0000000000000001E-4</v>
      </c>
      <c r="B78" s="1" cm="1">
        <f t="array" aca="1" ref="B78" ca="1">IF(ISBLANK(INDIRECT(CONCATENATE("Input!",RSE_Setup!$B$17,ROW()+1))),"",INDIRECT(CONCATENATE("Input!",RSE_Setup!$B$17,ROW()+1)))</f>
        <v>4.7499999999999999E-3</v>
      </c>
      <c r="C78" s="1" cm="1">
        <f t="array" aca="1" ref="C78" ca="1">IF(ISBLANK(INDIRECT(CONCATENATE("Input!",RSE_Setup!$B$18,ROW()+1))),"",INDIRECT(CONCATENATE("Input!",RSE_Setup!$B$18,ROW()+1)))</f>
        <v>5.5556000000000001E-2</v>
      </c>
      <c r="D78" s="1" cm="1">
        <f t="array" aca="1" ref="D78" ca="1">IF(ISBLANK(INDIRECT(CONCATENATE("Input!",RSE_Setup!$B$19,ROW()+1))),"",INDIRECT(CONCATENATE("Input!",RSE_Setup!$B$19,ROW()+1)))</f>
        <v>4500</v>
      </c>
      <c r="E78" s="1" cm="1">
        <f t="array" aca="1" ref="E78" ca="1">IF(ISBLANK(INDIRECT(CONCATENATE("Input!",RSE_Setup!$B$29,ROW()+1))),"",INDIRECT(CONCATENATE("Input!",RSE_Setup!$B$29,ROW()+1)))</f>
        <v>3.4</v>
      </c>
      <c r="F78" s="1">
        <f ca="1"/>
        <v>3.3018208949349068</v>
      </c>
    </row>
    <row r="79" spans="1:6" x14ac:dyDescent="0.3">
      <c r="A79" s="1" cm="1">
        <f t="array" aca="1" ref="A79" ca="1">IF(ISBLANK(INDIRECT(CONCATENATE("Input!",RSE_Setup!$B$16,ROW()+1))),"",INDIRECT(CONCATENATE("Input!",RSE_Setup!$B$16,ROW()+1)))</f>
        <v>5.0000000000000001E-4</v>
      </c>
      <c r="B79" s="1" cm="1">
        <f t="array" aca="1" ref="B79" ca="1">IF(ISBLANK(INDIRECT(CONCATENATE("Input!",RSE_Setup!$B$17,ROW()+1))),"",INDIRECT(CONCATENATE("Input!",RSE_Setup!$B$17,ROW()+1)))</f>
        <v>4.7499999999999999E-3</v>
      </c>
      <c r="C79" s="1" cm="1">
        <f t="array" aca="1" ref="C79" ca="1">IF(ISBLANK(INDIRECT(CONCATENATE("Input!",RSE_Setup!$B$18,ROW()+1))),"",INDIRECT(CONCATENATE("Input!",RSE_Setup!$B$18,ROW()+1)))</f>
        <v>5.5556000000000001E-2</v>
      </c>
      <c r="D79" s="1" cm="1">
        <f t="array" aca="1" ref="D79" ca="1">IF(ISBLANK(INDIRECT(CONCATENATE("Input!",RSE_Setup!$B$19,ROW()+1))),"",INDIRECT(CONCATENATE("Input!",RSE_Setup!$B$19,ROW()+1)))</f>
        <v>6000</v>
      </c>
      <c r="E79" s="1" cm="1">
        <f t="array" aca="1" ref="E79" ca="1">IF(ISBLANK(INDIRECT(CONCATENATE("Input!",RSE_Setup!$B$29,ROW()+1))),"",INDIRECT(CONCATENATE("Input!",RSE_Setup!$B$29,ROW()+1)))</f>
        <v>4.3</v>
      </c>
      <c r="F79" s="1">
        <f ca="1"/>
        <v>4.3848946193771807</v>
      </c>
    </row>
    <row r="80" spans="1:6" x14ac:dyDescent="0.3">
      <c r="A80" s="1" cm="1">
        <f t="array" aca="1" ref="A80" ca="1">IF(ISBLANK(INDIRECT(CONCATENATE("Input!",RSE_Setup!$B$16,ROW()+1))),"",INDIRECT(CONCATENATE("Input!",RSE_Setup!$B$16,ROW()+1)))</f>
        <v>5.0000000000000001E-4</v>
      </c>
      <c r="B80" s="1" cm="1">
        <f t="array" aca="1" ref="B80" ca="1">IF(ISBLANK(INDIRECT(CONCATENATE("Input!",RSE_Setup!$B$17,ROW()+1))),"",INDIRECT(CONCATENATE("Input!",RSE_Setup!$B$17,ROW()+1)))</f>
        <v>4.7499999999999999E-3</v>
      </c>
      <c r="C80" s="1" cm="1">
        <f t="array" aca="1" ref="C80" ca="1">IF(ISBLANK(INDIRECT(CONCATENATE("Input!",RSE_Setup!$B$18,ROW()+1))),"",INDIRECT(CONCATENATE("Input!",RSE_Setup!$B$18,ROW()+1)))</f>
        <v>3.2258000000000002E-2</v>
      </c>
      <c r="D80" s="1" cm="1">
        <f t="array" aca="1" ref="D80" ca="1">IF(ISBLANK(INDIRECT(CONCATENATE("Input!",RSE_Setup!$B$19,ROW()+1))),"",INDIRECT(CONCATENATE("Input!",RSE_Setup!$B$19,ROW()+1)))</f>
        <v>6000</v>
      </c>
      <c r="E80" s="1" cm="1">
        <f t="array" aca="1" ref="E80" ca="1">IF(ISBLANK(INDIRECT(CONCATENATE("Input!",RSE_Setup!$B$29,ROW()+1))),"",INDIRECT(CONCATENATE("Input!",RSE_Setup!$B$29,ROW()+1)))</f>
        <v>2.5</v>
      </c>
      <c r="F80" s="1">
        <f ca="1"/>
        <v>2.5260872581409393</v>
      </c>
    </row>
    <row r="81" spans="1:6" x14ac:dyDescent="0.3">
      <c r="A81" s="1" cm="1">
        <f t="array" aca="1" ref="A81" ca="1">IF(ISBLANK(INDIRECT(CONCATENATE("Input!",RSE_Setup!$B$16,ROW()+1))),"",INDIRECT(CONCATENATE("Input!",RSE_Setup!$B$16,ROW()+1)))</f>
        <v>5.0000000000000001E-4</v>
      </c>
      <c r="B81" s="1" cm="1">
        <f t="array" aca="1" ref="B81" ca="1">IF(ISBLANK(INDIRECT(CONCATENATE("Input!",RSE_Setup!$B$17,ROW()+1))),"",INDIRECT(CONCATENATE("Input!",RSE_Setup!$B$17,ROW()+1)))</f>
        <v>4.7499999999999999E-3</v>
      </c>
      <c r="C81" s="1" cm="1">
        <f t="array" aca="1" ref="C81" ca="1">IF(ISBLANK(INDIRECT(CONCATENATE("Input!",RSE_Setup!$B$18,ROW()+1))),"",INDIRECT(CONCATENATE("Input!",RSE_Setup!$B$18,ROW()+1)))</f>
        <v>3.2258000000000002E-2</v>
      </c>
      <c r="D81" s="1" cm="1">
        <f t="array" aca="1" ref="D81" ca="1">IF(ISBLANK(INDIRECT(CONCATENATE("Input!",RSE_Setup!$B$19,ROW()+1))),"",INDIRECT(CONCATENATE("Input!",RSE_Setup!$B$19,ROW()+1)))</f>
        <v>8000</v>
      </c>
      <c r="E81" s="1" cm="1">
        <f t="array" aca="1" ref="E81" ca="1">IF(ISBLANK(INDIRECT(CONCATENATE("Input!",RSE_Setup!$B$29,ROW()+1))),"",INDIRECT(CONCATENATE("Input!",RSE_Setup!$B$29,ROW()+1)))</f>
        <v>3.4</v>
      </c>
      <c r="F81" s="1">
        <f ca="1"/>
        <v>3.3844075715608244</v>
      </c>
    </row>
    <row r="82" spans="1:6" x14ac:dyDescent="0.3">
      <c r="A82" s="1" cm="1">
        <f t="array" aca="1" ref="A82" ca="1">IF(ISBLANK(INDIRECT(CONCATENATE("Input!",RSE_Setup!$B$16,ROW()+1))),"",INDIRECT(CONCATENATE("Input!",RSE_Setup!$B$16,ROW()+1)))</f>
        <v>5.0000000000000001E-4</v>
      </c>
      <c r="B82" s="1" cm="1">
        <f t="array" aca="1" ref="B82" ca="1">IF(ISBLANK(INDIRECT(CONCATENATE("Input!",RSE_Setup!$B$17,ROW()+1))),"",INDIRECT(CONCATENATE("Input!",RSE_Setup!$B$17,ROW()+1)))</f>
        <v>4.7499999999999999E-3</v>
      </c>
      <c r="C82" s="1" cm="1">
        <f t="array" aca="1" ref="C82" ca="1">IF(ISBLANK(INDIRECT(CONCATENATE("Input!",RSE_Setup!$B$18,ROW()+1))),"",INDIRECT(CONCATENATE("Input!",RSE_Setup!$B$18,ROW()+1)))</f>
        <v>3.2258000000000002E-2</v>
      </c>
      <c r="D82" s="1" cm="1">
        <f t="array" aca="1" ref="D82" ca="1">IF(ISBLANK(INDIRECT(CONCATENATE("Input!",RSE_Setup!$B$19,ROW()+1))),"",INDIRECT(CONCATENATE("Input!",RSE_Setup!$B$19,ROW()+1)))</f>
        <v>10000</v>
      </c>
      <c r="E82" s="1" cm="1">
        <f t="array" aca="1" ref="E82" ca="1">IF(ISBLANK(INDIRECT(CONCATENATE("Input!",RSE_Setup!$B$29,ROW()+1))),"",INDIRECT(CONCATENATE("Input!",RSE_Setup!$B$29,ROW()+1)))</f>
        <v>4.3</v>
      </c>
      <c r="F82" s="1">
        <f ca="1"/>
        <v>4.2733924083456856</v>
      </c>
    </row>
    <row r="83" spans="1:6" x14ac:dyDescent="0.3">
      <c r="A83" s="1" cm="1">
        <f t="array" aca="1" ref="A83" ca="1">IF(ISBLANK(INDIRECT(CONCATENATE("Input!",RSE_Setup!$B$16,ROW()+1))),"",INDIRECT(CONCATENATE("Input!",RSE_Setup!$B$16,ROW()+1)))</f>
        <v>5.0000000000000001E-4</v>
      </c>
      <c r="B83" s="1" cm="1">
        <f t="array" aca="1" ref="B83" ca="1">IF(ISBLANK(INDIRECT(CONCATENATE("Input!",RSE_Setup!$B$17,ROW()+1))),"",INDIRECT(CONCATENATE("Input!",RSE_Setup!$B$17,ROW()+1)))</f>
        <v>6.4999999999999997E-3</v>
      </c>
      <c r="C83" s="1" cm="1">
        <f t="array" aca="1" ref="C83" ca="1">IF(ISBLANK(INDIRECT(CONCATENATE("Input!",RSE_Setup!$B$18,ROW()+1))),"",INDIRECT(CONCATENATE("Input!",RSE_Setup!$B$18,ROW()+1)))</f>
        <v>5.5556000000000001E-2</v>
      </c>
      <c r="D83" s="1" cm="1">
        <f t="array" aca="1" ref="D83" ca="1">IF(ISBLANK(INDIRECT(CONCATENATE("Input!",RSE_Setup!$B$19,ROW()+1))),"",INDIRECT(CONCATENATE("Input!",RSE_Setup!$B$19,ROW()+1)))</f>
        <v>3375</v>
      </c>
      <c r="E83" s="1" cm="1">
        <f t="array" aca="1" ref="E83" ca="1">IF(ISBLANK(INDIRECT(CONCATENATE("Input!",RSE_Setup!$B$29,ROW()+1))),"",INDIRECT(CONCATENATE("Input!",RSE_Setup!$B$29,ROW()+1)))</f>
        <v>2.5</v>
      </c>
      <c r="F83" s="1">
        <f ca="1"/>
        <v>2.5041440222400673</v>
      </c>
    </row>
    <row r="84" spans="1:6" x14ac:dyDescent="0.3">
      <c r="A84" s="1" cm="1">
        <f t="array" aca="1" ref="A84" ca="1">IF(ISBLANK(INDIRECT(CONCATENATE("Input!",RSE_Setup!$B$16,ROW()+1))),"",INDIRECT(CONCATENATE("Input!",RSE_Setup!$B$16,ROW()+1)))</f>
        <v>5.0000000000000001E-4</v>
      </c>
      <c r="B84" s="1" cm="1">
        <f t="array" aca="1" ref="B84" ca="1">IF(ISBLANK(INDIRECT(CONCATENATE("Input!",RSE_Setup!$B$17,ROW()+1))),"",INDIRECT(CONCATENATE("Input!",RSE_Setup!$B$17,ROW()+1)))</f>
        <v>6.4999999999999997E-3</v>
      </c>
      <c r="C84" s="1" cm="1">
        <f t="array" aca="1" ref="C84" ca="1">IF(ISBLANK(INDIRECT(CONCATENATE("Input!",RSE_Setup!$B$18,ROW()+1))),"",INDIRECT(CONCATENATE("Input!",RSE_Setup!$B$18,ROW()+1)))</f>
        <v>5.5556000000000001E-2</v>
      </c>
      <c r="D84" s="1" cm="1">
        <f t="array" aca="1" ref="D84" ca="1">IF(ISBLANK(INDIRECT(CONCATENATE("Input!",RSE_Setup!$B$19,ROW()+1))),"",INDIRECT(CONCATENATE("Input!",RSE_Setup!$B$19,ROW()+1)))</f>
        <v>4500</v>
      </c>
      <c r="E84" s="1" cm="1">
        <f t="array" aca="1" ref="E84" ca="1">IF(ISBLANK(INDIRECT(CONCATENATE("Input!",RSE_Setup!$B$29,ROW()+1))),"",INDIRECT(CONCATENATE("Input!",RSE_Setup!$B$29,ROW()+1)))</f>
        <v>3.4</v>
      </c>
      <c r="F84" s="1">
        <f ca="1"/>
        <v>3.3046111973274495</v>
      </c>
    </row>
    <row r="85" spans="1:6" x14ac:dyDescent="0.3">
      <c r="A85" s="1" cm="1">
        <f t="array" aca="1" ref="A85" ca="1">IF(ISBLANK(INDIRECT(CONCATENATE("Input!",RSE_Setup!$B$16,ROW()+1))),"",INDIRECT(CONCATENATE("Input!",RSE_Setup!$B$16,ROW()+1)))</f>
        <v>5.0000000000000001E-4</v>
      </c>
      <c r="B85" s="1" cm="1">
        <f t="array" aca="1" ref="B85" ca="1">IF(ISBLANK(INDIRECT(CONCATENATE("Input!",RSE_Setup!$B$17,ROW()+1))),"",INDIRECT(CONCATENATE("Input!",RSE_Setup!$B$17,ROW()+1)))</f>
        <v>6.4999999999999997E-3</v>
      </c>
      <c r="C85" s="1" cm="1">
        <f t="array" aca="1" ref="C85" ca="1">IF(ISBLANK(INDIRECT(CONCATENATE("Input!",RSE_Setup!$B$18,ROW()+1))),"",INDIRECT(CONCATENATE("Input!",RSE_Setup!$B$18,ROW()+1)))</f>
        <v>5.5556000000000001E-2</v>
      </c>
      <c r="D85" s="1" cm="1">
        <f t="array" aca="1" ref="D85" ca="1">IF(ISBLANK(INDIRECT(CONCATENATE("Input!",RSE_Setup!$B$19,ROW()+1))),"",INDIRECT(CONCATENATE("Input!",RSE_Setup!$B$19,ROW()+1)))</f>
        <v>6000</v>
      </c>
      <c r="E85" s="1" cm="1">
        <f t="array" aca="1" ref="E85" ca="1">IF(ISBLANK(INDIRECT(CONCATENATE("Input!",RSE_Setup!$B$29,ROW()+1))),"",INDIRECT(CONCATENATE("Input!",RSE_Setup!$B$29,ROW()+1)))</f>
        <v>4.3</v>
      </c>
      <c r="F85" s="1">
        <f ca="1"/>
        <v>4.3869934592043247</v>
      </c>
    </row>
    <row r="86" spans="1:6" x14ac:dyDescent="0.3">
      <c r="A86" s="1" cm="1">
        <f t="array" aca="1" ref="A86" ca="1">IF(ISBLANK(INDIRECT(CONCATENATE("Input!",RSE_Setup!$B$16,ROW()+1))),"",INDIRECT(CONCATENATE("Input!",RSE_Setup!$B$16,ROW()+1)))</f>
        <v>5.0000000000000001E-4</v>
      </c>
      <c r="B86" s="1" cm="1">
        <f t="array" aca="1" ref="B86" ca="1">IF(ISBLANK(INDIRECT(CONCATENATE("Input!",RSE_Setup!$B$17,ROW()+1))),"",INDIRECT(CONCATENATE("Input!",RSE_Setup!$B$17,ROW()+1)))</f>
        <v>6.4999999999999997E-3</v>
      </c>
      <c r="C86" s="1" cm="1">
        <f t="array" aca="1" ref="C86" ca="1">IF(ISBLANK(INDIRECT(CONCATENATE("Input!",RSE_Setup!$B$18,ROW()+1))),"",INDIRECT(CONCATENATE("Input!",RSE_Setup!$B$18,ROW()+1)))</f>
        <v>3.2258000000000002E-2</v>
      </c>
      <c r="D86" s="1" cm="1">
        <f t="array" aca="1" ref="D86" ca="1">IF(ISBLANK(INDIRECT(CONCATENATE("Input!",RSE_Setup!$B$19,ROW()+1))),"",INDIRECT(CONCATENATE("Input!",RSE_Setup!$B$19,ROW()+1)))</f>
        <v>6000</v>
      </c>
      <c r="E86" s="1" cm="1">
        <f t="array" aca="1" ref="E86" ca="1">IF(ISBLANK(INDIRECT(CONCATENATE("Input!",RSE_Setup!$B$29,ROW()+1))),"",INDIRECT(CONCATENATE("Input!",RSE_Setup!$B$29,ROW()+1)))</f>
        <v>2.5</v>
      </c>
      <c r="F86" s="1">
        <f ca="1"/>
        <v>2.5260740909476755</v>
      </c>
    </row>
    <row r="87" spans="1:6" x14ac:dyDescent="0.3">
      <c r="A87" s="1" cm="1">
        <f t="array" aca="1" ref="A87" ca="1">IF(ISBLANK(INDIRECT(CONCATENATE("Input!",RSE_Setup!$B$16,ROW()+1))),"",INDIRECT(CONCATENATE("Input!",RSE_Setup!$B$16,ROW()+1)))</f>
        <v>7.5000000000000002E-4</v>
      </c>
      <c r="B87" s="1" cm="1">
        <f t="array" aca="1" ref="B87" ca="1">IF(ISBLANK(INDIRECT(CONCATENATE("Input!",RSE_Setup!$B$17,ROW()+1))),"",INDIRECT(CONCATENATE("Input!",RSE_Setup!$B$17,ROW()+1)))</f>
        <v>4.0000000000000001E-3</v>
      </c>
      <c r="C87" s="1" cm="1">
        <f t="array" aca="1" ref="C87" ca="1">IF(ISBLANK(INDIRECT(CONCATENATE("Input!",RSE_Setup!$B$18,ROW()+1))),"",INDIRECT(CONCATENATE("Input!",RSE_Setup!$B$18,ROW()+1)))</f>
        <v>5.5556000000000001E-2</v>
      </c>
      <c r="D87" s="1" cm="1">
        <f t="array" aca="1" ref="D87" ca="1">IF(ISBLANK(INDIRECT(CONCATENATE("Input!",RSE_Setup!$B$19,ROW()+1))),"",INDIRECT(CONCATENATE("Input!",RSE_Setup!$B$19,ROW()+1)))</f>
        <v>3375</v>
      </c>
      <c r="E87" s="1" cm="1">
        <f t="array" aca="1" ref="E87" ca="1">IF(ISBLANK(INDIRECT(CONCATENATE("Input!",RSE_Setup!$B$29,ROW()+1))),"",INDIRECT(CONCATENATE("Input!",RSE_Setup!$B$29,ROW()+1)))</f>
        <v>2.5</v>
      </c>
      <c r="F87" s="1">
        <f ca="1"/>
        <v>2.5144653395258718</v>
      </c>
    </row>
    <row r="88" spans="1:6" x14ac:dyDescent="0.3">
      <c r="A88" s="1" cm="1">
        <f t="array" aca="1" ref="A88" ca="1">IF(ISBLANK(INDIRECT(CONCATENATE("Input!",RSE_Setup!$B$16,ROW()+1))),"",INDIRECT(CONCATENATE("Input!",RSE_Setup!$B$16,ROW()+1)))</f>
        <v>7.5000000000000002E-4</v>
      </c>
      <c r="B88" s="1" cm="1">
        <f t="array" aca="1" ref="B88" ca="1">IF(ISBLANK(INDIRECT(CONCATENATE("Input!",RSE_Setup!$B$17,ROW()+1))),"",INDIRECT(CONCATENATE("Input!",RSE_Setup!$B$17,ROW()+1)))</f>
        <v>4.0000000000000001E-3</v>
      </c>
      <c r="C88" s="1" cm="1">
        <f t="array" aca="1" ref="C88" ca="1">IF(ISBLANK(INDIRECT(CONCATENATE("Input!",RSE_Setup!$B$18,ROW()+1))),"",INDIRECT(CONCATENATE("Input!",RSE_Setup!$B$18,ROW()+1)))</f>
        <v>5.5556000000000001E-2</v>
      </c>
      <c r="D88" s="1" cm="1">
        <f t="array" aca="1" ref="D88" ca="1">IF(ISBLANK(INDIRECT(CONCATENATE("Input!",RSE_Setup!$B$19,ROW()+1))),"",INDIRECT(CONCATENATE("Input!",RSE_Setup!$B$19,ROW()+1)))</f>
        <v>4500</v>
      </c>
      <c r="E88" s="1" cm="1">
        <f t="array" aca="1" ref="E88" ca="1">IF(ISBLANK(INDIRECT(CONCATENATE("Input!",RSE_Setup!$B$29,ROW()+1))),"",INDIRECT(CONCATENATE("Input!",RSE_Setup!$B$29,ROW()+1)))</f>
        <v>3.4</v>
      </c>
      <c r="F88" s="1">
        <f ca="1"/>
        <v>3.3109558907043382</v>
      </c>
    </row>
    <row r="89" spans="1:6" x14ac:dyDescent="0.3">
      <c r="A89" s="1" cm="1">
        <f t="array" aca="1" ref="A89" ca="1">IF(ISBLANK(INDIRECT(CONCATENATE("Input!",RSE_Setup!$B$16,ROW()+1))),"",INDIRECT(CONCATENATE("Input!",RSE_Setup!$B$16,ROW()+1)))</f>
        <v>7.5000000000000002E-4</v>
      </c>
      <c r="B89" s="1" cm="1">
        <f t="array" aca="1" ref="B89" ca="1">IF(ISBLANK(INDIRECT(CONCATENATE("Input!",RSE_Setup!$B$17,ROW()+1))),"",INDIRECT(CONCATENATE("Input!",RSE_Setup!$B$17,ROW()+1)))</f>
        <v>4.0000000000000001E-3</v>
      </c>
      <c r="C89" s="1" cm="1">
        <f t="array" aca="1" ref="C89" ca="1">IF(ISBLANK(INDIRECT(CONCATENATE("Input!",RSE_Setup!$B$18,ROW()+1))),"",INDIRECT(CONCATENATE("Input!",RSE_Setup!$B$18,ROW()+1)))</f>
        <v>5.5556000000000001E-2</v>
      </c>
      <c r="D89" s="1" cm="1">
        <f t="array" aca="1" ref="D89" ca="1">IF(ISBLANK(INDIRECT(CONCATENATE("Input!",RSE_Setup!$B$19,ROW()+1))),"",INDIRECT(CONCATENATE("Input!",RSE_Setup!$B$19,ROW()+1)))</f>
        <v>6000</v>
      </c>
      <c r="E89" s="1" cm="1">
        <f t="array" aca="1" ref="E89" ca="1">IF(ISBLANK(INDIRECT(CONCATENATE("Input!",RSE_Setup!$B$29,ROW()+1))),"",INDIRECT(CONCATENATE("Input!",RSE_Setup!$B$29,ROW()+1)))</f>
        <v>4.3</v>
      </c>
      <c r="F89" s="1">
        <f ca="1"/>
        <v>4.3880359873693262</v>
      </c>
    </row>
    <row r="90" spans="1:6" x14ac:dyDescent="0.3">
      <c r="A90" s="1" cm="1">
        <f t="array" aca="1" ref="A90" ca="1">IF(ISBLANK(INDIRECT(CONCATENATE("Input!",RSE_Setup!$B$16,ROW()+1))),"",INDIRECT(CONCATENATE("Input!",RSE_Setup!$B$16,ROW()+1)))</f>
        <v>7.5000000000000002E-4</v>
      </c>
      <c r="B90" s="1" cm="1">
        <f t="array" aca="1" ref="B90" ca="1">IF(ISBLANK(INDIRECT(CONCATENATE("Input!",RSE_Setup!$B$17,ROW()+1))),"",INDIRECT(CONCATENATE("Input!",RSE_Setup!$B$17,ROW()+1)))</f>
        <v>4.0000000000000001E-3</v>
      </c>
      <c r="C90" s="1" cm="1">
        <f t="array" aca="1" ref="C90" ca="1">IF(ISBLANK(INDIRECT(CONCATENATE("Input!",RSE_Setup!$B$18,ROW()+1))),"",INDIRECT(CONCATENATE("Input!",RSE_Setup!$B$18,ROW()+1)))</f>
        <v>3.2258000000000002E-2</v>
      </c>
      <c r="D90" s="1" cm="1">
        <f t="array" aca="1" ref="D90" ca="1">IF(ISBLANK(INDIRECT(CONCATENATE("Input!",RSE_Setup!$B$19,ROW()+1))),"",INDIRECT(CONCATENATE("Input!",RSE_Setup!$B$19,ROW()+1)))</f>
        <v>6000</v>
      </c>
      <c r="E90" s="1" cm="1">
        <f t="array" aca="1" ref="E90" ca="1">IF(ISBLANK(INDIRECT(CONCATENATE("Input!",RSE_Setup!$B$29,ROW()+1))),"",INDIRECT(CONCATENATE("Input!",RSE_Setup!$B$29,ROW()+1)))</f>
        <v>2.5</v>
      </c>
      <c r="F90" s="1">
        <f ca="1"/>
        <v>2.5303895745053158</v>
      </c>
    </row>
    <row r="91" spans="1:6" x14ac:dyDescent="0.3">
      <c r="A91" s="1" cm="1">
        <f t="array" aca="1" ref="A91" ca="1">IF(ISBLANK(INDIRECT(CONCATENATE("Input!",RSE_Setup!$B$16,ROW()+1))),"",INDIRECT(CONCATENATE("Input!",RSE_Setup!$B$16,ROW()+1)))</f>
        <v>7.5000000000000002E-4</v>
      </c>
      <c r="B91" s="1" cm="1">
        <f t="array" aca="1" ref="B91" ca="1">IF(ISBLANK(INDIRECT(CONCATENATE("Input!",RSE_Setup!$B$17,ROW()+1))),"",INDIRECT(CONCATENATE("Input!",RSE_Setup!$B$17,ROW()+1)))</f>
        <v>6.0000000000000001E-3</v>
      </c>
      <c r="C91" s="1" cm="1">
        <f t="array" aca="1" ref="C91" ca="1">IF(ISBLANK(INDIRECT(CONCATENATE("Input!",RSE_Setup!$B$18,ROW()+1))),"",INDIRECT(CONCATENATE("Input!",RSE_Setup!$B$18,ROW()+1)))</f>
        <v>5.5556000000000001E-2</v>
      </c>
      <c r="D91" s="1" cm="1">
        <f t="array" aca="1" ref="D91" ca="1">IF(ISBLANK(INDIRECT(CONCATENATE("Input!",RSE_Setup!$B$19,ROW()+1))),"",INDIRECT(CONCATENATE("Input!",RSE_Setup!$B$19,ROW()+1)))</f>
        <v>3375</v>
      </c>
      <c r="E91" s="1" cm="1">
        <f t="array" aca="1" ref="E91" ca="1">IF(ISBLANK(INDIRECT(CONCATENATE("Input!",RSE_Setup!$B$29,ROW()+1))),"",INDIRECT(CONCATENATE("Input!",RSE_Setup!$B$29,ROW()+1)))</f>
        <v>2.5</v>
      </c>
      <c r="F91" s="1">
        <f ca="1"/>
        <v>2.5158144630254116</v>
      </c>
    </row>
    <row r="92" spans="1:6" x14ac:dyDescent="0.3">
      <c r="A92" s="1" cm="1">
        <f t="array" aca="1" ref="A92" ca="1">IF(ISBLANK(INDIRECT(CONCATENATE("Input!",RSE_Setup!$B$16,ROW()+1))),"",INDIRECT(CONCATENATE("Input!",RSE_Setup!$B$16,ROW()+1)))</f>
        <v>7.5000000000000002E-4</v>
      </c>
      <c r="B92" s="1" cm="1">
        <f t="array" aca="1" ref="B92" ca="1">IF(ISBLANK(INDIRECT(CONCATENATE("Input!",RSE_Setup!$B$17,ROW()+1))),"",INDIRECT(CONCATENATE("Input!",RSE_Setup!$B$17,ROW()+1)))</f>
        <v>6.0000000000000001E-3</v>
      </c>
      <c r="C92" s="1" cm="1">
        <f t="array" aca="1" ref="C92" ca="1">IF(ISBLANK(INDIRECT(CONCATENATE("Input!",RSE_Setup!$B$18,ROW()+1))),"",INDIRECT(CONCATENATE("Input!",RSE_Setup!$B$18,ROW()+1)))</f>
        <v>5.5556000000000001E-2</v>
      </c>
      <c r="D92" s="1" cm="1">
        <f t="array" aca="1" ref="D92" ca="1">IF(ISBLANK(INDIRECT(CONCATENATE("Input!",RSE_Setup!$B$19,ROW()+1))),"",INDIRECT(CONCATENATE("Input!",RSE_Setup!$B$19,ROW()+1)))</f>
        <v>4500</v>
      </c>
      <c r="E92" s="1" cm="1">
        <f t="array" aca="1" ref="E92" ca="1">IF(ISBLANK(INDIRECT(CONCATENATE("Input!",RSE_Setup!$B$29,ROW()+1))),"",INDIRECT(CONCATENATE("Input!",RSE_Setup!$B$29,ROW()+1)))</f>
        <v>3.4</v>
      </c>
      <c r="F92" s="1">
        <f ca="1"/>
        <v>3.3117123320049648</v>
      </c>
    </row>
    <row r="93" spans="1:6" x14ac:dyDescent="0.3">
      <c r="A93" s="1" cm="1">
        <f t="array" aca="1" ref="A93" ca="1">IF(ISBLANK(INDIRECT(CONCATENATE("Input!",RSE_Setup!$B$16,ROW()+1))),"",INDIRECT(CONCATENATE("Input!",RSE_Setup!$B$16,ROW()+1)))</f>
        <v>7.5000000000000002E-4</v>
      </c>
      <c r="B93" s="1" cm="1">
        <f t="array" aca="1" ref="B93" ca="1">IF(ISBLANK(INDIRECT(CONCATENATE("Input!",RSE_Setup!$B$17,ROW()+1))),"",INDIRECT(CONCATENATE("Input!",RSE_Setup!$B$17,ROW()+1)))</f>
        <v>6.0000000000000001E-3</v>
      </c>
      <c r="C93" s="1" cm="1">
        <f t="array" aca="1" ref="C93" ca="1">IF(ISBLANK(INDIRECT(CONCATENATE("Input!",RSE_Setup!$B$18,ROW()+1))),"",INDIRECT(CONCATENATE("Input!",RSE_Setup!$B$18,ROW()+1)))</f>
        <v>5.5556000000000001E-2</v>
      </c>
      <c r="D93" s="1" cm="1">
        <f t="array" aca="1" ref="D93" ca="1">IF(ISBLANK(INDIRECT(CONCATENATE("Input!",RSE_Setup!$B$19,ROW()+1))),"",INDIRECT(CONCATENATE("Input!",RSE_Setup!$B$19,ROW()+1)))</f>
        <v>6000</v>
      </c>
      <c r="E93" s="1" cm="1">
        <f t="array" aca="1" ref="E93" ca="1">IF(ISBLANK(INDIRECT(CONCATENATE("Input!",RSE_Setup!$B$29,ROW()+1))),"",INDIRECT(CONCATENATE("Input!",RSE_Setup!$B$29,ROW()+1)))</f>
        <v>4.3</v>
      </c>
      <c r="F93" s="1">
        <f ca="1"/>
        <v>4.3880021857380678</v>
      </c>
    </row>
    <row r="94" spans="1:6" x14ac:dyDescent="0.3">
      <c r="A94" s="1" cm="1">
        <f t="array" aca="1" ref="A94" ca="1">IF(ISBLANK(INDIRECT(CONCATENATE("Input!",RSE_Setup!$B$16,ROW()+1))),"",INDIRECT(CONCATENATE("Input!",RSE_Setup!$B$16,ROW()+1)))</f>
        <v>7.5000000000000002E-4</v>
      </c>
      <c r="B94" s="1" cm="1">
        <f t="array" aca="1" ref="B94" ca="1">IF(ISBLANK(INDIRECT(CONCATENATE("Input!",RSE_Setup!$B$17,ROW()+1))),"",INDIRECT(CONCATENATE("Input!",RSE_Setup!$B$17,ROW()+1)))</f>
        <v>6.0000000000000001E-3</v>
      </c>
      <c r="C94" s="1" cm="1">
        <f t="array" aca="1" ref="C94" ca="1">IF(ISBLANK(INDIRECT(CONCATENATE("Input!",RSE_Setup!$B$18,ROW()+1))),"",INDIRECT(CONCATENATE("Input!",RSE_Setup!$B$18,ROW()+1)))</f>
        <v>3.2258000000000002E-2</v>
      </c>
      <c r="D94" s="1" cm="1">
        <f t="array" aca="1" ref="D94" ca="1">IF(ISBLANK(INDIRECT(CONCATENATE("Input!",RSE_Setup!$B$19,ROW()+1))),"",INDIRECT(CONCATENATE("Input!",RSE_Setup!$B$19,ROW()+1)))</f>
        <v>6000</v>
      </c>
      <c r="E94" s="1" cm="1">
        <f t="array" aca="1" ref="E94" ca="1">IF(ISBLANK(INDIRECT(CONCATENATE("Input!",RSE_Setup!$B$29,ROW()+1))),"",INDIRECT(CONCATENATE("Input!",RSE_Setup!$B$29,ROW()+1)))</f>
        <v>2.5</v>
      </c>
      <c r="F94" s="1">
        <f ca="1"/>
        <v>2.527942050565021</v>
      </c>
    </row>
    <row r="95" spans="1:6" x14ac:dyDescent="0.3">
      <c r="A95" s="1" cm="1">
        <f t="array" aca="1" ref="A95" ca="1">IF(ISBLANK(INDIRECT(CONCATENATE("Input!",RSE_Setup!$B$16,ROW()+1))),"",INDIRECT(CONCATENATE("Input!",RSE_Setup!$B$16,ROW()+1)))</f>
        <v>7.5000000000000002E-4</v>
      </c>
      <c r="B95" s="1" cm="1">
        <f t="array" aca="1" ref="B95" ca="1">IF(ISBLANK(INDIRECT(CONCATENATE("Input!",RSE_Setup!$B$17,ROW()+1))),"",INDIRECT(CONCATENATE("Input!",RSE_Setup!$B$17,ROW()+1)))</f>
        <v>8.0000000000000002E-3</v>
      </c>
      <c r="C95" s="1" cm="1">
        <f t="array" aca="1" ref="C95" ca="1">IF(ISBLANK(INDIRECT(CONCATENATE("Input!",RSE_Setup!$B$18,ROW()+1))),"",INDIRECT(CONCATENATE("Input!",RSE_Setup!$B$18,ROW()+1)))</f>
        <v>5.5556000000000001E-2</v>
      </c>
      <c r="D95" s="1" cm="1">
        <f t="array" aca="1" ref="D95" ca="1">IF(ISBLANK(INDIRECT(CONCATENATE("Input!",RSE_Setup!$B$19,ROW()+1))),"",INDIRECT(CONCATENATE("Input!",RSE_Setup!$B$19,ROW()+1)))</f>
        <v>4500</v>
      </c>
      <c r="E95" s="1" cm="1">
        <f t="array" aca="1" ref="E95" ca="1">IF(ISBLANK(INDIRECT(CONCATENATE("Input!",RSE_Setup!$B$29,ROW()+1))),"",INDIRECT(CONCATENATE("Input!",RSE_Setup!$B$29,ROW()+1)))</f>
        <v>3.4</v>
      </c>
      <c r="F95" s="1">
        <f ca="1"/>
        <v>3.3168145901756794</v>
      </c>
    </row>
    <row r="96" spans="1:6" x14ac:dyDescent="0.3">
      <c r="A96" s="1" cm="1">
        <f t="array" aca="1" ref="A96" ca="1">IF(ISBLANK(INDIRECT(CONCATENATE("Input!",RSE_Setup!$B$16,ROW()+1))),"",INDIRECT(CONCATENATE("Input!",RSE_Setup!$B$16,ROW()+1)))</f>
        <v>7.5000000000000002E-4</v>
      </c>
      <c r="B96" s="1" cm="1">
        <f t="array" aca="1" ref="B96" ca="1">IF(ISBLANK(INDIRECT(CONCATENATE("Input!",RSE_Setup!$B$17,ROW()+1))),"",INDIRECT(CONCATENATE("Input!",RSE_Setup!$B$17,ROW()+1)))</f>
        <v>8.0000000000000002E-3</v>
      </c>
      <c r="C96" s="1" cm="1">
        <f t="array" aca="1" ref="C96" ca="1">IF(ISBLANK(INDIRECT(CONCATENATE("Input!",RSE_Setup!$B$18,ROW()+1))),"",INDIRECT(CONCATENATE("Input!",RSE_Setup!$B$18,ROW()+1)))</f>
        <v>5.5556000000000001E-2</v>
      </c>
      <c r="D96" s="1" cm="1">
        <f t="array" aca="1" ref="D96" ca="1">IF(ISBLANK(INDIRECT(CONCATENATE("Input!",RSE_Setup!$B$19,ROW()+1))),"",INDIRECT(CONCATENATE("Input!",RSE_Setup!$B$19,ROW()+1)))</f>
        <v>6000</v>
      </c>
      <c r="E96" s="1" cm="1">
        <f t="array" aca="1" ref="E96" ca="1">IF(ISBLANK(INDIRECT(CONCATENATE("Input!",RSE_Setup!$B$29,ROW()+1))),"",INDIRECT(CONCATENATE("Input!",RSE_Setup!$B$29,ROW()+1)))</f>
        <v>4.3</v>
      </c>
      <c r="F96" s="1">
        <f ca="1"/>
        <v>4.3923142009768981</v>
      </c>
    </row>
    <row r="97" spans="1:6" x14ac:dyDescent="0.3">
      <c r="A97" s="1" cm="1">
        <f t="array" aca="1" ref="A97" ca="1">IF(ISBLANK(INDIRECT(CONCATENATE("Input!",RSE_Setup!$B$16,ROW()+1))),"",INDIRECT(CONCATENATE("Input!",RSE_Setup!$B$16,ROW()+1)))</f>
        <v>7.5000000000000002E-4</v>
      </c>
      <c r="B97" s="1" cm="1">
        <f t="array" aca="1" ref="B97" ca="1">IF(ISBLANK(INDIRECT(CONCATENATE("Input!",RSE_Setup!$B$17,ROW()+1))),"",INDIRECT(CONCATENATE("Input!",RSE_Setup!$B$17,ROW()+1)))</f>
        <v>8.0000000000000002E-3</v>
      </c>
      <c r="C97" s="1" cm="1">
        <f t="array" aca="1" ref="C97" ca="1">IF(ISBLANK(INDIRECT(CONCATENATE("Input!",RSE_Setup!$B$18,ROW()+1))),"",INDIRECT(CONCATENATE("Input!",RSE_Setup!$B$18,ROW()+1)))</f>
        <v>3.2258000000000002E-2</v>
      </c>
      <c r="D97" s="1" cm="1">
        <f t="array" aca="1" ref="D97" ca="1">IF(ISBLANK(INDIRECT(CONCATENATE("Input!",RSE_Setup!$B$19,ROW()+1))),"",INDIRECT(CONCATENATE("Input!",RSE_Setup!$B$19,ROW()+1)))</f>
        <v>6000</v>
      </c>
      <c r="E97" s="1" cm="1">
        <f t="array" aca="1" ref="E97" ca="1">IF(ISBLANK(INDIRECT(CONCATENATE("Input!",RSE_Setup!$B$29,ROW()+1))),"",INDIRECT(CONCATENATE("Input!",RSE_Setup!$B$29,ROW()+1)))</f>
        <v>2.5</v>
      </c>
      <c r="F97" s="1">
        <f ca="1"/>
        <v>2.5298403434948149</v>
      </c>
    </row>
    <row r="98" spans="1:6" x14ac:dyDescent="0.3">
      <c r="A98" s="1" cm="1">
        <f t="array" aca="1" ref="A98" ca="1">IF(ISBLANK(INDIRECT(CONCATENATE("Input!",RSE_Setup!$B$16,ROW()+1))),"",INDIRECT(CONCATENATE("Input!",RSE_Setup!$B$16,ROW()+1)))</f>
        <v>1E-3</v>
      </c>
      <c r="B98" s="1" cm="1">
        <f t="array" aca="1" ref="B98" ca="1">IF(ISBLANK(INDIRECT(CONCATENATE("Input!",RSE_Setup!$B$17,ROW()+1))),"",INDIRECT(CONCATENATE("Input!",RSE_Setup!$B$17,ROW()+1)))</f>
        <v>5.0000000000000001E-3</v>
      </c>
      <c r="C98" s="1" cm="1">
        <f t="array" aca="1" ref="C98" ca="1">IF(ISBLANK(INDIRECT(CONCATENATE("Input!",RSE_Setup!$B$18,ROW()+1))),"",INDIRECT(CONCATENATE("Input!",RSE_Setup!$B$18,ROW()+1)))</f>
        <v>5.5556000000000001E-2</v>
      </c>
      <c r="D98" s="1" cm="1">
        <f t="array" aca="1" ref="D98" ca="1">IF(ISBLANK(INDIRECT(CONCATENATE("Input!",RSE_Setup!$B$19,ROW()+1))),"",INDIRECT(CONCATENATE("Input!",RSE_Setup!$B$19,ROW()+1)))</f>
        <v>3375</v>
      </c>
      <c r="E98" s="1" cm="1">
        <f t="array" aca="1" ref="E98" ca="1">IF(ISBLANK(INDIRECT(CONCATENATE("Input!",RSE_Setup!$B$29,ROW()+1))),"",INDIRECT(CONCATENATE("Input!",RSE_Setup!$B$29,ROW()+1)))</f>
        <v>2.5</v>
      </c>
      <c r="F98" s="1">
        <f ca="1"/>
        <v>2.5166974576067309</v>
      </c>
    </row>
    <row r="99" spans="1:6" x14ac:dyDescent="0.3">
      <c r="A99" s="1" cm="1">
        <f t="array" aca="1" ref="A99" ca="1">IF(ISBLANK(INDIRECT(CONCATENATE("Input!",RSE_Setup!$B$16,ROW()+1))),"",INDIRECT(CONCATENATE("Input!",RSE_Setup!$B$16,ROW()+1)))</f>
        <v>1E-3</v>
      </c>
      <c r="B99" s="1" cm="1">
        <f t="array" aca="1" ref="B99" ca="1">IF(ISBLANK(INDIRECT(CONCATENATE("Input!",RSE_Setup!$B$17,ROW()+1))),"",INDIRECT(CONCATENATE("Input!",RSE_Setup!$B$17,ROW()+1)))</f>
        <v>5.0000000000000001E-3</v>
      </c>
      <c r="C99" s="1" cm="1">
        <f t="array" aca="1" ref="C99" ca="1">IF(ISBLANK(INDIRECT(CONCATENATE("Input!",RSE_Setup!$B$18,ROW()+1))),"",INDIRECT(CONCATENATE("Input!",RSE_Setup!$B$18,ROW()+1)))</f>
        <v>5.5556000000000001E-2</v>
      </c>
      <c r="D99" s="1" cm="1">
        <f t="array" aca="1" ref="D99" ca="1">IF(ISBLANK(INDIRECT(CONCATENATE("Input!",RSE_Setup!$B$19,ROW()+1))),"",INDIRECT(CONCATENATE("Input!",RSE_Setup!$B$19,ROW()+1)))</f>
        <v>4500</v>
      </c>
      <c r="E99" s="1" cm="1">
        <f t="array" aca="1" ref="E99" ca="1">IF(ISBLANK(INDIRECT(CONCATENATE("Input!",RSE_Setup!$B$29,ROW()+1))),"",INDIRECT(CONCATENATE("Input!",RSE_Setup!$B$29,ROW()+1)))</f>
        <v>3.4</v>
      </c>
      <c r="F99" s="1">
        <f ca="1"/>
        <v>3.3081741910281837</v>
      </c>
    </row>
    <row r="100" spans="1:6" x14ac:dyDescent="0.3">
      <c r="A100" s="1" cm="1">
        <f t="array" aca="1" ref="A100" ca="1">IF(ISBLANK(INDIRECT(CONCATENATE("Input!",RSE_Setup!$B$16,ROW()+1))),"",INDIRECT(CONCATENATE("Input!",RSE_Setup!$B$16,ROW()+1)))</f>
        <v>1E-3</v>
      </c>
      <c r="B100" s="1" cm="1">
        <f t="array" aca="1" ref="B100" ca="1">IF(ISBLANK(INDIRECT(CONCATENATE("Input!",RSE_Setup!$B$17,ROW()+1))),"",INDIRECT(CONCATENATE("Input!",RSE_Setup!$B$17,ROW()+1)))</f>
        <v>5.0000000000000001E-3</v>
      </c>
      <c r="C100" s="1" cm="1">
        <f t="array" aca="1" ref="C100" ca="1">IF(ISBLANK(INDIRECT(CONCATENATE("Input!",RSE_Setup!$B$18,ROW()+1))),"",INDIRECT(CONCATENATE("Input!",RSE_Setup!$B$18,ROW()+1)))</f>
        <v>5.5556000000000001E-2</v>
      </c>
      <c r="D100" s="1" cm="1">
        <f t="array" aca="1" ref="D100" ca="1">IF(ISBLANK(INDIRECT(CONCATENATE("Input!",RSE_Setup!$B$19,ROW()+1))),"",INDIRECT(CONCATENATE("Input!",RSE_Setup!$B$19,ROW()+1)))</f>
        <v>6000</v>
      </c>
      <c r="E100" s="1" cm="1">
        <f t="array" aca="1" ref="E100" ca="1">IF(ISBLANK(INDIRECT(CONCATENATE("Input!",RSE_Setup!$B$29,ROW()+1))),"",INDIRECT(CONCATENATE("Input!",RSE_Setup!$B$29,ROW()+1)))</f>
        <v>4.3</v>
      </c>
      <c r="F100" s="1">
        <f ca="1"/>
        <v>4.3785691973504859</v>
      </c>
    </row>
    <row r="101" spans="1:6" x14ac:dyDescent="0.3">
      <c r="A101" s="1" cm="1">
        <f t="array" aca="1" ref="A101" ca="1">IF(ISBLANK(INDIRECT(CONCATENATE("Input!",RSE_Setup!$B$16,ROW()+1))),"",INDIRECT(CONCATENATE("Input!",RSE_Setup!$B$16,ROW()+1)))</f>
        <v>1E-3</v>
      </c>
      <c r="B101" s="1" cm="1">
        <f t="array" aca="1" ref="B101" ca="1">IF(ISBLANK(INDIRECT(CONCATENATE("Input!",RSE_Setup!$B$17,ROW()+1))),"",INDIRECT(CONCATENATE("Input!",RSE_Setup!$B$17,ROW()+1)))</f>
        <v>5.0000000000000001E-3</v>
      </c>
      <c r="C101" s="1" cm="1">
        <f t="array" aca="1" ref="C101" ca="1">IF(ISBLANK(INDIRECT(CONCATENATE("Input!",RSE_Setup!$B$18,ROW()+1))),"",INDIRECT(CONCATENATE("Input!",RSE_Setup!$B$18,ROW()+1)))</f>
        <v>3.2258000000000002E-2</v>
      </c>
      <c r="D101" s="1" cm="1">
        <f t="array" aca="1" ref="D101" ca="1">IF(ISBLANK(INDIRECT(CONCATENATE("Input!",RSE_Setup!$B$19,ROW()+1))),"",INDIRECT(CONCATENATE("Input!",RSE_Setup!$B$19,ROW()+1)))</f>
        <v>6000</v>
      </c>
      <c r="E101" s="1" cm="1">
        <f t="array" aca="1" ref="E101" ca="1">IF(ISBLANK(INDIRECT(CONCATENATE("Input!",RSE_Setup!$B$29,ROW()+1))),"",INDIRECT(CONCATENATE("Input!",RSE_Setup!$B$29,ROW()+1)))</f>
        <v>2.5</v>
      </c>
      <c r="F101" s="1">
        <f ca="1"/>
        <v>2.5199717258382996</v>
      </c>
    </row>
    <row r="102" spans="1:6" x14ac:dyDescent="0.3">
      <c r="A102" s="1" cm="1">
        <f t="array" aca="1" ref="A102" ca="1">IF(ISBLANK(INDIRECT(CONCATENATE("Input!",RSE_Setup!$B$16,ROW()+1))),"",INDIRECT(CONCATENATE("Input!",RSE_Setup!$B$16,ROW()+1)))</f>
        <v>1E-3</v>
      </c>
      <c r="B102" s="1" cm="1">
        <f t="array" aca="1" ref="B102" ca="1">IF(ISBLANK(INDIRECT(CONCATENATE("Input!",RSE_Setup!$B$17,ROW()+1))),"",INDIRECT(CONCATENATE("Input!",RSE_Setup!$B$17,ROW()+1)))</f>
        <v>6.4999999999999997E-3</v>
      </c>
      <c r="C102" s="1" cm="1">
        <f t="array" aca="1" ref="C102" ca="1">IF(ISBLANK(INDIRECT(CONCATENATE("Input!",RSE_Setup!$B$18,ROW()+1))),"",INDIRECT(CONCATENATE("Input!",RSE_Setup!$B$18,ROW()+1)))</f>
        <v>5.5556000000000001E-2</v>
      </c>
      <c r="D102" s="1" cm="1">
        <f t="array" aca="1" ref="D102" ca="1">IF(ISBLANK(INDIRECT(CONCATENATE("Input!",RSE_Setup!$B$19,ROW()+1))),"",INDIRECT(CONCATENATE("Input!",RSE_Setup!$B$19,ROW()+1)))</f>
        <v>3375</v>
      </c>
      <c r="E102" s="1" cm="1">
        <f t="array" aca="1" ref="E102" ca="1">IF(ISBLANK(INDIRECT(CONCATENATE("Input!",RSE_Setup!$B$29,ROW()+1))),"",INDIRECT(CONCATENATE("Input!",RSE_Setup!$B$29,ROW()+1)))</f>
        <v>2.5</v>
      </c>
      <c r="F102" s="1">
        <f ca="1"/>
        <v>2.5181257552654586</v>
      </c>
    </row>
    <row r="103" spans="1:6" x14ac:dyDescent="0.3">
      <c r="A103" s="1" cm="1">
        <f t="array" aca="1" ref="A103" ca="1">IF(ISBLANK(INDIRECT(CONCATENATE("Input!",RSE_Setup!$B$16,ROW()+1))),"",INDIRECT(CONCATENATE("Input!",RSE_Setup!$B$16,ROW()+1)))</f>
        <v>1E-3</v>
      </c>
      <c r="B103" s="1" cm="1">
        <f t="array" aca="1" ref="B103" ca="1">IF(ISBLANK(INDIRECT(CONCATENATE("Input!",RSE_Setup!$B$17,ROW()+1))),"",INDIRECT(CONCATENATE("Input!",RSE_Setup!$B$17,ROW()+1)))</f>
        <v>6.4999999999999997E-3</v>
      </c>
      <c r="C103" s="1" cm="1">
        <f t="array" aca="1" ref="C103" ca="1">IF(ISBLANK(INDIRECT(CONCATENATE("Input!",RSE_Setup!$B$18,ROW()+1))),"",INDIRECT(CONCATENATE("Input!",RSE_Setup!$B$18,ROW()+1)))</f>
        <v>5.5556000000000001E-2</v>
      </c>
      <c r="D103" s="1" cm="1">
        <f t="array" aca="1" ref="D103" ca="1">IF(ISBLANK(INDIRECT(CONCATENATE("Input!",RSE_Setup!$B$19,ROW()+1))),"",INDIRECT(CONCATENATE("Input!",RSE_Setup!$B$19,ROW()+1)))</f>
        <v>4500</v>
      </c>
      <c r="E103" s="1" cm="1">
        <f t="array" aca="1" ref="E103" ca="1">IF(ISBLANK(INDIRECT(CONCATENATE("Input!",RSE_Setup!$B$29,ROW()+1))),"",INDIRECT(CONCATENATE("Input!",RSE_Setup!$B$29,ROW()+1)))</f>
        <v>3.4</v>
      </c>
      <c r="F103" s="1">
        <f ca="1"/>
        <v>3.3091579770377262</v>
      </c>
    </row>
    <row r="104" spans="1:6" x14ac:dyDescent="0.3">
      <c r="A104" s="1" cm="1">
        <f t="array" aca="1" ref="A104" ca="1">IF(ISBLANK(INDIRECT(CONCATENATE("Input!",RSE_Setup!$B$16,ROW()+1))),"",INDIRECT(CONCATENATE("Input!",RSE_Setup!$B$16,ROW()+1)))</f>
        <v>1E-3</v>
      </c>
      <c r="B104" s="1" cm="1">
        <f t="array" aca="1" ref="B104" ca="1">IF(ISBLANK(INDIRECT(CONCATENATE("Input!",RSE_Setup!$B$17,ROW()+1))),"",INDIRECT(CONCATENATE("Input!",RSE_Setup!$B$17,ROW()+1)))</f>
        <v>6.4999999999999997E-3</v>
      </c>
      <c r="C104" s="1" cm="1">
        <f t="array" aca="1" ref="C104" ca="1">IF(ISBLANK(INDIRECT(CONCATENATE("Input!",RSE_Setup!$B$18,ROW()+1))),"",INDIRECT(CONCATENATE("Input!",RSE_Setup!$B$18,ROW()+1)))</f>
        <v>5.5556000000000001E-2</v>
      </c>
      <c r="D104" s="1" cm="1">
        <f t="array" aca="1" ref="D104" ca="1">IF(ISBLANK(INDIRECT(CONCATENATE("Input!",RSE_Setup!$B$19,ROW()+1))),"",INDIRECT(CONCATENATE("Input!",RSE_Setup!$B$19,ROW()+1)))</f>
        <v>6000</v>
      </c>
      <c r="E104" s="1" cm="1">
        <f t="array" aca="1" ref="E104" ca="1">IF(ISBLANK(INDIRECT(CONCATENATE("Input!",RSE_Setup!$B$29,ROW()+1))),"",INDIRECT(CONCATENATE("Input!",RSE_Setup!$B$29,ROW()+1)))</f>
        <v>4.3</v>
      </c>
      <c r="F104" s="1">
        <f ca="1"/>
        <v>4.3789603011611149</v>
      </c>
    </row>
    <row r="105" spans="1:6" x14ac:dyDescent="0.3">
      <c r="A105" s="1" cm="1">
        <f t="array" aca="1" ref="A105" ca="1">IF(ISBLANK(INDIRECT(CONCATENATE("Input!",RSE_Setup!$B$16,ROW()+1))),"",INDIRECT(CONCATENATE("Input!",RSE_Setup!$B$16,ROW()+1)))</f>
        <v>1E-3</v>
      </c>
      <c r="B105" s="1" cm="1">
        <f t="array" aca="1" ref="B105" ca="1">IF(ISBLANK(INDIRECT(CONCATENATE("Input!",RSE_Setup!$B$17,ROW()+1))),"",INDIRECT(CONCATENATE("Input!",RSE_Setup!$B$17,ROW()+1)))</f>
        <v>6.4999999999999997E-3</v>
      </c>
      <c r="C105" s="1" cm="1">
        <f t="array" aca="1" ref="C105" ca="1">IF(ISBLANK(INDIRECT(CONCATENATE("Input!",RSE_Setup!$B$18,ROW()+1))),"",INDIRECT(CONCATENATE("Input!",RSE_Setup!$B$18,ROW()+1)))</f>
        <v>3.2258000000000002E-2</v>
      </c>
      <c r="D105" s="1" cm="1">
        <f t="array" aca="1" ref="D105" ca="1">IF(ISBLANK(INDIRECT(CONCATENATE("Input!",RSE_Setup!$B$19,ROW()+1))),"",INDIRECT(CONCATENATE("Input!",RSE_Setup!$B$19,ROW()+1)))</f>
        <v>6000</v>
      </c>
      <c r="E105" s="1" cm="1">
        <f t="array" aca="1" ref="E105" ca="1">IF(ISBLANK(INDIRECT(CONCATENATE("Input!",RSE_Setup!$B$29,ROW()+1))),"",INDIRECT(CONCATENATE("Input!",RSE_Setup!$B$29,ROW()+1)))</f>
        <v>2.5</v>
      </c>
      <c r="F105" s="1">
        <f ca="1"/>
        <v>2.5185525379171523</v>
      </c>
    </row>
    <row r="106" spans="1:6" x14ac:dyDescent="0.3">
      <c r="A106" s="1" cm="1">
        <f t="array" aca="1" ref="A106" ca="1">IF(ISBLANK(INDIRECT(CONCATENATE("Input!",RSE_Setup!$B$16,ROW()+1))),"",INDIRECT(CONCATENATE("Input!",RSE_Setup!$B$16,ROW()+1)))</f>
        <v>1E-3</v>
      </c>
      <c r="B106" s="1" cm="1">
        <f t="array" aca="1" ref="B106" ca="1">IF(ISBLANK(INDIRECT(CONCATENATE("Input!",RSE_Setup!$B$17,ROW()+1))),"",INDIRECT(CONCATENATE("Input!",RSE_Setup!$B$17,ROW()+1)))</f>
        <v>8.0000000000000002E-3</v>
      </c>
      <c r="C106" s="1" cm="1">
        <f t="array" aca="1" ref="C106" ca="1">IF(ISBLANK(INDIRECT(CONCATENATE("Input!",RSE_Setup!$B$18,ROW()+1))),"",INDIRECT(CONCATENATE("Input!",RSE_Setup!$B$18,ROW()+1)))</f>
        <v>5.5556000000000001E-2</v>
      </c>
      <c r="D106" s="1" cm="1">
        <f t="array" aca="1" ref="D106" ca="1">IF(ISBLANK(INDIRECT(CONCATENATE("Input!",RSE_Setup!$B$19,ROW()+1))),"",INDIRECT(CONCATENATE("Input!",RSE_Setup!$B$19,ROW()+1)))</f>
        <v>4500</v>
      </c>
      <c r="E106" s="1" cm="1">
        <f t="array" aca="1" ref="E106" ca="1">IF(ISBLANK(INDIRECT(CONCATENATE("Input!",RSE_Setup!$B$29,ROW()+1))),"",INDIRECT(CONCATENATE("Input!",RSE_Setup!$B$29,ROW()+1)))</f>
        <v>3.4</v>
      </c>
      <c r="F106" s="1">
        <f ca="1"/>
        <v>3.3125862850366929</v>
      </c>
    </row>
    <row r="107" spans="1:6" x14ac:dyDescent="0.3">
      <c r="A107" s="1" cm="1">
        <f t="array" aca="1" ref="A107" ca="1">IF(ISBLANK(INDIRECT(CONCATENATE("Input!",RSE_Setup!$B$16,ROW()+1))),"",INDIRECT(CONCATENATE("Input!",RSE_Setup!$B$16,ROW()+1)))</f>
        <v>1E-3</v>
      </c>
      <c r="B107" s="1" cm="1">
        <f t="array" aca="1" ref="B107" ca="1">IF(ISBLANK(INDIRECT(CONCATENATE("Input!",RSE_Setup!$B$17,ROW()+1))),"",INDIRECT(CONCATENATE("Input!",RSE_Setup!$B$17,ROW()+1)))</f>
        <v>8.0000000000000002E-3</v>
      </c>
      <c r="C107" s="1" cm="1">
        <f t="array" aca="1" ref="C107" ca="1">IF(ISBLANK(INDIRECT(CONCATENATE("Input!",RSE_Setup!$B$18,ROW()+1))),"",INDIRECT(CONCATENATE("Input!",RSE_Setup!$B$18,ROW()+1)))</f>
        <v>5.5556000000000001E-2</v>
      </c>
      <c r="D107" s="1" cm="1">
        <f t="array" aca="1" ref="D107" ca="1">IF(ISBLANK(INDIRECT(CONCATENATE("Input!",RSE_Setup!$B$19,ROW()+1))),"",INDIRECT(CONCATENATE("Input!",RSE_Setup!$B$19,ROW()+1)))</f>
        <v>6000</v>
      </c>
      <c r="E107" s="1" cm="1">
        <f t="array" aca="1" ref="E107" ca="1">IF(ISBLANK(INDIRECT(CONCATENATE("Input!",RSE_Setup!$B$29,ROW()+1))),"",INDIRECT(CONCATENATE("Input!",RSE_Setup!$B$29,ROW()+1)))</f>
        <v>4.3</v>
      </c>
      <c r="F107" s="1">
        <f ca="1"/>
        <v>4.3817959269611686</v>
      </c>
    </row>
    <row r="108" spans="1:6" x14ac:dyDescent="0.3">
      <c r="A108" s="1" cm="1">
        <f t="array" aca="1" ref="A108" ca="1">IF(ISBLANK(INDIRECT(CONCATENATE("Input!",RSE_Setup!$B$16,ROW()+1))),"",INDIRECT(CONCATENATE("Input!",RSE_Setup!$B$16,ROW()+1)))</f>
        <v>1E-3</v>
      </c>
      <c r="B108" s="1" cm="1">
        <f t="array" aca="1" ref="B108" ca="1">IF(ISBLANK(INDIRECT(CONCATENATE("Input!",RSE_Setup!$B$17,ROW()+1))),"",INDIRECT(CONCATENATE("Input!",RSE_Setup!$B$17,ROW()+1)))</f>
        <v>8.0000000000000002E-3</v>
      </c>
      <c r="C108" s="1" cm="1">
        <f t="array" aca="1" ref="C108" ca="1">IF(ISBLANK(INDIRECT(CONCATENATE("Input!",RSE_Setup!$B$18,ROW()+1))),"",INDIRECT(CONCATENATE("Input!",RSE_Setup!$B$18,ROW()+1)))</f>
        <v>3.2258000000000002E-2</v>
      </c>
      <c r="D108" s="1" cm="1">
        <f t="array" aca="1" ref="D108" ca="1">IF(ISBLANK(INDIRECT(CONCATENATE("Input!",RSE_Setup!$B$19,ROW()+1))),"",INDIRECT(CONCATENATE("Input!",RSE_Setup!$B$19,ROW()+1)))</f>
        <v>6000</v>
      </c>
      <c r="E108" s="1" cm="1">
        <f t="array" aca="1" ref="E108" ca="1">IF(ISBLANK(INDIRECT(CONCATENATE("Input!",RSE_Setup!$B$29,ROW()+1))),"",INDIRECT(CONCATENATE("Input!",RSE_Setup!$B$29,ROW()+1)))</f>
        <v>2.5</v>
      </c>
      <c r="F108" s="1">
        <f ca="1"/>
        <v>2.5195778719854287</v>
      </c>
    </row>
    <row r="109" spans="1:6" x14ac:dyDescent="0.3">
      <c r="A109" s="1" cm="1">
        <f t="array" aca="1" ref="A109" ca="1">IF(ISBLANK(INDIRECT(CONCATENATE("Input!",RSE_Setup!$B$16,ROW()+1))),"",INDIRECT(CONCATENATE("Input!",RSE_Setup!$B$16,ROW()+1)))</f>
        <v>2.9999999999999997E-4</v>
      </c>
      <c r="B109" s="1" cm="1">
        <f t="array" aca="1" ref="B109" ca="1">IF(ISBLANK(INDIRECT(CONCATENATE("Input!",RSE_Setup!$B$17,ROW()+1))),"",INDIRECT(CONCATENATE("Input!",RSE_Setup!$B$17,ROW()+1)))</f>
        <v>2E-3</v>
      </c>
      <c r="C109" s="1" cm="1">
        <f t="array" aca="1" ref="C109" ca="1">IF(ISBLANK(INDIRECT(CONCATENATE("Input!",RSE_Setup!$B$18,ROW()+1))),"",INDIRECT(CONCATENATE("Input!",RSE_Setup!$B$18,ROW()+1)))</f>
        <v>5.5556000000000001E-2</v>
      </c>
      <c r="D109" s="1" cm="1">
        <f t="array" aca="1" ref="D109" ca="1">IF(ISBLANK(INDIRECT(CONCATENATE("Input!",RSE_Setup!$B$19,ROW()+1))),"",INDIRECT(CONCATENATE("Input!",RSE_Setup!$B$19,ROW()+1)))</f>
        <v>5500</v>
      </c>
      <c r="E109" s="1" cm="1">
        <f t="array" aca="1" ref="E109" ca="1">IF(ISBLANK(INDIRECT(CONCATENATE("Input!",RSE_Setup!$B$29,ROW()+1))),"",INDIRECT(CONCATENATE("Input!",RSE_Setup!$B$29,ROW()+1)))</f>
        <v>4</v>
      </c>
      <c r="F109" s="1">
        <f ca="1"/>
        <v>4.0118587882183006</v>
      </c>
    </row>
    <row r="110" spans="1:6" x14ac:dyDescent="0.3">
      <c r="A110" s="1" cm="1">
        <f t="array" aca="1" ref="A110" ca="1">IF(ISBLANK(INDIRECT(CONCATENATE("Input!",RSE_Setup!$B$16,ROW()+1))),"",INDIRECT(CONCATENATE("Input!",RSE_Setup!$B$16,ROW()+1)))</f>
        <v>2.9999999999999997E-4</v>
      </c>
      <c r="B110" s="1" cm="1">
        <f t="array" aca="1" ref="B110" ca="1">IF(ISBLANK(INDIRECT(CONCATENATE("Input!",RSE_Setup!$B$17,ROW()+1))),"",INDIRECT(CONCATENATE("Input!",RSE_Setup!$B$17,ROW()+1)))</f>
        <v>2E-3</v>
      </c>
      <c r="C110" s="1" cm="1">
        <f t="array" aca="1" ref="C110" ca="1">IF(ISBLANK(INDIRECT(CONCATENATE("Input!",RSE_Setup!$B$18,ROW()+1))),"",INDIRECT(CONCATENATE("Input!",RSE_Setup!$B$18,ROW()+1)))</f>
        <v>5.5556000000000001E-2</v>
      </c>
      <c r="D110" s="1" cm="1">
        <f t="array" aca="1" ref="D110" ca="1">IF(ISBLANK(INDIRECT(CONCATENATE("Input!",RSE_Setup!$B$19,ROW()+1))),"",INDIRECT(CONCATENATE("Input!",RSE_Setup!$B$19,ROW()+1)))</f>
        <v>7500</v>
      </c>
      <c r="E110" s="1" cm="1">
        <f t="array" aca="1" ref="E110" ca="1">IF(ISBLANK(INDIRECT(CONCATENATE("Input!",RSE_Setup!$B$29,ROW()+1))),"",INDIRECT(CONCATENATE("Input!",RSE_Setup!$B$29,ROW()+1)))</f>
        <v>5.5</v>
      </c>
      <c r="F110" s="1">
        <f ca="1"/>
        <v>5.4832804934214243</v>
      </c>
    </row>
    <row r="111" spans="1:6" x14ac:dyDescent="0.3">
      <c r="A111" s="1" cm="1">
        <f t="array" aca="1" ref="A111" ca="1">IF(ISBLANK(INDIRECT(CONCATENATE("Input!",RSE_Setup!$B$16,ROW()+1))),"",INDIRECT(CONCATENATE("Input!",RSE_Setup!$B$16,ROW()+1)))</f>
        <v>2.9999999999999997E-4</v>
      </c>
      <c r="B111" s="1" cm="1">
        <f t="array" aca="1" ref="B111" ca="1">IF(ISBLANK(INDIRECT(CONCATENATE("Input!",RSE_Setup!$B$17,ROW()+1))),"",INDIRECT(CONCATENATE("Input!",RSE_Setup!$B$17,ROW()+1)))</f>
        <v>2E-3</v>
      </c>
      <c r="C111" s="1" cm="1">
        <f t="array" aca="1" ref="C111" ca="1">IF(ISBLANK(INDIRECT(CONCATENATE("Input!",RSE_Setup!$B$18,ROW()+1))),"",INDIRECT(CONCATENATE("Input!",RSE_Setup!$B$18,ROW()+1)))</f>
        <v>5.5556000000000001E-2</v>
      </c>
      <c r="D111" s="1" cm="1">
        <f t="array" aca="1" ref="D111" ca="1">IF(ISBLANK(INDIRECT(CONCATENATE("Input!",RSE_Setup!$B$19,ROW()+1))),"",INDIRECT(CONCATENATE("Input!",RSE_Setup!$B$19,ROW()+1)))</f>
        <v>9500</v>
      </c>
      <c r="E111" s="1" cm="1">
        <f t="array" aca="1" ref="E111" ca="1">IF(ISBLANK(INDIRECT(CONCATENATE("Input!",RSE_Setup!$B$29,ROW()+1))),"",INDIRECT(CONCATENATE("Input!",RSE_Setup!$B$29,ROW()+1)))</f>
        <v>7</v>
      </c>
      <c r="F111" s="1">
        <f ca="1"/>
        <v>6.9853667219895215</v>
      </c>
    </row>
    <row r="112" spans="1:6" x14ac:dyDescent="0.3">
      <c r="A112" s="1" cm="1">
        <f t="array" aca="1" ref="A112" ca="1">IF(ISBLANK(INDIRECT(CONCATENATE("Input!",RSE_Setup!$B$16,ROW()+1))),"",INDIRECT(CONCATENATE("Input!",RSE_Setup!$B$16,ROW()+1)))</f>
        <v>2.9999999999999997E-4</v>
      </c>
      <c r="B112" s="1" cm="1">
        <f t="array" aca="1" ref="B112" ca="1">IF(ISBLANK(INDIRECT(CONCATENATE("Input!",RSE_Setup!$B$17,ROW()+1))),"",INDIRECT(CONCATENATE("Input!",RSE_Setup!$B$17,ROW()+1)))</f>
        <v>2E-3</v>
      </c>
      <c r="C112" s="1" cm="1">
        <f t="array" aca="1" ref="C112" ca="1">IF(ISBLANK(INDIRECT(CONCATENATE("Input!",RSE_Setup!$B$18,ROW()+1))),"",INDIRECT(CONCATENATE("Input!",RSE_Setup!$B$18,ROW()+1)))</f>
        <v>3.2258000000000002E-2</v>
      </c>
      <c r="D112" s="1" cm="1">
        <f t="array" aca="1" ref="D112" ca="1">IF(ISBLANK(INDIRECT(CONCATENATE("Input!",RSE_Setup!$B$19,ROW()+1))),"",INDIRECT(CONCATENATE("Input!",RSE_Setup!$B$19,ROW()+1)))</f>
        <v>9500</v>
      </c>
      <c r="E112" s="1" cm="1">
        <f t="array" aca="1" ref="E112" ca="1">IF(ISBLANK(INDIRECT(CONCATENATE("Input!",RSE_Setup!$B$29,ROW()+1))),"",INDIRECT(CONCATENATE("Input!",RSE_Setup!$B$29,ROW()+1)))</f>
        <v>4</v>
      </c>
      <c r="F112" s="1">
        <f ca="1"/>
        <v>4.0576070603066716</v>
      </c>
    </row>
    <row r="113" spans="1:6" x14ac:dyDescent="0.3">
      <c r="A113" s="1" cm="1">
        <f t="array" aca="1" ref="A113" ca="1">IF(ISBLANK(INDIRECT(CONCATENATE("Input!",RSE_Setup!$B$16,ROW()+1))),"",INDIRECT(CONCATENATE("Input!",RSE_Setup!$B$16,ROW()+1)))</f>
        <v>2.9999999999999997E-4</v>
      </c>
      <c r="B113" s="1" cm="1">
        <f t="array" aca="1" ref="B113" ca="1">IF(ISBLANK(INDIRECT(CONCATENATE("Input!",RSE_Setup!$B$17,ROW()+1))),"",INDIRECT(CONCATENATE("Input!",RSE_Setup!$B$17,ROW()+1)))</f>
        <v>3.0000000000000001E-3</v>
      </c>
      <c r="C113" s="1" cm="1">
        <f t="array" aca="1" ref="C113" ca="1">IF(ISBLANK(INDIRECT(CONCATENATE("Input!",RSE_Setup!$B$18,ROW()+1))),"",INDIRECT(CONCATENATE("Input!",RSE_Setup!$B$18,ROW()+1)))</f>
        <v>5.5556000000000001E-2</v>
      </c>
      <c r="D113" s="1" cm="1">
        <f t="array" aca="1" ref="D113" ca="1">IF(ISBLANK(INDIRECT(CONCATENATE("Input!",RSE_Setup!$B$19,ROW()+1))),"",INDIRECT(CONCATENATE("Input!",RSE_Setup!$B$19,ROW()+1)))</f>
        <v>5500</v>
      </c>
      <c r="E113" s="1" cm="1">
        <f t="array" aca="1" ref="E113" ca="1">IF(ISBLANK(INDIRECT(CONCATENATE("Input!",RSE_Setup!$B$29,ROW()+1))),"",INDIRECT(CONCATENATE("Input!",RSE_Setup!$B$29,ROW()+1)))</f>
        <v>4</v>
      </c>
      <c r="F113" s="1">
        <f ca="1"/>
        <v>4.010224426166948</v>
      </c>
    </row>
    <row r="114" spans="1:6" x14ac:dyDescent="0.3">
      <c r="A114" s="1" cm="1">
        <f t="array" aca="1" ref="A114" ca="1">IF(ISBLANK(INDIRECT(CONCATENATE("Input!",RSE_Setup!$B$16,ROW()+1))),"",INDIRECT(CONCATENATE("Input!",RSE_Setup!$B$16,ROW()+1)))</f>
        <v>2.9999999999999997E-4</v>
      </c>
      <c r="B114" s="1" cm="1">
        <f t="array" aca="1" ref="B114" ca="1">IF(ISBLANK(INDIRECT(CONCATENATE("Input!",RSE_Setup!$B$17,ROW()+1))),"",INDIRECT(CONCATENATE("Input!",RSE_Setup!$B$17,ROW()+1)))</f>
        <v>3.0000000000000001E-3</v>
      </c>
      <c r="C114" s="1" cm="1">
        <f t="array" aca="1" ref="C114" ca="1">IF(ISBLANK(INDIRECT(CONCATENATE("Input!",RSE_Setup!$B$18,ROW()+1))),"",INDIRECT(CONCATENATE("Input!",RSE_Setup!$B$18,ROW()+1)))</f>
        <v>5.5556000000000001E-2</v>
      </c>
      <c r="D114" s="1" cm="1">
        <f t="array" aca="1" ref="D114" ca="1">IF(ISBLANK(INDIRECT(CONCATENATE("Input!",RSE_Setup!$B$19,ROW()+1))),"",INDIRECT(CONCATENATE("Input!",RSE_Setup!$B$19,ROW()+1)))</f>
        <v>7500</v>
      </c>
      <c r="E114" s="1" cm="1">
        <f t="array" aca="1" ref="E114" ca="1">IF(ISBLANK(INDIRECT(CONCATENATE("Input!",RSE_Setup!$B$29,ROW()+1))),"",INDIRECT(CONCATENATE("Input!",RSE_Setup!$B$29,ROW()+1)))</f>
        <v>5.5</v>
      </c>
      <c r="F114" s="1">
        <f ca="1"/>
        <v>5.481119302748815</v>
      </c>
    </row>
    <row r="115" spans="1:6" x14ac:dyDescent="0.3">
      <c r="A115" s="1" cm="1">
        <f t="array" aca="1" ref="A115" ca="1">IF(ISBLANK(INDIRECT(CONCATENATE("Input!",RSE_Setup!$B$16,ROW()+1))),"",INDIRECT(CONCATENATE("Input!",RSE_Setup!$B$16,ROW()+1)))</f>
        <v>2.9999999999999997E-4</v>
      </c>
      <c r="B115" s="1" cm="1">
        <f t="array" aca="1" ref="B115" ca="1">IF(ISBLANK(INDIRECT(CONCATENATE("Input!",RSE_Setup!$B$17,ROW()+1))),"",INDIRECT(CONCATENATE("Input!",RSE_Setup!$B$17,ROW()+1)))</f>
        <v>3.0000000000000001E-3</v>
      </c>
      <c r="C115" s="1" cm="1">
        <f t="array" aca="1" ref="C115" ca="1">IF(ISBLANK(INDIRECT(CONCATENATE("Input!",RSE_Setup!$B$18,ROW()+1))),"",INDIRECT(CONCATENATE("Input!",RSE_Setup!$B$18,ROW()+1)))</f>
        <v>5.5556000000000001E-2</v>
      </c>
      <c r="D115" s="1" cm="1">
        <f t="array" aca="1" ref="D115" ca="1">IF(ISBLANK(INDIRECT(CONCATENATE("Input!",RSE_Setup!$B$19,ROW()+1))),"",INDIRECT(CONCATENATE("Input!",RSE_Setup!$B$19,ROW()+1)))</f>
        <v>9500</v>
      </c>
      <c r="E115" s="1" cm="1">
        <f t="array" aca="1" ref="E115" ca="1">IF(ISBLANK(INDIRECT(CONCATENATE("Input!",RSE_Setup!$B$29,ROW()+1))),"",INDIRECT(CONCATENATE("Input!",RSE_Setup!$B$29,ROW()+1)))</f>
        <v>7</v>
      </c>
      <c r="F115" s="1">
        <f ca="1"/>
        <v>6.9826787026956572</v>
      </c>
    </row>
    <row r="116" spans="1:6" x14ac:dyDescent="0.3">
      <c r="A116" s="1" cm="1">
        <f t="array" aca="1" ref="A116" ca="1">IF(ISBLANK(INDIRECT(CONCATENATE("Input!",RSE_Setup!$B$16,ROW()+1))),"",INDIRECT(CONCATENATE("Input!",RSE_Setup!$B$16,ROW()+1)))</f>
        <v>2.9999999999999997E-4</v>
      </c>
      <c r="B116" s="1" cm="1">
        <f t="array" aca="1" ref="B116" ca="1">IF(ISBLANK(INDIRECT(CONCATENATE("Input!",RSE_Setup!$B$17,ROW()+1))),"",INDIRECT(CONCATENATE("Input!",RSE_Setup!$B$17,ROW()+1)))</f>
        <v>3.0000000000000001E-3</v>
      </c>
      <c r="C116" s="1" cm="1">
        <f t="array" aca="1" ref="C116" ca="1">IF(ISBLANK(INDIRECT(CONCATENATE("Input!",RSE_Setup!$B$18,ROW()+1))),"",INDIRECT(CONCATENATE("Input!",RSE_Setup!$B$18,ROW()+1)))</f>
        <v>3.2258000000000002E-2</v>
      </c>
      <c r="D116" s="1" cm="1">
        <f t="array" aca="1" ref="D116" ca="1">IF(ISBLANK(INDIRECT(CONCATENATE("Input!",RSE_Setup!$B$19,ROW()+1))),"",INDIRECT(CONCATENATE("Input!",RSE_Setup!$B$19,ROW()+1)))</f>
        <v>9500</v>
      </c>
      <c r="E116" s="1" cm="1">
        <f t="array" aca="1" ref="E116" ca="1">IF(ISBLANK(INDIRECT(CONCATENATE("Input!",RSE_Setup!$B$29,ROW()+1))),"",INDIRECT(CONCATENATE("Input!",RSE_Setup!$B$29,ROW()+1)))</f>
        <v>4</v>
      </c>
      <c r="F116" s="1">
        <f ca="1"/>
        <v>4.0537121798582882</v>
      </c>
    </row>
    <row r="117" spans="1:6" x14ac:dyDescent="0.3">
      <c r="A117" s="1" cm="1">
        <f t="array" aca="1" ref="A117" ca="1">IF(ISBLANK(INDIRECT(CONCATENATE("Input!",RSE_Setup!$B$16,ROW()+1))),"",INDIRECT(CONCATENATE("Input!",RSE_Setup!$B$16,ROW()+1)))</f>
        <v>2.9999999999999997E-4</v>
      </c>
      <c r="B117" s="1" cm="1">
        <f t="array" aca="1" ref="B117" ca="1">IF(ISBLANK(INDIRECT(CONCATENATE("Input!",RSE_Setup!$B$17,ROW()+1))),"",INDIRECT(CONCATENATE("Input!",RSE_Setup!$B$17,ROW()+1)))</f>
        <v>4.0000000000000001E-3</v>
      </c>
      <c r="C117" s="1" cm="1">
        <f t="array" aca="1" ref="C117" ca="1">IF(ISBLANK(INDIRECT(CONCATENATE("Input!",RSE_Setup!$B$18,ROW()+1))),"",INDIRECT(CONCATENATE("Input!",RSE_Setup!$B$18,ROW()+1)))</f>
        <v>5.5556000000000001E-2</v>
      </c>
      <c r="D117" s="1" cm="1">
        <f t="array" aca="1" ref="D117" ca="1">IF(ISBLANK(INDIRECT(CONCATENATE("Input!",RSE_Setup!$B$19,ROW()+1))),"",INDIRECT(CONCATENATE("Input!",RSE_Setup!$B$19,ROW()+1)))</f>
        <v>5500</v>
      </c>
      <c r="E117" s="1" cm="1">
        <f t="array" aca="1" ref="E117" ca="1">IF(ISBLANK(INDIRECT(CONCATENATE("Input!",RSE_Setup!$B$29,ROW()+1))),"",INDIRECT(CONCATENATE("Input!",RSE_Setup!$B$29,ROW()+1)))</f>
        <v>4</v>
      </c>
      <c r="F117" s="1">
        <f ca="1"/>
        <v>4.0096765183331176</v>
      </c>
    </row>
    <row r="118" spans="1:6" x14ac:dyDescent="0.3">
      <c r="A118" s="1" cm="1">
        <f t="array" aca="1" ref="A118" ca="1">IF(ISBLANK(INDIRECT(CONCATENATE("Input!",RSE_Setup!$B$16,ROW()+1))),"",INDIRECT(CONCATENATE("Input!",RSE_Setup!$B$16,ROW()+1)))</f>
        <v>2.9999999999999997E-4</v>
      </c>
      <c r="B118" s="1" cm="1">
        <f t="array" aca="1" ref="B118" ca="1">IF(ISBLANK(INDIRECT(CONCATENATE("Input!",RSE_Setup!$B$17,ROW()+1))),"",INDIRECT(CONCATENATE("Input!",RSE_Setup!$B$17,ROW()+1)))</f>
        <v>4.0000000000000001E-3</v>
      </c>
      <c r="C118" s="1" cm="1">
        <f t="array" aca="1" ref="C118" ca="1">IF(ISBLANK(INDIRECT(CONCATENATE("Input!",RSE_Setup!$B$18,ROW()+1))),"",INDIRECT(CONCATENATE("Input!",RSE_Setup!$B$18,ROW()+1)))</f>
        <v>5.5556000000000001E-2</v>
      </c>
      <c r="D118" s="1" cm="1">
        <f t="array" aca="1" ref="D118" ca="1">IF(ISBLANK(INDIRECT(CONCATENATE("Input!",RSE_Setup!$B$19,ROW()+1))),"",INDIRECT(CONCATENATE("Input!",RSE_Setup!$B$19,ROW()+1)))</f>
        <v>7500</v>
      </c>
      <c r="E118" s="1" cm="1">
        <f t="array" aca="1" ref="E118" ca="1">IF(ISBLANK(INDIRECT(CONCATENATE("Input!",RSE_Setup!$B$29,ROW()+1))),"",INDIRECT(CONCATENATE("Input!",RSE_Setup!$B$29,ROW()+1)))</f>
        <v>5.5</v>
      </c>
      <c r="F118" s="1">
        <f ca="1"/>
        <v>5.4800445662937287</v>
      </c>
    </row>
    <row r="119" spans="1:6" x14ac:dyDescent="0.3">
      <c r="A119" s="1" cm="1">
        <f t="array" aca="1" ref="A119" ca="1">IF(ISBLANK(INDIRECT(CONCATENATE("Input!",RSE_Setup!$B$16,ROW()+1))),"",INDIRECT(CONCATENATE("Input!",RSE_Setup!$B$16,ROW()+1)))</f>
        <v>2.9999999999999997E-4</v>
      </c>
      <c r="B119" s="1" cm="1">
        <f t="array" aca="1" ref="B119" ca="1">IF(ISBLANK(INDIRECT(CONCATENATE("Input!",RSE_Setup!$B$17,ROW()+1))),"",INDIRECT(CONCATENATE("Input!",RSE_Setup!$B$17,ROW()+1)))</f>
        <v>4.0000000000000001E-3</v>
      </c>
      <c r="C119" s="1" cm="1">
        <f t="array" aca="1" ref="C119" ca="1">IF(ISBLANK(INDIRECT(CONCATENATE("Input!",RSE_Setup!$B$18,ROW()+1))),"",INDIRECT(CONCATENATE("Input!",RSE_Setup!$B$18,ROW()+1)))</f>
        <v>5.5556000000000001E-2</v>
      </c>
      <c r="D119" s="1" cm="1">
        <f t="array" aca="1" ref="D119" ca="1">IF(ISBLANK(INDIRECT(CONCATENATE("Input!",RSE_Setup!$B$19,ROW()+1))),"",INDIRECT(CONCATENATE("Input!",RSE_Setup!$B$19,ROW()+1)))</f>
        <v>9500</v>
      </c>
      <c r="E119" s="1" cm="1">
        <f t="array" aca="1" ref="E119" ca="1">IF(ISBLANK(INDIRECT(CONCATENATE("Input!",RSE_Setup!$B$29,ROW()+1))),"",INDIRECT(CONCATENATE("Input!",RSE_Setup!$B$29,ROW()+1)))</f>
        <v>7</v>
      </c>
      <c r="F119" s="1">
        <f ca="1"/>
        <v>6.9810771376193141</v>
      </c>
    </row>
    <row r="120" spans="1:6" x14ac:dyDescent="0.3">
      <c r="A120" s="1" cm="1">
        <f t="array" aca="1" ref="A120" ca="1">IF(ISBLANK(INDIRECT(CONCATENATE("Input!",RSE_Setup!$B$16,ROW()+1))),"",INDIRECT(CONCATENATE("Input!",RSE_Setup!$B$16,ROW()+1)))</f>
        <v>2.9999999999999997E-4</v>
      </c>
      <c r="B120" s="1" cm="1">
        <f t="array" aca="1" ref="B120" ca="1">IF(ISBLANK(INDIRECT(CONCATENATE("Input!",RSE_Setup!$B$17,ROW()+1))),"",INDIRECT(CONCATENATE("Input!",RSE_Setup!$B$17,ROW()+1)))</f>
        <v>4.0000000000000001E-3</v>
      </c>
      <c r="C120" s="1" cm="1">
        <f t="array" aca="1" ref="C120" ca="1">IF(ISBLANK(INDIRECT(CONCATENATE("Input!",RSE_Setup!$B$18,ROW()+1))),"",INDIRECT(CONCATENATE("Input!",RSE_Setup!$B$18,ROW()+1)))</f>
        <v>3.2258000000000002E-2</v>
      </c>
      <c r="D120" s="1" cm="1">
        <f t="array" aca="1" ref="D120" ca="1">IF(ISBLANK(INDIRECT(CONCATENATE("Input!",RSE_Setup!$B$19,ROW()+1))),"",INDIRECT(CONCATENATE("Input!",RSE_Setup!$B$19,ROW()+1)))</f>
        <v>9500</v>
      </c>
      <c r="E120" s="1" cm="1">
        <f t="array" aca="1" ref="E120" ca="1">IF(ISBLANK(INDIRECT(CONCATENATE("Input!",RSE_Setup!$B$29,ROW()+1))),"",INDIRECT(CONCATENATE("Input!",RSE_Setup!$B$29,ROW()+1)))</f>
        <v>4</v>
      </c>
      <c r="F120" s="1">
        <f ca="1"/>
        <v>4.0509037536274271</v>
      </c>
    </row>
    <row r="121" spans="1:6" x14ac:dyDescent="0.3">
      <c r="A121" s="1" cm="1">
        <f t="array" aca="1" ref="A121" ca="1">IF(ISBLANK(INDIRECT(CONCATENATE("Input!",RSE_Setup!$B$16,ROW()+1))),"",INDIRECT(CONCATENATE("Input!",RSE_Setup!$B$16,ROW()+1)))</f>
        <v>5.0000000000000001E-4</v>
      </c>
      <c r="B121" s="1" cm="1">
        <f t="array" aca="1" ref="B121" ca="1">IF(ISBLANK(INDIRECT(CONCATENATE("Input!",RSE_Setup!$B$17,ROW()+1))),"",INDIRECT(CONCATENATE("Input!",RSE_Setup!$B$17,ROW()+1)))</f>
        <v>3.0000000000000001E-3</v>
      </c>
      <c r="C121" s="1" cm="1">
        <f t="array" aca="1" ref="C121" ca="1">IF(ISBLANK(INDIRECT(CONCATENATE("Input!",RSE_Setup!$B$18,ROW()+1))),"",INDIRECT(CONCATENATE("Input!",RSE_Setup!$B$18,ROW()+1)))</f>
        <v>0.13333300000000001</v>
      </c>
      <c r="D121" s="1" cm="1">
        <f t="array" aca="1" ref="D121" ca="1">IF(ISBLANK(INDIRECT(CONCATENATE("Input!",RSE_Setup!$B$19,ROW()+1))),"",INDIRECT(CONCATENATE("Input!",RSE_Setup!$B$19,ROW()+1)))</f>
        <v>4000</v>
      </c>
      <c r="E121" s="1" cm="1">
        <f t="array" aca="1" ref="E121" ca="1">IF(ISBLANK(INDIRECT(CONCATENATE("Input!",RSE_Setup!$B$29,ROW()+1))),"",INDIRECT(CONCATENATE("Input!",RSE_Setup!$B$29,ROW()+1)))</f>
        <v>7</v>
      </c>
      <c r="F121" s="1">
        <f ca="1"/>
        <v>7.0077848136928571</v>
      </c>
    </row>
    <row r="122" spans="1:6" x14ac:dyDescent="0.3">
      <c r="A122" s="1" cm="1">
        <f t="array" aca="1" ref="A122" ca="1">IF(ISBLANK(INDIRECT(CONCATENATE("Input!",RSE_Setup!$B$16,ROW()+1))),"",INDIRECT(CONCATENATE("Input!",RSE_Setup!$B$16,ROW()+1)))</f>
        <v>5.0000000000000001E-4</v>
      </c>
      <c r="B122" s="1" cm="1">
        <f t="array" aca="1" ref="B122" ca="1">IF(ISBLANK(INDIRECT(CONCATENATE("Input!",RSE_Setup!$B$17,ROW()+1))),"",INDIRECT(CONCATENATE("Input!",RSE_Setup!$B$17,ROW()+1)))</f>
        <v>3.0000000000000001E-3</v>
      </c>
      <c r="C122" s="1" cm="1">
        <f t="array" aca="1" ref="C122" ca="1">IF(ISBLANK(INDIRECT(CONCATENATE("Input!",RSE_Setup!$B$18,ROW()+1))),"",INDIRECT(CONCATENATE("Input!",RSE_Setup!$B$18,ROW()+1)))</f>
        <v>0.111111</v>
      </c>
      <c r="D122" s="1" cm="1">
        <f t="array" aca="1" ref="D122" ca="1">IF(ISBLANK(INDIRECT(CONCATENATE("Input!",RSE_Setup!$B$19,ROW()+1))),"",INDIRECT(CONCATENATE("Input!",RSE_Setup!$B$19,ROW()+1)))</f>
        <v>3750</v>
      </c>
      <c r="E122" s="1" cm="1">
        <f t="array" aca="1" ref="E122" ca="1">IF(ISBLANK(INDIRECT(CONCATENATE("Input!",RSE_Setup!$B$29,ROW()+1))),"",INDIRECT(CONCATENATE("Input!",RSE_Setup!$B$29,ROW()+1)))</f>
        <v>5.5</v>
      </c>
      <c r="F122" s="1">
        <f ca="1"/>
        <v>5.5005684789272973</v>
      </c>
    </row>
    <row r="123" spans="1:6" x14ac:dyDescent="0.3">
      <c r="A123" s="1" cm="1">
        <f t="array" aca="1" ref="A123" ca="1">IF(ISBLANK(INDIRECT(CONCATENATE("Input!",RSE_Setup!$B$16,ROW()+1))),"",INDIRECT(CONCATENATE("Input!",RSE_Setup!$B$16,ROW()+1)))</f>
        <v>5.0000000000000001E-4</v>
      </c>
      <c r="B123" s="1" cm="1">
        <f t="array" aca="1" ref="B123" ca="1">IF(ISBLANK(INDIRECT(CONCATENATE("Input!",RSE_Setup!$B$17,ROW()+1))),"",INDIRECT(CONCATENATE("Input!",RSE_Setup!$B$17,ROW()+1)))</f>
        <v>3.0000000000000001E-3</v>
      </c>
      <c r="C123" s="1" cm="1">
        <f t="array" aca="1" ref="C123" ca="1">IF(ISBLANK(INDIRECT(CONCATENATE("Input!",RSE_Setup!$B$18,ROW()+1))),"",INDIRECT(CONCATENATE("Input!",RSE_Setup!$B$18,ROW()+1)))</f>
        <v>0.111111</v>
      </c>
      <c r="D123" s="1" cm="1">
        <f t="array" aca="1" ref="D123" ca="1">IF(ISBLANK(INDIRECT(CONCATENATE("Input!",RSE_Setup!$B$19,ROW()+1))),"",INDIRECT(CONCATENATE("Input!",RSE_Setup!$B$19,ROW()+1)))</f>
        <v>4750</v>
      </c>
      <c r="E123" s="1" cm="1">
        <f t="array" aca="1" ref="E123" ca="1">IF(ISBLANK(INDIRECT(CONCATENATE("Input!",RSE_Setup!$B$29,ROW()+1))),"",INDIRECT(CONCATENATE("Input!",RSE_Setup!$B$29,ROW()+1)))</f>
        <v>7</v>
      </c>
      <c r="F123" s="1">
        <f ca="1"/>
        <v>6.945808164431889</v>
      </c>
    </row>
    <row r="124" spans="1:6" x14ac:dyDescent="0.3">
      <c r="A124" s="1" cm="1">
        <f t="array" aca="1" ref="A124" ca="1">IF(ISBLANK(INDIRECT(CONCATENATE("Input!",RSE_Setup!$B$16,ROW()+1))),"",INDIRECT(CONCATENATE("Input!",RSE_Setup!$B$16,ROW()+1)))</f>
        <v>5.0000000000000001E-4</v>
      </c>
      <c r="B124" s="1" cm="1">
        <f t="array" aca="1" ref="B124" ca="1">IF(ISBLANK(INDIRECT(CONCATENATE("Input!",RSE_Setup!$B$17,ROW()+1))),"",INDIRECT(CONCATENATE("Input!",RSE_Setup!$B$17,ROW()+1)))</f>
        <v>3.0000000000000001E-3</v>
      </c>
      <c r="C124" s="1" cm="1">
        <f t="array" aca="1" ref="C124" ca="1">IF(ISBLANK(INDIRECT(CONCATENATE("Input!",RSE_Setup!$B$18,ROW()+1))),"",INDIRECT(CONCATENATE("Input!",RSE_Setup!$B$18,ROW()+1)))</f>
        <v>5.5556000000000001E-2</v>
      </c>
      <c r="D124" s="1" cm="1">
        <f t="array" aca="1" ref="D124" ca="1">IF(ISBLANK(INDIRECT(CONCATENATE("Input!",RSE_Setup!$B$19,ROW()+1))),"",INDIRECT(CONCATENATE("Input!",RSE_Setup!$B$19,ROW()+1)))</f>
        <v>5500</v>
      </c>
      <c r="E124" s="1" cm="1">
        <f t="array" aca="1" ref="E124" ca="1">IF(ISBLANK(INDIRECT(CONCATENATE("Input!",RSE_Setup!$B$29,ROW()+1))),"",INDIRECT(CONCATENATE("Input!",RSE_Setup!$B$29,ROW()+1)))</f>
        <v>4</v>
      </c>
      <c r="F124" s="1">
        <f ca="1"/>
        <v>4.0229514505449959</v>
      </c>
    </row>
    <row r="125" spans="1:6" x14ac:dyDescent="0.3">
      <c r="A125" s="1" cm="1">
        <f t="array" aca="1" ref="A125" ca="1">IF(ISBLANK(INDIRECT(CONCATENATE("Input!",RSE_Setup!$B$16,ROW()+1))),"",INDIRECT(CONCATENATE("Input!",RSE_Setup!$B$16,ROW()+1)))</f>
        <v>5.0000000000000001E-4</v>
      </c>
      <c r="B125" s="1" cm="1">
        <f t="array" aca="1" ref="B125" ca="1">IF(ISBLANK(INDIRECT(CONCATENATE("Input!",RSE_Setup!$B$17,ROW()+1))),"",INDIRECT(CONCATENATE("Input!",RSE_Setup!$B$17,ROW()+1)))</f>
        <v>3.0000000000000001E-3</v>
      </c>
      <c r="C125" s="1" cm="1">
        <f t="array" aca="1" ref="C125" ca="1">IF(ISBLANK(INDIRECT(CONCATENATE("Input!",RSE_Setup!$B$18,ROW()+1))),"",INDIRECT(CONCATENATE("Input!",RSE_Setup!$B$18,ROW()+1)))</f>
        <v>5.5556000000000001E-2</v>
      </c>
      <c r="D125" s="1" cm="1">
        <f t="array" aca="1" ref="D125" ca="1">IF(ISBLANK(INDIRECT(CONCATENATE("Input!",RSE_Setup!$B$19,ROW()+1))),"",INDIRECT(CONCATENATE("Input!",RSE_Setup!$B$19,ROW()+1)))</f>
        <v>7500</v>
      </c>
      <c r="E125" s="1" cm="1">
        <f t="array" aca="1" ref="E125" ca="1">IF(ISBLANK(INDIRECT(CONCATENATE("Input!",RSE_Setup!$B$29,ROW()+1))),"",INDIRECT(CONCATENATE("Input!",RSE_Setup!$B$29,ROW()+1)))</f>
        <v>5.5</v>
      </c>
      <c r="F125" s="1">
        <f ca="1"/>
        <v>5.4871370269916708</v>
      </c>
    </row>
    <row r="126" spans="1:6" x14ac:dyDescent="0.3">
      <c r="A126" s="1" cm="1">
        <f t="array" aca="1" ref="A126" ca="1">IF(ISBLANK(INDIRECT(CONCATENATE("Input!",RSE_Setup!$B$16,ROW()+1))),"",INDIRECT(CONCATENATE("Input!",RSE_Setup!$B$16,ROW()+1)))</f>
        <v>5.0000000000000001E-4</v>
      </c>
      <c r="B126" s="1" cm="1">
        <f t="array" aca="1" ref="B126" ca="1">IF(ISBLANK(INDIRECT(CONCATENATE("Input!",RSE_Setup!$B$17,ROW()+1))),"",INDIRECT(CONCATENATE("Input!",RSE_Setup!$B$17,ROW()+1)))</f>
        <v>3.0000000000000001E-3</v>
      </c>
      <c r="C126" s="1" cm="1">
        <f t="array" aca="1" ref="C126" ca="1">IF(ISBLANK(INDIRECT(CONCATENATE("Input!",RSE_Setup!$B$18,ROW()+1))),"",INDIRECT(CONCATENATE("Input!",RSE_Setup!$B$18,ROW()+1)))</f>
        <v>5.5556000000000001E-2</v>
      </c>
      <c r="D126" s="1" cm="1">
        <f t="array" aca="1" ref="D126" ca="1">IF(ISBLANK(INDIRECT(CONCATENATE("Input!",RSE_Setup!$B$19,ROW()+1))),"",INDIRECT(CONCATENATE("Input!",RSE_Setup!$B$19,ROW()+1)))</f>
        <v>9500</v>
      </c>
      <c r="E126" s="1" cm="1">
        <f t="array" aca="1" ref="E126" ca="1">IF(ISBLANK(INDIRECT(CONCATENATE("Input!",RSE_Setup!$B$29,ROW()+1))),"",INDIRECT(CONCATENATE("Input!",RSE_Setup!$B$29,ROW()+1)))</f>
        <v>7</v>
      </c>
      <c r="F126" s="1">
        <f ca="1"/>
        <v>6.98198712680332</v>
      </c>
    </row>
    <row r="127" spans="1:6" x14ac:dyDescent="0.3">
      <c r="A127" s="1" cm="1">
        <f t="array" aca="1" ref="A127" ca="1">IF(ISBLANK(INDIRECT(CONCATENATE("Input!",RSE_Setup!$B$16,ROW()+1))),"",INDIRECT(CONCATENATE("Input!",RSE_Setup!$B$16,ROW()+1)))</f>
        <v>5.0000000000000001E-4</v>
      </c>
      <c r="B127" s="1" cm="1">
        <f t="array" aca="1" ref="B127" ca="1">IF(ISBLANK(INDIRECT(CONCATENATE("Input!",RSE_Setup!$B$17,ROW()+1))),"",INDIRECT(CONCATENATE("Input!",RSE_Setup!$B$17,ROW()+1)))</f>
        <v>3.0000000000000001E-3</v>
      </c>
      <c r="C127" s="1" cm="1">
        <f t="array" aca="1" ref="C127" ca="1">IF(ISBLANK(INDIRECT(CONCATENATE("Input!",RSE_Setup!$B$18,ROW()+1))),"",INDIRECT(CONCATENATE("Input!",RSE_Setup!$B$18,ROW()+1)))</f>
        <v>3.2258000000000002E-2</v>
      </c>
      <c r="D127" s="1" cm="1">
        <f t="array" aca="1" ref="D127" ca="1">IF(ISBLANK(INDIRECT(CONCATENATE("Input!",RSE_Setup!$B$19,ROW()+1))),"",INDIRECT(CONCATENATE("Input!",RSE_Setup!$B$19,ROW()+1)))</f>
        <v>9500</v>
      </c>
      <c r="E127" s="1" cm="1">
        <f t="array" aca="1" ref="E127" ca="1">IF(ISBLANK(INDIRECT(CONCATENATE("Input!",RSE_Setup!$B$29,ROW()+1))),"",INDIRECT(CONCATENATE("Input!",RSE_Setup!$B$29,ROW()+1)))</f>
        <v>4</v>
      </c>
      <c r="F127" s="1">
        <f ca="1"/>
        <v>4.0532252459710252</v>
      </c>
    </row>
    <row r="128" spans="1:6" x14ac:dyDescent="0.3">
      <c r="A128" s="1" cm="1">
        <f t="array" aca="1" ref="A128" ca="1">IF(ISBLANK(INDIRECT(CONCATENATE("Input!",RSE_Setup!$B$16,ROW()+1))),"",INDIRECT(CONCATENATE("Input!",RSE_Setup!$B$16,ROW()+1)))</f>
        <v>5.0000000000000001E-4</v>
      </c>
      <c r="B128" s="1" cm="1">
        <f t="array" aca="1" ref="B128" ca="1">IF(ISBLANK(INDIRECT(CONCATENATE("Input!",RSE_Setup!$B$17,ROW()+1))),"",INDIRECT(CONCATENATE("Input!",RSE_Setup!$B$17,ROW()+1)))</f>
        <v>4.7499999999999999E-3</v>
      </c>
      <c r="C128" s="1" cm="1">
        <f t="array" aca="1" ref="C128" ca="1">IF(ISBLANK(INDIRECT(CONCATENATE("Input!",RSE_Setup!$B$18,ROW()+1))),"",INDIRECT(CONCATENATE("Input!",RSE_Setup!$B$18,ROW()+1)))</f>
        <v>0.13333300000000001</v>
      </c>
      <c r="D128" s="1" cm="1">
        <f t="array" aca="1" ref="D128" ca="1">IF(ISBLANK(INDIRECT(CONCATENATE("Input!",RSE_Setup!$B$19,ROW()+1))),"",INDIRECT(CONCATENATE("Input!",RSE_Setup!$B$19,ROW()+1)))</f>
        <v>4000</v>
      </c>
      <c r="E128" s="1" cm="1">
        <f t="array" aca="1" ref="E128" ca="1">IF(ISBLANK(INDIRECT(CONCATENATE("Input!",RSE_Setup!$B$29,ROW()+1))),"",INDIRECT(CONCATENATE("Input!",RSE_Setup!$B$29,ROW()+1)))</f>
        <v>7</v>
      </c>
      <c r="F128" s="1">
        <f ca="1"/>
        <v>7.014528967234944</v>
      </c>
    </row>
    <row r="129" spans="1:6" x14ac:dyDescent="0.3">
      <c r="A129" s="1" cm="1">
        <f t="array" aca="1" ref="A129" ca="1">IF(ISBLANK(INDIRECT(CONCATENATE("Input!",RSE_Setup!$B$16,ROW()+1))),"",INDIRECT(CONCATENATE("Input!",RSE_Setup!$B$16,ROW()+1)))</f>
        <v>5.0000000000000001E-4</v>
      </c>
      <c r="B129" s="1" cm="1">
        <f t="array" aca="1" ref="B129" ca="1">IF(ISBLANK(INDIRECT(CONCATENATE("Input!",RSE_Setup!$B$17,ROW()+1))),"",INDIRECT(CONCATENATE("Input!",RSE_Setup!$B$17,ROW()+1)))</f>
        <v>4.7499999999999999E-3</v>
      </c>
      <c r="C129" s="1" cm="1">
        <f t="array" aca="1" ref="C129" ca="1">IF(ISBLANK(INDIRECT(CONCATENATE("Input!",RSE_Setup!$B$18,ROW()+1))),"",INDIRECT(CONCATENATE("Input!",RSE_Setup!$B$18,ROW()+1)))</f>
        <v>0.111111</v>
      </c>
      <c r="D129" s="1" cm="1">
        <f t="array" aca="1" ref="D129" ca="1">IF(ISBLANK(INDIRECT(CONCATENATE("Input!",RSE_Setup!$B$19,ROW()+1))),"",INDIRECT(CONCATENATE("Input!",RSE_Setup!$B$19,ROW()+1)))</f>
        <v>3750</v>
      </c>
      <c r="E129" s="1" cm="1">
        <f t="array" aca="1" ref="E129" ca="1">IF(ISBLANK(INDIRECT(CONCATENATE("Input!",RSE_Setup!$B$29,ROW()+1))),"",INDIRECT(CONCATENATE("Input!",RSE_Setup!$B$29,ROW()+1)))</f>
        <v>5.5</v>
      </c>
      <c r="F129" s="1">
        <f ca="1"/>
        <v>5.5054134106105961</v>
      </c>
    </row>
    <row r="130" spans="1:6" x14ac:dyDescent="0.3">
      <c r="A130" s="1" cm="1">
        <f t="array" aca="1" ref="A130" ca="1">IF(ISBLANK(INDIRECT(CONCATENATE("Input!",RSE_Setup!$B$16,ROW()+1))),"",INDIRECT(CONCATENATE("Input!",RSE_Setup!$B$16,ROW()+1)))</f>
        <v>5.0000000000000001E-4</v>
      </c>
      <c r="B130" s="1" cm="1">
        <f t="array" aca="1" ref="B130" ca="1">IF(ISBLANK(INDIRECT(CONCATENATE("Input!",RSE_Setup!$B$17,ROW()+1))),"",INDIRECT(CONCATENATE("Input!",RSE_Setup!$B$17,ROW()+1)))</f>
        <v>4.7499999999999999E-3</v>
      </c>
      <c r="C130" s="1" cm="1">
        <f t="array" aca="1" ref="C130" ca="1">IF(ISBLANK(INDIRECT(CONCATENATE("Input!",RSE_Setup!$B$18,ROW()+1))),"",INDIRECT(CONCATENATE("Input!",RSE_Setup!$B$18,ROW()+1)))</f>
        <v>0.111111</v>
      </c>
      <c r="D130" s="1" cm="1">
        <f t="array" aca="1" ref="D130" ca="1">IF(ISBLANK(INDIRECT(CONCATENATE("Input!",RSE_Setup!$B$19,ROW()+1))),"",INDIRECT(CONCATENATE("Input!",RSE_Setup!$B$19,ROW()+1)))</f>
        <v>4750</v>
      </c>
      <c r="E130" s="1" cm="1">
        <f t="array" aca="1" ref="E130" ca="1">IF(ISBLANK(INDIRECT(CONCATENATE("Input!",RSE_Setup!$B$29,ROW()+1))),"",INDIRECT(CONCATENATE("Input!",RSE_Setup!$B$29,ROW()+1)))</f>
        <v>7</v>
      </c>
      <c r="F130" s="1">
        <f ca="1"/>
        <v>6.9501921210715896</v>
      </c>
    </row>
    <row r="131" spans="1:6" x14ac:dyDescent="0.3">
      <c r="A131" s="1" cm="1">
        <f t="array" aca="1" ref="A131" ca="1">IF(ISBLANK(INDIRECT(CONCATENATE("Input!",RSE_Setup!$B$16,ROW()+1))),"",INDIRECT(CONCATENATE("Input!",RSE_Setup!$B$16,ROW()+1)))</f>
        <v>5.0000000000000001E-4</v>
      </c>
      <c r="B131" s="1" cm="1">
        <f t="array" aca="1" ref="B131" ca="1">IF(ISBLANK(INDIRECT(CONCATENATE("Input!",RSE_Setup!$B$17,ROW()+1))),"",INDIRECT(CONCATENATE("Input!",RSE_Setup!$B$17,ROW()+1)))</f>
        <v>4.7499999999999999E-3</v>
      </c>
      <c r="C131" s="1" cm="1">
        <f t="array" aca="1" ref="C131" ca="1">IF(ISBLANK(INDIRECT(CONCATENATE("Input!",RSE_Setup!$B$18,ROW()+1))),"",INDIRECT(CONCATENATE("Input!",RSE_Setup!$B$18,ROW()+1)))</f>
        <v>5.5556000000000001E-2</v>
      </c>
      <c r="D131" s="1" cm="1">
        <f t="array" aca="1" ref="D131" ca="1">IF(ISBLANK(INDIRECT(CONCATENATE("Input!",RSE_Setup!$B$19,ROW()+1))),"",INDIRECT(CONCATENATE("Input!",RSE_Setup!$B$19,ROW()+1)))</f>
        <v>5500</v>
      </c>
      <c r="E131" s="1" cm="1">
        <f t="array" aca="1" ref="E131" ca="1">IF(ISBLANK(INDIRECT(CONCATENATE("Input!",RSE_Setup!$B$29,ROW()+1))),"",INDIRECT(CONCATENATE("Input!",RSE_Setup!$B$29,ROW()+1)))</f>
        <v>4</v>
      </c>
      <c r="F131" s="1">
        <f ca="1"/>
        <v>4.0219535118527787</v>
      </c>
    </row>
    <row r="132" spans="1:6" x14ac:dyDescent="0.3">
      <c r="A132" s="1" cm="1">
        <f t="array" aca="1" ref="A132" ca="1">IF(ISBLANK(INDIRECT(CONCATENATE("Input!",RSE_Setup!$B$16,ROW()+1))),"",INDIRECT(CONCATENATE("Input!",RSE_Setup!$B$16,ROW()+1)))</f>
        <v>5.0000000000000001E-4</v>
      </c>
      <c r="B132" s="1" cm="1">
        <f t="array" aca="1" ref="B132" ca="1">IF(ISBLANK(INDIRECT(CONCATENATE("Input!",RSE_Setup!$B$17,ROW()+1))),"",INDIRECT(CONCATENATE("Input!",RSE_Setup!$B$17,ROW()+1)))</f>
        <v>4.7499999999999999E-3</v>
      </c>
      <c r="C132" s="1" cm="1">
        <f t="array" aca="1" ref="C132" ca="1">IF(ISBLANK(INDIRECT(CONCATENATE("Input!",RSE_Setup!$B$18,ROW()+1))),"",INDIRECT(CONCATENATE("Input!",RSE_Setup!$B$18,ROW()+1)))</f>
        <v>5.5556000000000001E-2</v>
      </c>
      <c r="D132" s="1" cm="1">
        <f t="array" aca="1" ref="D132" ca="1">IF(ISBLANK(INDIRECT(CONCATENATE("Input!",RSE_Setup!$B$19,ROW()+1))),"",INDIRECT(CONCATENATE("Input!",RSE_Setup!$B$19,ROW()+1)))</f>
        <v>7500</v>
      </c>
      <c r="E132" s="1" cm="1">
        <f t="array" aca="1" ref="E132" ca="1">IF(ISBLANK(INDIRECT(CONCATENATE("Input!",RSE_Setup!$B$29,ROW()+1))),"",INDIRECT(CONCATENATE("Input!",RSE_Setup!$B$29,ROW()+1)))</f>
        <v>5.5</v>
      </c>
      <c r="F132" s="1">
        <f ca="1"/>
        <v>5.4852171382122545</v>
      </c>
    </row>
    <row r="133" spans="1:6" x14ac:dyDescent="0.3">
      <c r="A133" s="1" cm="1">
        <f t="array" aca="1" ref="A133" ca="1">IF(ISBLANK(INDIRECT(CONCATENATE("Input!",RSE_Setup!$B$16,ROW()+1))),"",INDIRECT(CONCATENATE("Input!",RSE_Setup!$B$16,ROW()+1)))</f>
        <v>5.0000000000000001E-4</v>
      </c>
      <c r="B133" s="1" cm="1">
        <f t="array" aca="1" ref="B133" ca="1">IF(ISBLANK(INDIRECT(CONCATENATE("Input!",RSE_Setup!$B$17,ROW()+1))),"",INDIRECT(CONCATENATE("Input!",RSE_Setup!$B$17,ROW()+1)))</f>
        <v>4.7499999999999999E-3</v>
      </c>
      <c r="C133" s="1" cm="1">
        <f t="array" aca="1" ref="C133" ca="1">IF(ISBLANK(INDIRECT(CONCATENATE("Input!",RSE_Setup!$B$18,ROW()+1))),"",INDIRECT(CONCATENATE("Input!",RSE_Setup!$B$18,ROW()+1)))</f>
        <v>5.5556000000000001E-2</v>
      </c>
      <c r="D133" s="1" cm="1">
        <f t="array" aca="1" ref="D133" ca="1">IF(ISBLANK(INDIRECT(CONCATENATE("Input!",RSE_Setup!$B$19,ROW()+1))),"",INDIRECT(CONCATENATE("Input!",RSE_Setup!$B$19,ROW()+1)))</f>
        <v>9500</v>
      </c>
      <c r="E133" s="1" cm="1">
        <f t="array" aca="1" ref="E133" ca="1">IF(ISBLANK(INDIRECT(CONCATENATE("Input!",RSE_Setup!$B$29,ROW()+1))),"",INDIRECT(CONCATENATE("Input!",RSE_Setup!$B$29,ROW()+1)))</f>
        <v>7</v>
      </c>
      <c r="F133" s="1">
        <f ca="1"/>
        <v>6.9791452879367046</v>
      </c>
    </row>
    <row r="134" spans="1:6" x14ac:dyDescent="0.3">
      <c r="A134" s="1" cm="1">
        <f t="array" aca="1" ref="A134" ca="1">IF(ISBLANK(INDIRECT(CONCATENATE("Input!",RSE_Setup!$B$16,ROW()+1))),"",INDIRECT(CONCATENATE("Input!",RSE_Setup!$B$16,ROW()+1)))</f>
        <v>5.0000000000000001E-4</v>
      </c>
      <c r="B134" s="1" cm="1">
        <f t="array" aca="1" ref="B134" ca="1">IF(ISBLANK(INDIRECT(CONCATENATE("Input!",RSE_Setup!$B$17,ROW()+1))),"",INDIRECT(CONCATENATE("Input!",RSE_Setup!$B$17,ROW()+1)))</f>
        <v>4.7499999999999999E-3</v>
      </c>
      <c r="C134" s="1" cm="1">
        <f t="array" aca="1" ref="C134" ca="1">IF(ISBLANK(INDIRECT(CONCATENATE("Input!",RSE_Setup!$B$18,ROW()+1))),"",INDIRECT(CONCATENATE("Input!",RSE_Setup!$B$18,ROW()+1)))</f>
        <v>3.2258000000000002E-2</v>
      </c>
      <c r="D134" s="1" cm="1">
        <f t="array" aca="1" ref="D134" ca="1">IF(ISBLANK(INDIRECT(CONCATENATE("Input!",RSE_Setup!$B$19,ROW()+1))),"",INDIRECT(CONCATENATE("Input!",RSE_Setup!$B$19,ROW()+1)))</f>
        <v>9500</v>
      </c>
      <c r="E134" s="1" cm="1">
        <f t="array" aca="1" ref="E134" ca="1">IF(ISBLANK(INDIRECT(CONCATENATE("Input!",RSE_Setup!$B$29,ROW()+1))),"",INDIRECT(CONCATENATE("Input!",RSE_Setup!$B$29,ROW()+1)))</f>
        <v>4</v>
      </c>
      <c r="F134" s="1">
        <f ca="1"/>
        <v>4.0482714000840039</v>
      </c>
    </row>
    <row r="135" spans="1:6" x14ac:dyDescent="0.3">
      <c r="A135" s="1" cm="1">
        <f t="array" aca="1" ref="A135" ca="1">IF(ISBLANK(INDIRECT(CONCATENATE("Input!",RSE_Setup!$B$16,ROW()+1))),"",INDIRECT(CONCATENATE("Input!",RSE_Setup!$B$16,ROW()+1)))</f>
        <v>5.0000000000000001E-4</v>
      </c>
      <c r="B135" s="1" cm="1">
        <f t="array" aca="1" ref="B135" ca="1">IF(ISBLANK(INDIRECT(CONCATENATE("Input!",RSE_Setup!$B$17,ROW()+1))),"",INDIRECT(CONCATENATE("Input!",RSE_Setup!$B$17,ROW()+1)))</f>
        <v>6.4999999999999997E-3</v>
      </c>
      <c r="C135" s="1" cm="1">
        <f t="array" aca="1" ref="C135" ca="1">IF(ISBLANK(INDIRECT(CONCATENATE("Input!",RSE_Setup!$B$18,ROW()+1))),"",INDIRECT(CONCATENATE("Input!",RSE_Setup!$B$18,ROW()+1)))</f>
        <v>0.13333300000000001</v>
      </c>
      <c r="D135" s="1" cm="1">
        <f t="array" aca="1" ref="D135" ca="1">IF(ISBLANK(INDIRECT(CONCATENATE("Input!",RSE_Setup!$B$19,ROW()+1))),"",INDIRECT(CONCATENATE("Input!",RSE_Setup!$B$19,ROW()+1)))</f>
        <v>4000</v>
      </c>
      <c r="E135" s="1" cm="1">
        <f t="array" aca="1" ref="E135" ca="1">IF(ISBLANK(INDIRECT(CONCATENATE("Input!",RSE_Setup!$B$29,ROW()+1))),"",INDIRECT(CONCATENATE("Input!",RSE_Setup!$B$29,ROW()+1)))</f>
        <v>7</v>
      </c>
      <c r="F135" s="1">
        <f ca="1"/>
        <v>7.0246003868181921</v>
      </c>
    </row>
    <row r="136" spans="1:6" x14ac:dyDescent="0.3">
      <c r="A136" s="1" cm="1">
        <f t="array" aca="1" ref="A136" ca="1">IF(ISBLANK(INDIRECT(CONCATENATE("Input!",RSE_Setup!$B$16,ROW()+1))),"",INDIRECT(CONCATENATE("Input!",RSE_Setup!$B$16,ROW()+1)))</f>
        <v>5.0000000000000001E-4</v>
      </c>
      <c r="B136" s="1" cm="1">
        <f t="array" aca="1" ref="B136" ca="1">IF(ISBLANK(INDIRECT(CONCATENATE("Input!",RSE_Setup!$B$17,ROW()+1))),"",INDIRECT(CONCATENATE("Input!",RSE_Setup!$B$17,ROW()+1)))</f>
        <v>6.4999999999999997E-3</v>
      </c>
      <c r="C136" s="1" cm="1">
        <f t="array" aca="1" ref="C136" ca="1">IF(ISBLANK(INDIRECT(CONCATENATE("Input!",RSE_Setup!$B$18,ROW()+1))),"",INDIRECT(CONCATENATE("Input!",RSE_Setup!$B$18,ROW()+1)))</f>
        <v>0.111111</v>
      </c>
      <c r="D136" s="1" cm="1">
        <f t="array" aca="1" ref="D136" ca="1">IF(ISBLANK(INDIRECT(CONCATENATE("Input!",RSE_Setup!$B$19,ROW()+1))),"",INDIRECT(CONCATENATE("Input!",RSE_Setup!$B$19,ROW()+1)))</f>
        <v>3750</v>
      </c>
      <c r="E136" s="1" cm="1">
        <f t="array" aca="1" ref="E136" ca="1">IF(ISBLANK(INDIRECT(CONCATENATE("Input!",RSE_Setup!$B$29,ROW()+1))),"",INDIRECT(CONCATENATE("Input!",RSE_Setup!$B$29,ROW()+1)))</f>
        <v>5.5</v>
      </c>
      <c r="F136" s="1">
        <f ca="1"/>
        <v>5.513585608335057</v>
      </c>
    </row>
    <row r="137" spans="1:6" x14ac:dyDescent="0.3">
      <c r="A137" s="1" cm="1">
        <f t="array" aca="1" ref="A137" ca="1">IF(ISBLANK(INDIRECT(CONCATENATE("Input!",RSE_Setup!$B$16,ROW()+1))),"",INDIRECT(CONCATENATE("Input!",RSE_Setup!$B$16,ROW()+1)))</f>
        <v>5.0000000000000001E-4</v>
      </c>
      <c r="B137" s="1" cm="1">
        <f t="array" aca="1" ref="B137" ca="1">IF(ISBLANK(INDIRECT(CONCATENATE("Input!",RSE_Setup!$B$17,ROW()+1))),"",INDIRECT(CONCATENATE("Input!",RSE_Setup!$B$17,ROW()+1)))</f>
        <v>6.4999999999999997E-3</v>
      </c>
      <c r="C137" s="1" cm="1">
        <f t="array" aca="1" ref="C137" ca="1">IF(ISBLANK(INDIRECT(CONCATENATE("Input!",RSE_Setup!$B$18,ROW()+1))),"",INDIRECT(CONCATENATE("Input!",RSE_Setup!$B$18,ROW()+1)))</f>
        <v>0.111111</v>
      </c>
      <c r="D137" s="1" cm="1">
        <f t="array" aca="1" ref="D137" ca="1">IF(ISBLANK(INDIRECT(CONCATENATE("Input!",RSE_Setup!$B$19,ROW()+1))),"",INDIRECT(CONCATENATE("Input!",RSE_Setup!$B$19,ROW()+1)))</f>
        <v>4750</v>
      </c>
      <c r="E137" s="1" cm="1">
        <f t="array" aca="1" ref="E137" ca="1">IF(ISBLANK(INDIRECT(CONCATENATE("Input!",RSE_Setup!$B$29,ROW()+1))),"",INDIRECT(CONCATENATE("Input!",RSE_Setup!$B$29,ROW()+1)))</f>
        <v>7</v>
      </c>
      <c r="F137" s="1">
        <f ca="1"/>
        <v>6.9579033437524505</v>
      </c>
    </row>
    <row r="138" spans="1:6" x14ac:dyDescent="0.3">
      <c r="A138" s="1" cm="1">
        <f t="array" aca="1" ref="A138" ca="1">IF(ISBLANK(INDIRECT(CONCATENATE("Input!",RSE_Setup!$B$16,ROW()+1))),"",INDIRECT(CONCATENATE("Input!",RSE_Setup!$B$16,ROW()+1)))</f>
        <v>5.0000000000000001E-4</v>
      </c>
      <c r="B138" s="1" cm="1">
        <f t="array" aca="1" ref="B138" ca="1">IF(ISBLANK(INDIRECT(CONCATENATE("Input!",RSE_Setup!$B$17,ROW()+1))),"",INDIRECT(CONCATENATE("Input!",RSE_Setup!$B$17,ROW()+1)))</f>
        <v>6.4999999999999997E-3</v>
      </c>
      <c r="C138" s="1" cm="1">
        <f t="array" aca="1" ref="C138" ca="1">IF(ISBLANK(INDIRECT(CONCATENATE("Input!",RSE_Setup!$B$18,ROW()+1))),"",INDIRECT(CONCATENATE("Input!",RSE_Setup!$B$18,ROW()+1)))</f>
        <v>5.5556000000000001E-2</v>
      </c>
      <c r="D138" s="1" cm="1">
        <f t="array" aca="1" ref="D138" ca="1">IF(ISBLANK(INDIRECT(CONCATENATE("Input!",RSE_Setup!$B$19,ROW()+1))),"",INDIRECT(CONCATENATE("Input!",RSE_Setup!$B$19,ROW()+1)))</f>
        <v>5500</v>
      </c>
      <c r="E138" s="1" cm="1">
        <f t="array" aca="1" ref="E138" ca="1">IF(ISBLANK(INDIRECT(CONCATENATE("Input!",RSE_Setup!$B$29,ROW()+1))),"",INDIRECT(CONCATENATE("Input!",RSE_Setup!$B$29,ROW()+1)))</f>
        <v>4</v>
      </c>
      <c r="F138" s="1">
        <f ca="1"/>
        <v>4.0242828392017218</v>
      </c>
    </row>
    <row r="139" spans="1:6" x14ac:dyDescent="0.3">
      <c r="A139" s="1" cm="1">
        <f t="array" aca="1" ref="A139" ca="1">IF(ISBLANK(INDIRECT(CONCATENATE("Input!",RSE_Setup!$B$16,ROW()+1))),"",INDIRECT(CONCATENATE("Input!",RSE_Setup!$B$16,ROW()+1)))</f>
        <v>7.5000000000000002E-4</v>
      </c>
      <c r="B139" s="1" cm="1">
        <f t="array" aca="1" ref="B139" ca="1">IF(ISBLANK(INDIRECT(CONCATENATE("Input!",RSE_Setup!$B$17,ROW()+1))),"",INDIRECT(CONCATENATE("Input!",RSE_Setup!$B$17,ROW()+1)))</f>
        <v>4.0000000000000001E-3</v>
      </c>
      <c r="C139" s="1" cm="1">
        <f t="array" aca="1" ref="C139" ca="1">IF(ISBLANK(INDIRECT(CONCATENATE("Input!",RSE_Setup!$B$18,ROW()+1))),"",INDIRECT(CONCATENATE("Input!",RSE_Setup!$B$18,ROW()+1)))</f>
        <v>0.13333300000000001</v>
      </c>
      <c r="D139" s="1" cm="1">
        <f t="array" aca="1" ref="D139" ca="1">IF(ISBLANK(INDIRECT(CONCATENATE("Input!",RSE_Setup!$B$19,ROW()+1))),"",INDIRECT(CONCATENATE("Input!",RSE_Setup!$B$19,ROW()+1)))</f>
        <v>4000</v>
      </c>
      <c r="E139" s="1" cm="1">
        <f t="array" aca="1" ref="E139" ca="1">IF(ISBLANK(INDIRECT(CONCATENATE("Input!",RSE_Setup!$B$29,ROW()+1))),"",INDIRECT(CONCATENATE("Input!",RSE_Setup!$B$29,ROW()+1)))</f>
        <v>7</v>
      </c>
      <c r="F139" s="1">
        <f ca="1"/>
        <v>7.0217861808673403</v>
      </c>
    </row>
    <row r="140" spans="1:6" x14ac:dyDescent="0.3">
      <c r="A140" s="1" cm="1">
        <f t="array" aca="1" ref="A140" ca="1">IF(ISBLANK(INDIRECT(CONCATENATE("Input!",RSE_Setup!$B$16,ROW()+1))),"",INDIRECT(CONCATENATE("Input!",RSE_Setup!$B$16,ROW()+1)))</f>
        <v>7.5000000000000002E-4</v>
      </c>
      <c r="B140" s="1" cm="1">
        <f t="array" aca="1" ref="B140" ca="1">IF(ISBLANK(INDIRECT(CONCATENATE("Input!",RSE_Setup!$B$17,ROW()+1))),"",INDIRECT(CONCATENATE("Input!",RSE_Setup!$B$17,ROW()+1)))</f>
        <v>4.0000000000000001E-3</v>
      </c>
      <c r="C140" s="1" cm="1">
        <f t="array" aca="1" ref="C140" ca="1">IF(ISBLANK(INDIRECT(CONCATENATE("Input!",RSE_Setup!$B$18,ROW()+1))),"",INDIRECT(CONCATENATE("Input!",RSE_Setup!$B$18,ROW()+1)))</f>
        <v>0.111111</v>
      </c>
      <c r="D140" s="1" cm="1">
        <f t="array" aca="1" ref="D140" ca="1">IF(ISBLANK(INDIRECT(CONCATENATE("Input!",RSE_Setup!$B$19,ROW()+1))),"",INDIRECT(CONCATENATE("Input!",RSE_Setup!$B$19,ROW()+1)))</f>
        <v>3750</v>
      </c>
      <c r="E140" s="1" cm="1">
        <f t="array" aca="1" ref="E140" ca="1">IF(ISBLANK(INDIRECT(CONCATENATE("Input!",RSE_Setup!$B$29,ROW()+1))),"",INDIRECT(CONCATENATE("Input!",RSE_Setup!$B$29,ROW()+1)))</f>
        <v>5.5</v>
      </c>
      <c r="F140" s="1">
        <f ca="1"/>
        <v>5.5147768930809589</v>
      </c>
    </row>
    <row r="141" spans="1:6" x14ac:dyDescent="0.3">
      <c r="A141" s="1" cm="1">
        <f t="array" aca="1" ref="A141" ca="1">IF(ISBLANK(INDIRECT(CONCATENATE("Input!",RSE_Setup!$B$16,ROW()+1))),"",INDIRECT(CONCATENATE("Input!",RSE_Setup!$B$16,ROW()+1)))</f>
        <v>7.5000000000000002E-4</v>
      </c>
      <c r="B141" s="1" cm="1">
        <f t="array" aca="1" ref="B141" ca="1">IF(ISBLANK(INDIRECT(CONCATENATE("Input!",RSE_Setup!$B$17,ROW()+1))),"",INDIRECT(CONCATENATE("Input!",RSE_Setup!$B$17,ROW()+1)))</f>
        <v>4.0000000000000001E-3</v>
      </c>
      <c r="C141" s="1" cm="1">
        <f t="array" aca="1" ref="C141" ca="1">IF(ISBLANK(INDIRECT(CONCATENATE("Input!",RSE_Setup!$B$18,ROW()+1))),"",INDIRECT(CONCATENATE("Input!",RSE_Setup!$B$18,ROW()+1)))</f>
        <v>0.111111</v>
      </c>
      <c r="D141" s="1" cm="1">
        <f t="array" aca="1" ref="D141" ca="1">IF(ISBLANK(INDIRECT(CONCATENATE("Input!",RSE_Setup!$B$19,ROW()+1))),"",INDIRECT(CONCATENATE("Input!",RSE_Setup!$B$19,ROW()+1)))</f>
        <v>4750</v>
      </c>
      <c r="E141" s="1" cm="1">
        <f t="array" aca="1" ref="E141" ca="1">IF(ISBLANK(INDIRECT(CONCATENATE("Input!",RSE_Setup!$B$29,ROW()+1))),"",INDIRECT(CONCATENATE("Input!",RSE_Setup!$B$29,ROW()+1)))</f>
        <v>7</v>
      </c>
      <c r="F141" s="1">
        <f ca="1"/>
        <v>6.9555598516904276</v>
      </c>
    </row>
    <row r="142" spans="1:6" x14ac:dyDescent="0.3">
      <c r="A142" s="1" cm="1">
        <f t="array" aca="1" ref="A142" ca="1">IF(ISBLANK(INDIRECT(CONCATENATE("Input!",RSE_Setup!$B$16,ROW()+1))),"",INDIRECT(CONCATENATE("Input!",RSE_Setup!$B$16,ROW()+1)))</f>
        <v>7.5000000000000002E-4</v>
      </c>
      <c r="B142" s="1" cm="1">
        <f t="array" aca="1" ref="B142" ca="1">IF(ISBLANK(INDIRECT(CONCATENATE("Input!",RSE_Setup!$B$17,ROW()+1))),"",INDIRECT(CONCATENATE("Input!",RSE_Setup!$B$17,ROW()+1)))</f>
        <v>4.0000000000000001E-3</v>
      </c>
      <c r="C142" s="1" cm="1">
        <f t="array" aca="1" ref="C142" ca="1">IF(ISBLANK(INDIRECT(CONCATENATE("Input!",RSE_Setup!$B$18,ROW()+1))),"",INDIRECT(CONCATENATE("Input!",RSE_Setup!$B$18,ROW()+1)))</f>
        <v>5.5556000000000001E-2</v>
      </c>
      <c r="D142" s="1" cm="1">
        <f t="array" aca="1" ref="D142" ca="1">IF(ISBLANK(INDIRECT(CONCATENATE("Input!",RSE_Setup!$B$19,ROW()+1))),"",INDIRECT(CONCATENATE("Input!",RSE_Setup!$B$19,ROW()+1)))</f>
        <v>5500</v>
      </c>
      <c r="E142" s="1" cm="1">
        <f t="array" aca="1" ref="E142" ca="1">IF(ISBLANK(INDIRECT(CONCATENATE("Input!",RSE_Setup!$B$29,ROW()+1))),"",INDIRECT(CONCATENATE("Input!",RSE_Setup!$B$29,ROW()+1)))</f>
        <v>4</v>
      </c>
      <c r="F142" s="1">
        <f ca="1"/>
        <v>4.0270927557706857</v>
      </c>
    </row>
    <row r="143" spans="1:6" x14ac:dyDescent="0.3">
      <c r="A143" s="1" cm="1">
        <f t="array" aca="1" ref="A143" ca="1">IF(ISBLANK(INDIRECT(CONCATENATE("Input!",RSE_Setup!$B$16,ROW()+1))),"",INDIRECT(CONCATENATE("Input!",RSE_Setup!$B$16,ROW()+1)))</f>
        <v>7.5000000000000002E-4</v>
      </c>
      <c r="B143" s="1" cm="1">
        <f t="array" aca="1" ref="B143" ca="1">IF(ISBLANK(INDIRECT(CONCATENATE("Input!",RSE_Setup!$B$17,ROW()+1))),"",INDIRECT(CONCATENATE("Input!",RSE_Setup!$B$17,ROW()+1)))</f>
        <v>6.0000000000000001E-3</v>
      </c>
      <c r="C143" s="1" cm="1">
        <f t="array" aca="1" ref="C143" ca="1">IF(ISBLANK(INDIRECT(CONCATENATE("Input!",RSE_Setup!$B$18,ROW()+1))),"",INDIRECT(CONCATENATE("Input!",RSE_Setup!$B$18,ROW()+1)))</f>
        <v>0.13333300000000001</v>
      </c>
      <c r="D143" s="1" cm="1">
        <f t="array" aca="1" ref="D143" ca="1">IF(ISBLANK(INDIRECT(CONCATENATE("Input!",RSE_Setup!$B$19,ROW()+1))),"",INDIRECT(CONCATENATE("Input!",RSE_Setup!$B$19,ROW()+1)))</f>
        <v>4000</v>
      </c>
      <c r="E143" s="1" cm="1">
        <f t="array" aca="1" ref="E143" ca="1">IF(ISBLANK(INDIRECT(CONCATENATE("Input!",RSE_Setup!$B$29,ROW()+1))),"",INDIRECT(CONCATENATE("Input!",RSE_Setup!$B$29,ROW()+1)))</f>
        <v>7</v>
      </c>
      <c r="F143" s="1">
        <f ca="1"/>
        <v>7.0308638989573451</v>
      </c>
    </row>
    <row r="144" spans="1:6" x14ac:dyDescent="0.3">
      <c r="A144" s="1" cm="1">
        <f t="array" aca="1" ref="A144" ca="1">IF(ISBLANK(INDIRECT(CONCATENATE("Input!",RSE_Setup!$B$16,ROW()+1))),"",INDIRECT(CONCATENATE("Input!",RSE_Setup!$B$16,ROW()+1)))</f>
        <v>7.5000000000000002E-4</v>
      </c>
      <c r="B144" s="1" cm="1">
        <f t="array" aca="1" ref="B144" ca="1">IF(ISBLANK(INDIRECT(CONCATENATE("Input!",RSE_Setup!$B$17,ROW()+1))),"",INDIRECT(CONCATENATE("Input!",RSE_Setup!$B$17,ROW()+1)))</f>
        <v>6.0000000000000001E-3</v>
      </c>
      <c r="C144" s="1" cm="1">
        <f t="array" aca="1" ref="C144" ca="1">IF(ISBLANK(INDIRECT(CONCATENATE("Input!",RSE_Setup!$B$18,ROW()+1))),"",INDIRECT(CONCATENATE("Input!",RSE_Setup!$B$18,ROW()+1)))</f>
        <v>0.111111</v>
      </c>
      <c r="D144" s="1" cm="1">
        <f t="array" aca="1" ref="D144" ca="1">IF(ISBLANK(INDIRECT(CONCATENATE("Input!",RSE_Setup!$B$19,ROW()+1))),"",INDIRECT(CONCATENATE("Input!",RSE_Setup!$B$19,ROW()+1)))</f>
        <v>3750</v>
      </c>
      <c r="E144" s="1" cm="1">
        <f t="array" aca="1" ref="E144" ca="1">IF(ISBLANK(INDIRECT(CONCATENATE("Input!",RSE_Setup!$B$29,ROW()+1))),"",INDIRECT(CONCATENATE("Input!",RSE_Setup!$B$29,ROW()+1)))</f>
        <v>5.5</v>
      </c>
      <c r="F144" s="1">
        <f ca="1"/>
        <v>5.5216840719037776</v>
      </c>
    </row>
    <row r="145" spans="1:6" x14ac:dyDescent="0.3">
      <c r="A145" s="1" cm="1">
        <f t="array" aca="1" ref="A145" ca="1">IF(ISBLANK(INDIRECT(CONCATENATE("Input!",RSE_Setup!$B$16,ROW()+1))),"",INDIRECT(CONCATENATE("Input!",RSE_Setup!$B$16,ROW()+1)))</f>
        <v>7.5000000000000002E-4</v>
      </c>
      <c r="B145" s="1" cm="1">
        <f t="array" aca="1" ref="B145" ca="1">IF(ISBLANK(INDIRECT(CONCATENATE("Input!",RSE_Setup!$B$17,ROW()+1))),"",INDIRECT(CONCATENATE("Input!",RSE_Setup!$B$17,ROW()+1)))</f>
        <v>6.0000000000000001E-3</v>
      </c>
      <c r="C145" s="1" cm="1">
        <f t="array" aca="1" ref="C145" ca="1">IF(ISBLANK(INDIRECT(CONCATENATE("Input!",RSE_Setup!$B$18,ROW()+1))),"",INDIRECT(CONCATENATE("Input!",RSE_Setup!$B$18,ROW()+1)))</f>
        <v>0.111111</v>
      </c>
      <c r="D145" s="1" cm="1">
        <f t="array" aca="1" ref="D145" ca="1">IF(ISBLANK(INDIRECT(CONCATENATE("Input!",RSE_Setup!$B$19,ROW()+1))),"",INDIRECT(CONCATENATE("Input!",RSE_Setup!$B$19,ROW()+1)))</f>
        <v>4750</v>
      </c>
      <c r="E145" s="1" cm="1">
        <f t="array" aca="1" ref="E145" ca="1">IF(ISBLANK(INDIRECT(CONCATENATE("Input!",RSE_Setup!$B$29,ROW()+1))),"",INDIRECT(CONCATENATE("Input!",RSE_Setup!$B$29,ROW()+1)))</f>
        <v>7</v>
      </c>
      <c r="F145" s="1">
        <f ca="1"/>
        <v>6.9619402018919896</v>
      </c>
    </row>
    <row r="146" spans="1:6" x14ac:dyDescent="0.3">
      <c r="A146" s="1" cm="1">
        <f t="array" aca="1" ref="A146" ca="1">IF(ISBLANK(INDIRECT(CONCATENATE("Input!",RSE_Setup!$B$16,ROW()+1))),"",INDIRECT(CONCATENATE("Input!",RSE_Setup!$B$16,ROW()+1)))</f>
        <v>7.5000000000000002E-4</v>
      </c>
      <c r="B146" s="1" cm="1">
        <f t="array" aca="1" ref="B146" ca="1">IF(ISBLANK(INDIRECT(CONCATENATE("Input!",RSE_Setup!$B$17,ROW()+1))),"",INDIRECT(CONCATENATE("Input!",RSE_Setup!$B$17,ROW()+1)))</f>
        <v>6.0000000000000001E-3</v>
      </c>
      <c r="C146" s="1" cm="1">
        <f t="array" aca="1" ref="C146" ca="1">IF(ISBLANK(INDIRECT(CONCATENATE("Input!",RSE_Setup!$B$18,ROW()+1))),"",INDIRECT(CONCATENATE("Input!",RSE_Setup!$B$18,ROW()+1)))</f>
        <v>5.5556000000000001E-2</v>
      </c>
      <c r="D146" s="1" cm="1">
        <f t="array" aca="1" ref="D146" ca="1">IF(ISBLANK(INDIRECT(CONCATENATE("Input!",RSE_Setup!$B$19,ROW()+1))),"",INDIRECT(CONCATENATE("Input!",RSE_Setup!$B$19,ROW()+1)))</f>
        <v>5500</v>
      </c>
      <c r="E146" s="1" cm="1">
        <f t="array" aca="1" ref="E146" ca="1">IF(ISBLANK(INDIRECT(CONCATENATE("Input!",RSE_Setup!$B$29,ROW()+1))),"",INDIRECT(CONCATENATE("Input!",RSE_Setup!$B$29,ROW()+1)))</f>
        <v>4</v>
      </c>
      <c r="F146" s="1">
        <f ca="1"/>
        <v>4.0273223684500561</v>
      </c>
    </row>
    <row r="147" spans="1:6" x14ac:dyDescent="0.3">
      <c r="A147" s="1" cm="1">
        <f t="array" aca="1" ref="A147" ca="1">IF(ISBLANK(INDIRECT(CONCATENATE("Input!",RSE_Setup!$B$16,ROW()+1))),"",INDIRECT(CONCATENATE("Input!",RSE_Setup!$B$16,ROW()+1)))</f>
        <v>7.5000000000000002E-4</v>
      </c>
      <c r="B147" s="1" cm="1">
        <f t="array" aca="1" ref="B147" ca="1">IF(ISBLANK(INDIRECT(CONCATENATE("Input!",RSE_Setup!$B$17,ROW()+1))),"",INDIRECT(CONCATENATE("Input!",RSE_Setup!$B$17,ROW()+1)))</f>
        <v>8.0000000000000002E-3</v>
      </c>
      <c r="C147" s="1" cm="1">
        <f t="array" aca="1" ref="C147" ca="1">IF(ISBLANK(INDIRECT(CONCATENATE("Input!",RSE_Setup!$B$18,ROW()+1))),"",INDIRECT(CONCATENATE("Input!",RSE_Setup!$B$18,ROW()+1)))</f>
        <v>0.111111</v>
      </c>
      <c r="D147" s="1" cm="1">
        <f t="array" aca="1" ref="D147" ca="1">IF(ISBLANK(INDIRECT(CONCATENATE("Input!",RSE_Setup!$B$19,ROW()+1))),"",INDIRECT(CONCATENATE("Input!",RSE_Setup!$B$19,ROW()+1)))</f>
        <v>4750</v>
      </c>
      <c r="E147" s="1" cm="1">
        <f t="array" aca="1" ref="E147" ca="1">IF(ISBLANK(INDIRECT(CONCATENATE("Input!",RSE_Setup!$B$29,ROW()+1))),"",INDIRECT(CONCATENATE("Input!",RSE_Setup!$B$29,ROW()+1)))</f>
        <v>7</v>
      </c>
      <c r="F147" s="1">
        <f ca="1"/>
        <v>6.9726663689636403</v>
      </c>
    </row>
    <row r="148" spans="1:6" x14ac:dyDescent="0.3">
      <c r="A148" s="1" cm="1">
        <f t="array" aca="1" ref="A148" ca="1">IF(ISBLANK(INDIRECT(CONCATENATE("Input!",RSE_Setup!$B$16,ROW()+1))),"",INDIRECT(CONCATENATE("Input!",RSE_Setup!$B$16,ROW()+1)))</f>
        <v>7.5000000000000002E-4</v>
      </c>
      <c r="B148" s="1" cm="1">
        <f t="array" aca="1" ref="B148" ca="1">IF(ISBLANK(INDIRECT(CONCATENATE("Input!",RSE_Setup!$B$17,ROW()+1))),"",INDIRECT(CONCATENATE("Input!",RSE_Setup!$B$17,ROW()+1)))</f>
        <v>8.0000000000000002E-3</v>
      </c>
      <c r="C148" s="1" cm="1">
        <f t="array" aca="1" ref="C148" ca="1">IF(ISBLANK(INDIRECT(CONCATENATE("Input!",RSE_Setup!$B$18,ROW()+1))),"",INDIRECT(CONCATENATE("Input!",RSE_Setup!$B$18,ROW()+1)))</f>
        <v>5.5556000000000001E-2</v>
      </c>
      <c r="D148" s="1" cm="1">
        <f t="array" aca="1" ref="D148" ca="1">IF(ISBLANK(INDIRECT(CONCATENATE("Input!",RSE_Setup!$B$19,ROW()+1))),"",INDIRECT(CONCATENATE("Input!",RSE_Setup!$B$19,ROW()+1)))</f>
        <v>5500</v>
      </c>
      <c r="E148" s="1" cm="1">
        <f t="array" aca="1" ref="E148" ca="1">IF(ISBLANK(INDIRECT(CONCATENATE("Input!",RSE_Setup!$B$29,ROW()+1))),"",INDIRECT(CONCATENATE("Input!",RSE_Setup!$B$29,ROW()+1)))</f>
        <v>4</v>
      </c>
      <c r="F148" s="1">
        <f ca="1"/>
        <v>4.0318977979995143</v>
      </c>
    </row>
    <row r="149" spans="1:6" x14ac:dyDescent="0.3">
      <c r="A149" s="1" cm="1">
        <f t="array" aca="1" ref="A149" ca="1">IF(ISBLANK(INDIRECT(CONCATENATE("Input!",RSE_Setup!$B$16,ROW()+1))),"",INDIRECT(CONCATENATE("Input!",RSE_Setup!$B$16,ROW()+1)))</f>
        <v>1E-3</v>
      </c>
      <c r="B149" s="1" cm="1">
        <f t="array" aca="1" ref="B149" ca="1">IF(ISBLANK(INDIRECT(CONCATENATE("Input!",RSE_Setup!$B$17,ROW()+1))),"",INDIRECT(CONCATENATE("Input!",RSE_Setup!$B$17,ROW()+1)))</f>
        <v>5.0000000000000001E-3</v>
      </c>
      <c r="C149" s="1" cm="1">
        <f t="array" aca="1" ref="C149" ca="1">IF(ISBLANK(INDIRECT(CONCATENATE("Input!",RSE_Setup!$B$18,ROW()+1))),"",INDIRECT(CONCATENATE("Input!",RSE_Setup!$B$18,ROW()+1)))</f>
        <v>0.13333300000000001</v>
      </c>
      <c r="D149" s="1" cm="1">
        <f t="array" aca="1" ref="D149" ca="1">IF(ISBLANK(INDIRECT(CONCATENATE("Input!",RSE_Setup!$B$19,ROW()+1))),"",INDIRECT(CONCATENATE("Input!",RSE_Setup!$B$19,ROW()+1)))</f>
        <v>4000</v>
      </c>
      <c r="E149" s="1" cm="1">
        <f t="array" aca="1" ref="E149" ca="1">IF(ISBLANK(INDIRECT(CONCATENATE("Input!",RSE_Setup!$B$29,ROW()+1))),"",INDIRECT(CONCATENATE("Input!",RSE_Setup!$B$29,ROW()+1)))</f>
        <v>7</v>
      </c>
      <c r="F149" s="1">
        <f ca="1"/>
        <v>7.0244078162448567</v>
      </c>
    </row>
    <row r="150" spans="1:6" x14ac:dyDescent="0.3">
      <c r="A150" s="1" cm="1">
        <f t="array" aca="1" ref="A150" ca="1">IF(ISBLANK(INDIRECT(CONCATENATE("Input!",RSE_Setup!$B$16,ROW()+1))),"",INDIRECT(CONCATENATE("Input!",RSE_Setup!$B$16,ROW()+1)))</f>
        <v>1E-3</v>
      </c>
      <c r="B150" s="1" cm="1">
        <f t="array" aca="1" ref="B150" ca="1">IF(ISBLANK(INDIRECT(CONCATENATE("Input!",RSE_Setup!$B$17,ROW()+1))),"",INDIRECT(CONCATENATE("Input!",RSE_Setup!$B$17,ROW()+1)))</f>
        <v>5.0000000000000001E-3</v>
      </c>
      <c r="C150" s="1" cm="1">
        <f t="array" aca="1" ref="C150" ca="1">IF(ISBLANK(INDIRECT(CONCATENATE("Input!",RSE_Setup!$B$18,ROW()+1))),"",INDIRECT(CONCATENATE("Input!",RSE_Setup!$B$18,ROW()+1)))</f>
        <v>0.111111</v>
      </c>
      <c r="D150" s="1" cm="1">
        <f t="array" aca="1" ref="D150" ca="1">IF(ISBLANK(INDIRECT(CONCATENATE("Input!",RSE_Setup!$B$19,ROW()+1))),"",INDIRECT(CONCATENATE("Input!",RSE_Setup!$B$19,ROW()+1)))</f>
        <v>3750</v>
      </c>
      <c r="E150" s="1" cm="1">
        <f t="array" aca="1" ref="E150" ca="1">IF(ISBLANK(INDIRECT(CONCATENATE("Input!",RSE_Setup!$B$29,ROW()+1))),"",INDIRECT(CONCATENATE("Input!",RSE_Setup!$B$29,ROW()+1)))</f>
        <v>5.5</v>
      </c>
      <c r="F150" s="1">
        <f ca="1"/>
        <v>5.5176055754376536</v>
      </c>
    </row>
    <row r="151" spans="1:6" x14ac:dyDescent="0.3">
      <c r="A151" s="1" cm="1">
        <f t="array" aca="1" ref="A151" ca="1">IF(ISBLANK(INDIRECT(CONCATENATE("Input!",RSE_Setup!$B$16,ROW()+1))),"",INDIRECT(CONCATENATE("Input!",RSE_Setup!$B$16,ROW()+1)))</f>
        <v>1E-3</v>
      </c>
      <c r="B151" s="1" cm="1">
        <f t="array" aca="1" ref="B151" ca="1">IF(ISBLANK(INDIRECT(CONCATENATE("Input!",RSE_Setup!$B$17,ROW()+1))),"",INDIRECT(CONCATENATE("Input!",RSE_Setup!$B$17,ROW()+1)))</f>
        <v>5.0000000000000001E-3</v>
      </c>
      <c r="C151" s="1" cm="1">
        <f t="array" aca="1" ref="C151" ca="1">IF(ISBLANK(INDIRECT(CONCATENATE("Input!",RSE_Setup!$B$18,ROW()+1))),"",INDIRECT(CONCATENATE("Input!",RSE_Setup!$B$18,ROW()+1)))</f>
        <v>0.111111</v>
      </c>
      <c r="D151" s="1" cm="1">
        <f t="array" aca="1" ref="D151" ca="1">IF(ISBLANK(INDIRECT(CONCATENATE("Input!",RSE_Setup!$B$19,ROW()+1))),"",INDIRECT(CONCATENATE("Input!",RSE_Setup!$B$19,ROW()+1)))</f>
        <v>4750</v>
      </c>
      <c r="E151" s="1" cm="1">
        <f t="array" aca="1" ref="E151" ca="1">IF(ISBLANK(INDIRECT(CONCATENATE("Input!",RSE_Setup!$B$29,ROW()+1))),"",INDIRECT(CONCATENATE("Input!",RSE_Setup!$B$29,ROW()+1)))</f>
        <v>7</v>
      </c>
      <c r="F151" s="1">
        <f ca="1"/>
        <v>6.9539318071519984</v>
      </c>
    </row>
    <row r="152" spans="1:6" x14ac:dyDescent="0.3">
      <c r="A152" s="1" cm="1">
        <f t="array" aca="1" ref="A152" ca="1">IF(ISBLANK(INDIRECT(CONCATENATE("Input!",RSE_Setup!$B$16,ROW()+1))),"",INDIRECT(CONCATENATE("Input!",RSE_Setup!$B$16,ROW()+1)))</f>
        <v>1E-3</v>
      </c>
      <c r="B152" s="1" cm="1">
        <f t="array" aca="1" ref="B152" ca="1">IF(ISBLANK(INDIRECT(CONCATENATE("Input!",RSE_Setup!$B$17,ROW()+1))),"",INDIRECT(CONCATENATE("Input!",RSE_Setup!$B$17,ROW()+1)))</f>
        <v>5.0000000000000001E-3</v>
      </c>
      <c r="C152" s="1" cm="1">
        <f t="array" aca="1" ref="C152" ca="1">IF(ISBLANK(INDIRECT(CONCATENATE("Input!",RSE_Setup!$B$18,ROW()+1))),"",INDIRECT(CONCATENATE("Input!",RSE_Setup!$B$18,ROW()+1)))</f>
        <v>5.5556000000000001E-2</v>
      </c>
      <c r="D152" s="1" cm="1">
        <f t="array" aca="1" ref="D152" ca="1">IF(ISBLANK(INDIRECT(CONCATENATE("Input!",RSE_Setup!$B$19,ROW()+1))),"",INDIRECT(CONCATENATE("Input!",RSE_Setup!$B$19,ROW()+1)))</f>
        <v>5500</v>
      </c>
      <c r="E152" s="1" cm="1">
        <f t="array" aca="1" ref="E152" ca="1">IF(ISBLANK(INDIRECT(CONCATENATE("Input!",RSE_Setup!$B$29,ROW()+1))),"",INDIRECT(CONCATENATE("Input!",RSE_Setup!$B$29,ROW()+1)))</f>
        <v>4</v>
      </c>
      <c r="F152" s="1">
        <f ca="1"/>
        <v>4.0198543291994069</v>
      </c>
    </row>
    <row r="153" spans="1:6" x14ac:dyDescent="0.3">
      <c r="A153" s="1" cm="1">
        <f t="array" aca="1" ref="A153" ca="1">IF(ISBLANK(INDIRECT(CONCATENATE("Input!",RSE_Setup!$B$16,ROW()+1))),"",INDIRECT(CONCATENATE("Input!",RSE_Setup!$B$16,ROW()+1)))</f>
        <v>1E-3</v>
      </c>
      <c r="B153" s="1" cm="1">
        <f t="array" aca="1" ref="B153" ca="1">IF(ISBLANK(INDIRECT(CONCATENATE("Input!",RSE_Setup!$B$17,ROW()+1))),"",INDIRECT(CONCATENATE("Input!",RSE_Setup!$B$17,ROW()+1)))</f>
        <v>6.4999999999999997E-3</v>
      </c>
      <c r="C153" s="1" cm="1">
        <f t="array" aca="1" ref="C153" ca="1">IF(ISBLANK(INDIRECT(CONCATENATE("Input!",RSE_Setup!$B$18,ROW()+1))),"",INDIRECT(CONCATENATE("Input!",RSE_Setup!$B$18,ROW()+1)))</f>
        <v>0.13333300000000001</v>
      </c>
      <c r="D153" s="1" cm="1">
        <f t="array" aca="1" ref="D153" ca="1">IF(ISBLANK(INDIRECT(CONCATENATE("Input!",RSE_Setup!$B$19,ROW()+1))),"",INDIRECT(CONCATENATE("Input!",RSE_Setup!$B$19,ROW()+1)))</f>
        <v>4000</v>
      </c>
      <c r="E153" s="1" cm="1">
        <f t="array" aca="1" ref="E153" ca="1">IF(ISBLANK(INDIRECT(CONCATENATE("Input!",RSE_Setup!$B$29,ROW()+1))),"",INDIRECT(CONCATENATE("Input!",RSE_Setup!$B$29,ROW()+1)))</f>
        <v>7</v>
      </c>
      <c r="F153" s="1">
        <f ca="1"/>
        <v>7.0316325598464324</v>
      </c>
    </row>
    <row r="154" spans="1:6" x14ac:dyDescent="0.3">
      <c r="A154" s="1" cm="1">
        <f t="array" aca="1" ref="A154" ca="1">IF(ISBLANK(INDIRECT(CONCATENATE("Input!",RSE_Setup!$B$16,ROW()+1))),"",INDIRECT(CONCATENATE("Input!",RSE_Setup!$B$16,ROW()+1)))</f>
        <v>1E-3</v>
      </c>
      <c r="B154" s="1" cm="1">
        <f t="array" aca="1" ref="B154" ca="1">IF(ISBLANK(INDIRECT(CONCATENATE("Input!",RSE_Setup!$B$17,ROW()+1))),"",INDIRECT(CONCATENATE("Input!",RSE_Setup!$B$17,ROW()+1)))</f>
        <v>6.4999999999999997E-3</v>
      </c>
      <c r="C154" s="1" cm="1">
        <f t="array" aca="1" ref="C154" ca="1">IF(ISBLANK(INDIRECT(CONCATENATE("Input!",RSE_Setup!$B$18,ROW()+1))),"",INDIRECT(CONCATENATE("Input!",RSE_Setup!$B$18,ROW()+1)))</f>
        <v>0.111111</v>
      </c>
      <c r="D154" s="1" cm="1">
        <f t="array" aca="1" ref="D154" ca="1">IF(ISBLANK(INDIRECT(CONCATENATE("Input!",RSE_Setup!$B$19,ROW()+1))),"",INDIRECT(CONCATENATE("Input!",RSE_Setup!$B$19,ROW()+1)))</f>
        <v>3750</v>
      </c>
      <c r="E154" s="1" cm="1">
        <f t="array" aca="1" ref="E154" ca="1">IF(ISBLANK(INDIRECT(CONCATENATE("Input!",RSE_Setup!$B$29,ROW()+1))),"",INDIRECT(CONCATENATE("Input!",RSE_Setup!$B$29,ROW()+1)))</f>
        <v>5.5</v>
      </c>
      <c r="F154" s="1">
        <f ca="1"/>
        <v>5.5232024145888401</v>
      </c>
    </row>
    <row r="155" spans="1:6" x14ac:dyDescent="0.3">
      <c r="A155" s="1" cm="1">
        <f t="array" aca="1" ref="A155" ca="1">IF(ISBLANK(INDIRECT(CONCATENATE("Input!",RSE_Setup!$B$16,ROW()+1))),"",INDIRECT(CONCATENATE("Input!",RSE_Setup!$B$16,ROW()+1)))</f>
        <v>1E-3</v>
      </c>
      <c r="B155" s="1" cm="1">
        <f t="array" aca="1" ref="B155" ca="1">IF(ISBLANK(INDIRECT(CONCATENATE("Input!",RSE_Setup!$B$17,ROW()+1))),"",INDIRECT(CONCATENATE("Input!",RSE_Setup!$B$17,ROW()+1)))</f>
        <v>6.4999999999999997E-3</v>
      </c>
      <c r="C155" s="1" cm="1">
        <f t="array" aca="1" ref="C155" ca="1">IF(ISBLANK(INDIRECT(CONCATENATE("Input!",RSE_Setup!$B$18,ROW()+1))),"",INDIRECT(CONCATENATE("Input!",RSE_Setup!$B$18,ROW()+1)))</f>
        <v>0.111111</v>
      </c>
      <c r="D155" s="1" cm="1">
        <f t="array" aca="1" ref="D155" ca="1">IF(ISBLANK(INDIRECT(CONCATENATE("Input!",RSE_Setup!$B$19,ROW()+1))),"",INDIRECT(CONCATENATE("Input!",RSE_Setup!$B$19,ROW()+1)))</f>
        <v>4750</v>
      </c>
      <c r="E155" s="1" cm="1">
        <f t="array" aca="1" ref="E155" ca="1">IF(ISBLANK(INDIRECT(CONCATENATE("Input!",RSE_Setup!$B$29,ROW()+1))),"",INDIRECT(CONCATENATE("Input!",RSE_Setup!$B$29,ROW()+1)))</f>
        <v>7</v>
      </c>
      <c r="F155" s="1">
        <f ca="1"/>
        <v>6.9591335248372426</v>
      </c>
    </row>
    <row r="156" spans="1:6" x14ac:dyDescent="0.3">
      <c r="A156" s="1" cm="1">
        <f t="array" aca="1" ref="A156" ca="1">IF(ISBLANK(INDIRECT(CONCATENATE("Input!",RSE_Setup!$B$16,ROW()+1))),"",INDIRECT(CONCATENATE("Input!",RSE_Setup!$B$16,ROW()+1)))</f>
        <v>1E-3</v>
      </c>
      <c r="B156" s="1" cm="1">
        <f t="array" aca="1" ref="B156" ca="1">IF(ISBLANK(INDIRECT(CONCATENATE("Input!",RSE_Setup!$B$17,ROW()+1))),"",INDIRECT(CONCATENATE("Input!",RSE_Setup!$B$17,ROW()+1)))</f>
        <v>6.4999999999999997E-3</v>
      </c>
      <c r="C156" s="1" cm="1">
        <f t="array" aca="1" ref="C156" ca="1">IF(ISBLANK(INDIRECT(CONCATENATE("Input!",RSE_Setup!$B$18,ROW()+1))),"",INDIRECT(CONCATENATE("Input!",RSE_Setup!$B$18,ROW()+1)))</f>
        <v>5.5556000000000001E-2</v>
      </c>
      <c r="D156" s="1" cm="1">
        <f t="array" aca="1" ref="D156" ca="1">IF(ISBLANK(INDIRECT(CONCATENATE("Input!",RSE_Setup!$B$19,ROW()+1))),"",INDIRECT(CONCATENATE("Input!",RSE_Setup!$B$19,ROW()+1)))</f>
        <v>5500</v>
      </c>
      <c r="E156" s="1" cm="1">
        <f t="array" aca="1" ref="E156" ca="1">IF(ISBLANK(INDIRECT(CONCATENATE("Input!",RSE_Setup!$B$29,ROW()+1))),"",INDIRECT(CONCATENATE("Input!",RSE_Setup!$B$29,ROW()+1)))</f>
        <v>4</v>
      </c>
      <c r="F156" s="1">
        <f ca="1"/>
        <v>4.0204429937430071</v>
      </c>
    </row>
    <row r="157" spans="1:6" x14ac:dyDescent="0.3">
      <c r="A157" s="1" cm="1">
        <f t="array" aca="1" ref="A157" ca="1">IF(ISBLANK(INDIRECT(CONCATENATE("Input!",RSE_Setup!$B$16,ROW()+1))),"",INDIRECT(CONCATENATE("Input!",RSE_Setup!$B$16,ROW()+1)))</f>
        <v>1E-3</v>
      </c>
      <c r="B157" s="1" cm="1">
        <f t="array" aca="1" ref="B157" ca="1">IF(ISBLANK(INDIRECT(CONCATENATE("Input!",RSE_Setup!$B$17,ROW()+1))),"",INDIRECT(CONCATENATE("Input!",RSE_Setup!$B$17,ROW()+1)))</f>
        <v>8.0000000000000002E-3</v>
      </c>
      <c r="C157" s="1" cm="1">
        <f t="array" aca="1" ref="C157" ca="1">IF(ISBLANK(INDIRECT(CONCATENATE("Input!",RSE_Setup!$B$18,ROW()+1))),"",INDIRECT(CONCATENATE("Input!",RSE_Setup!$B$18,ROW()+1)))</f>
        <v>0.111111</v>
      </c>
      <c r="D157" s="1" cm="1">
        <f t="array" aca="1" ref="D157" ca="1">IF(ISBLANK(INDIRECT(CONCATENATE("Input!",RSE_Setup!$B$19,ROW()+1))),"",INDIRECT(CONCATENATE("Input!",RSE_Setup!$B$19,ROW()+1)))</f>
        <v>4750</v>
      </c>
      <c r="E157" s="1" cm="1">
        <f t="array" aca="1" ref="E157" ca="1">IF(ISBLANK(INDIRECT(CONCATENATE("Input!",RSE_Setup!$B$29,ROW()+1))),"",INDIRECT(CONCATENATE("Input!",RSE_Setup!$B$29,ROW()+1)))</f>
        <v>7</v>
      </c>
      <c r="F157" s="1">
        <f ca="1"/>
        <v>6.9667797645119114</v>
      </c>
    </row>
    <row r="158" spans="1:6" x14ac:dyDescent="0.3">
      <c r="A158" s="1" cm="1">
        <f t="array" aca="1" ref="A158" ca="1">IF(ISBLANK(INDIRECT(CONCATENATE("Input!",RSE_Setup!$B$16,ROW()+1))),"",INDIRECT(CONCATENATE("Input!",RSE_Setup!$B$16,ROW()+1)))</f>
        <v>1E-3</v>
      </c>
      <c r="B158" s="1" cm="1">
        <f t="array" aca="1" ref="B158" ca="1">IF(ISBLANK(INDIRECT(CONCATENATE("Input!",RSE_Setup!$B$17,ROW()+1))),"",INDIRECT(CONCATENATE("Input!",RSE_Setup!$B$17,ROW()+1)))</f>
        <v>8.0000000000000002E-3</v>
      </c>
      <c r="C158" s="1" cm="1">
        <f t="array" aca="1" ref="C158" ca="1">IF(ISBLANK(INDIRECT(CONCATENATE("Input!",RSE_Setup!$B$18,ROW()+1))),"",INDIRECT(CONCATENATE("Input!",RSE_Setup!$B$18,ROW()+1)))</f>
        <v>5.5556000000000001E-2</v>
      </c>
      <c r="D158" s="1" cm="1">
        <f t="array" aca="1" ref="D158" ca="1">IF(ISBLANK(INDIRECT(CONCATENATE("Input!",RSE_Setup!$B$19,ROW()+1))),"",INDIRECT(CONCATENATE("Input!",RSE_Setup!$B$19,ROW()+1)))</f>
        <v>5500</v>
      </c>
      <c r="E158" s="1" cm="1">
        <f t="array" aca="1" ref="E158" ca="1">IF(ISBLANK(INDIRECT(CONCATENATE("Input!",RSE_Setup!$B$29,ROW()+1))),"",INDIRECT(CONCATENATE("Input!",RSE_Setup!$B$29,ROW()+1)))</f>
        <v>4</v>
      </c>
      <c r="F158" s="1">
        <f ca="1"/>
        <v>4.0234761802760319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FDBB5-71B9-4F7C-82FF-559DABD07138}">
  <sheetPr codeName="Sheet10"/>
  <dimension ref="A1:G158"/>
  <sheetViews>
    <sheetView tabSelected="1" workbookViewId="0"/>
  </sheetViews>
  <sheetFormatPr defaultRowHeight="14.4" x14ac:dyDescent="0.3"/>
  <cols>
    <col min="1" max="2" width="8" style="1" bestFit="1" customWidth="1"/>
    <col min="3" max="3" width="9" style="1" bestFit="1" customWidth="1"/>
    <col min="4" max="4" width="6" style="1" bestFit="1" customWidth="1"/>
    <col min="5" max="5" width="8.33203125" style="1" bestFit="1" customWidth="1"/>
    <col min="6" max="6" width="12" style="1" bestFit="1" customWidth="1"/>
  </cols>
  <sheetData>
    <row r="1" spans="1:7" x14ac:dyDescent="0.3">
      <c r="A1" s="1" t="s">
        <v>32</v>
      </c>
      <c r="B1" s="1" t="s">
        <v>33</v>
      </c>
      <c r="C1" s="1" t="s">
        <v>34</v>
      </c>
      <c r="D1" s="1" t="s">
        <v>35</v>
      </c>
      <c r="E1" s="1" t="s">
        <v>38</v>
      </c>
      <c r="F1" s="1" t="s">
        <v>300</v>
      </c>
      <c r="G1" t="s">
        <v>16</v>
      </c>
    </row>
    <row r="2" spans="1:7" x14ac:dyDescent="0.3">
      <c r="A2" s="1" cm="1">
        <f t="array" aca="1" ref="A2" ca="1">IF(ISBLANK(INDIRECT(CONCATENATE("Input!",RSE_Setup!$B$16,ROW()+1))),"",INDIRECT(CONCATENATE("Input!",RSE_Setup!$B$16,ROW()+1)))</f>
        <v>5.0000000000000001E-4</v>
      </c>
      <c r="B2" s="1" cm="1">
        <f t="array" aca="1" ref="B2" ca="1">IF(ISBLANK(INDIRECT(CONCATENATE("Input!",RSE_Setup!$B$17,ROW()+1))),"",INDIRECT(CONCATENATE("Input!",RSE_Setup!$B$17,ROW()+1)))</f>
        <v>3.0000000000000001E-3</v>
      </c>
      <c r="C2" s="1" cm="1">
        <f t="array" aca="1" ref="C2" ca="1">IF(ISBLANK(INDIRECT(CONCATENATE("Input!",RSE_Setup!$B$18,ROW()+1))),"",INDIRECT(CONCATENATE("Input!",RSE_Setup!$B$18,ROW()+1)))</f>
        <v>3.2258000000000002E-2</v>
      </c>
      <c r="D2" s="1" cm="1">
        <f t="array" aca="1" ref="D2" ca="1">IF(ISBLANK(INDIRECT(CONCATENATE("Input!",RSE_Setup!$B$19,ROW()+1))),"",INDIRECT(CONCATENATE("Input!",RSE_Setup!$B$19,ROW()+1)))</f>
        <v>3250</v>
      </c>
      <c r="E2" s="1" cm="1">
        <f t="array" aca="1" ref="E2" ca="1">IF(ISBLANK(INDIRECT(CONCATENATE("Input!",RSE_Setup!$B$30,ROW()+1))),"",INDIRECT(CONCATENATE("Input!",RSE_Setup!$B$30,ROW()+1)))</f>
        <v>3</v>
      </c>
      <c r="F2" s="1" cm="1">
        <f t="array" aca="1" ref="F2:F158" ca="1">(-5.9144045253579 + 0 * 1 + 1079.78063053781 * RLHP20 + -68.3639375191534 * RLHP60 + 171.174448332819 * HP_ETW + 0.0014965665692878 * ETW + -22644.1293598539 * RLHP20^2 + 35307.1905753904 * RLHP20 * RLHP60 + -2838.9193402222 * RLHP20 * HP_ETW + -0.224523945695045 * RLHP20 * ETW + -2229.84115996274 * RLHP60^2 + 137.858828791285 * RLHP60 * HP_ETW + 0.00765161986764713 * RLHP60 * ETW + -644.940405647557 * HP_ETW^2 + -0.0048283099442328 * HP_ETW * ETW + -5.13414306624326E-08 * ETW^2)</f>
        <v>2.7909181725218368</v>
      </c>
      <c r="G2" t="s">
        <v>309</v>
      </c>
    </row>
    <row r="3" spans="1:7" x14ac:dyDescent="0.3">
      <c r="A3" s="1" cm="1">
        <f t="array" aca="1" ref="A3" ca="1">IF(ISBLANK(INDIRECT(CONCATENATE("Input!",RSE_Setup!$B$16,ROW()+1))),"",INDIRECT(CONCATENATE("Input!",RSE_Setup!$B$16,ROW()+1)))</f>
        <v>5.0000000000000001E-4</v>
      </c>
      <c r="B3" s="1" cm="1">
        <f t="array" aca="1" ref="B3" ca="1">IF(ISBLANK(INDIRECT(CONCATENATE("Input!",RSE_Setup!$B$17,ROW()+1))),"",INDIRECT(CONCATENATE("Input!",RSE_Setup!$B$17,ROW()+1)))</f>
        <v>3.0000000000000001E-3</v>
      </c>
      <c r="C3" s="1" cm="1">
        <f t="array" aca="1" ref="C3" ca="1">IF(ISBLANK(INDIRECT(CONCATENATE("Input!",RSE_Setup!$B$18,ROW()+1))),"",INDIRECT(CONCATENATE("Input!",RSE_Setup!$B$18,ROW()+1)))</f>
        <v>3.2258000000000002E-2</v>
      </c>
      <c r="D3" s="1" cm="1">
        <f t="array" aca="1" ref="D3" ca="1">IF(ISBLANK(INDIRECT(CONCATENATE("Input!",RSE_Setup!$B$19,ROW()+1))),"",INDIRECT(CONCATENATE("Input!",RSE_Setup!$B$19,ROW()+1)))</f>
        <v>4250</v>
      </c>
      <c r="E3" s="1" cm="1">
        <f t="array" aca="1" ref="E3" ca="1">IF(ISBLANK(INDIRECT(CONCATENATE("Input!",RSE_Setup!$B$30,ROW()+1))),"",INDIRECT(CONCATENATE("Input!",RSE_Setup!$B$30,ROW()+1)))</f>
        <v>3</v>
      </c>
      <c r="F3" s="1">
        <f ca="1"/>
        <v>3.6573652764157503</v>
      </c>
    </row>
    <row r="4" spans="1:7" x14ac:dyDescent="0.3">
      <c r="A4" s="1" cm="1">
        <f t="array" aca="1" ref="A4" ca="1">IF(ISBLANK(INDIRECT(CONCATENATE("Input!",RSE_Setup!$B$16,ROW()+1))),"",INDIRECT(CONCATENATE("Input!",RSE_Setup!$B$16,ROW()+1)))</f>
        <v>5.0000000000000001E-4</v>
      </c>
      <c r="B4" s="1" cm="1">
        <f t="array" aca="1" ref="B4" ca="1">IF(ISBLANK(INDIRECT(CONCATENATE("Input!",RSE_Setup!$B$17,ROW()+1))),"",INDIRECT(CONCATENATE("Input!",RSE_Setup!$B$17,ROW()+1)))</f>
        <v>4.7499999999999999E-3</v>
      </c>
      <c r="C4" s="1" cm="1">
        <f t="array" aca="1" ref="C4" ca="1">IF(ISBLANK(INDIRECT(CONCATENATE("Input!",RSE_Setup!$B$18,ROW()+1))),"",INDIRECT(CONCATENATE("Input!",RSE_Setup!$B$18,ROW()+1)))</f>
        <v>3.2258000000000002E-2</v>
      </c>
      <c r="D4" s="1" cm="1">
        <f t="array" aca="1" ref="D4" ca="1">IF(ISBLANK(INDIRECT(CONCATENATE("Input!",RSE_Setup!$B$19,ROW()+1))),"",INDIRECT(CONCATENATE("Input!",RSE_Setup!$B$19,ROW()+1)))</f>
        <v>3250</v>
      </c>
      <c r="E4" s="1" cm="1">
        <f t="array" aca="1" ref="E4" ca="1">IF(ISBLANK(INDIRECT(CONCATENATE("Input!",RSE_Setup!$B$30,ROW()+1))),"",INDIRECT(CONCATENATE("Input!",RSE_Setup!$B$30,ROW()+1)))</f>
        <v>3</v>
      </c>
      <c r="F4" s="1">
        <f ca="1"/>
        <v>2.7232337785555445</v>
      </c>
    </row>
    <row r="5" spans="1:7" x14ac:dyDescent="0.3">
      <c r="A5" s="1" cm="1">
        <f t="array" aca="1" ref="A5" ca="1">IF(ISBLANK(INDIRECT(CONCATENATE("Input!",RSE_Setup!$B$16,ROW()+1))),"",INDIRECT(CONCATENATE("Input!",RSE_Setup!$B$16,ROW()+1)))</f>
        <v>5.0000000000000001E-4</v>
      </c>
      <c r="B5" s="1" cm="1">
        <f t="array" aca="1" ref="B5" ca="1">IF(ISBLANK(INDIRECT(CONCATENATE("Input!",RSE_Setup!$B$17,ROW()+1))),"",INDIRECT(CONCATENATE("Input!",RSE_Setup!$B$17,ROW()+1)))</f>
        <v>4.7499999999999999E-3</v>
      </c>
      <c r="C5" s="1" cm="1">
        <f t="array" aca="1" ref="C5" ca="1">IF(ISBLANK(INDIRECT(CONCATENATE("Input!",RSE_Setup!$B$18,ROW()+1))),"",INDIRECT(CONCATENATE("Input!",RSE_Setup!$B$18,ROW()+1)))</f>
        <v>3.2258000000000002E-2</v>
      </c>
      <c r="D5" s="1" cm="1">
        <f t="array" aca="1" ref="D5" ca="1">IF(ISBLANK(INDIRECT(CONCATENATE("Input!",RSE_Setup!$B$19,ROW()+1))),"",INDIRECT(CONCATENATE("Input!",RSE_Setup!$B$19,ROW()+1)))</f>
        <v>4250</v>
      </c>
      <c r="E5" s="1" cm="1">
        <f t="array" aca="1" ref="E5" ca="1">IF(ISBLANK(INDIRECT(CONCATENATE("Input!",RSE_Setup!$B$30,ROW()+1))),"",INDIRECT(CONCATENATE("Input!",RSE_Setup!$B$30,ROW()+1)))</f>
        <v>3</v>
      </c>
      <c r="F5" s="1">
        <f ca="1"/>
        <v>3.603071217217841</v>
      </c>
    </row>
    <row r="6" spans="1:7" x14ac:dyDescent="0.3">
      <c r="A6" s="1" cm="1">
        <f t="array" aca="1" ref="A6" ca="1">IF(ISBLANK(INDIRECT(CONCATENATE("Input!",RSE_Setup!$B$16,ROW()+1))),"",INDIRECT(CONCATENATE("Input!",RSE_Setup!$B$16,ROW()+1)))</f>
        <v>5.0000000000000001E-4</v>
      </c>
      <c r="B6" s="1" cm="1">
        <f t="array" aca="1" ref="B6" ca="1">IF(ISBLANK(INDIRECT(CONCATENATE("Input!",RSE_Setup!$B$17,ROW()+1))),"",INDIRECT(CONCATENATE("Input!",RSE_Setup!$B$17,ROW()+1)))</f>
        <v>6.4999999999999997E-3</v>
      </c>
      <c r="C6" s="1" cm="1">
        <f t="array" aca="1" ref="C6" ca="1">IF(ISBLANK(INDIRECT(CONCATENATE("Input!",RSE_Setup!$B$18,ROW()+1))),"",INDIRECT(CONCATENATE("Input!",RSE_Setup!$B$18,ROW()+1)))</f>
        <v>3.2258000000000002E-2</v>
      </c>
      <c r="D6" s="1" cm="1">
        <f t="array" aca="1" ref="D6" ca="1">IF(ISBLANK(INDIRECT(CONCATENATE("Input!",RSE_Setup!$B$19,ROW()+1))),"",INDIRECT(CONCATENATE("Input!",RSE_Setup!$B$19,ROW()+1)))</f>
        <v>3250</v>
      </c>
      <c r="E6" s="1" cm="1">
        <f t="array" aca="1" ref="E6" ca="1">IF(ISBLANK(INDIRECT(CONCATENATE("Input!",RSE_Setup!$B$30,ROW()+1))),"",INDIRECT(CONCATENATE("Input!",RSE_Setup!$B$30,ROW()+1)))</f>
        <v>3</v>
      </c>
      <c r="F6" s="1">
        <f ca="1"/>
        <v>2.6418916074844794</v>
      </c>
    </row>
    <row r="7" spans="1:7" x14ac:dyDescent="0.3">
      <c r="A7" s="1" cm="1">
        <f t="array" aca="1" ref="A7" ca="1">IF(ISBLANK(INDIRECT(CONCATENATE("Input!",RSE_Setup!$B$16,ROW()+1))),"",INDIRECT(CONCATENATE("Input!",RSE_Setup!$B$16,ROW()+1)))</f>
        <v>5.0000000000000001E-4</v>
      </c>
      <c r="B7" s="1" cm="1">
        <f t="array" aca="1" ref="B7" ca="1">IF(ISBLANK(INDIRECT(CONCATENATE("Input!",RSE_Setup!$B$17,ROW()+1))),"",INDIRECT(CONCATENATE("Input!",RSE_Setup!$B$17,ROW()+1)))</f>
        <v>6.4999999999999997E-3</v>
      </c>
      <c r="C7" s="1" cm="1">
        <f t="array" aca="1" ref="C7" ca="1">IF(ISBLANK(INDIRECT(CONCATENATE("Input!",RSE_Setup!$B$18,ROW()+1))),"",INDIRECT(CONCATENATE("Input!",RSE_Setup!$B$18,ROW()+1)))</f>
        <v>3.2258000000000002E-2</v>
      </c>
      <c r="D7" s="1" cm="1">
        <f t="array" aca="1" ref="D7" ca="1">IF(ISBLANK(INDIRECT(CONCATENATE("Input!",RSE_Setup!$B$19,ROW()+1))),"",INDIRECT(CONCATENATE("Input!",RSE_Setup!$B$19,ROW()+1)))</f>
        <v>4250</v>
      </c>
      <c r="E7" s="1" cm="1">
        <f t="array" aca="1" ref="E7" ca="1">IF(ISBLANK(INDIRECT(CONCATENATE("Input!",RSE_Setup!$B$30,ROW()+1))),"",INDIRECT(CONCATENATE("Input!",RSE_Setup!$B$30,ROW()+1)))</f>
        <v>3</v>
      </c>
      <c r="F7" s="1">
        <f ca="1"/>
        <v>3.535119380915158</v>
      </c>
    </row>
    <row r="8" spans="1:7" x14ac:dyDescent="0.3">
      <c r="A8" s="1" cm="1">
        <f t="array" aca="1" ref="A8" ca="1">IF(ISBLANK(INDIRECT(CONCATENATE("Input!",RSE_Setup!$B$16,ROW()+1))),"",INDIRECT(CONCATENATE("Input!",RSE_Setup!$B$16,ROW()+1)))</f>
        <v>7.5000000000000002E-4</v>
      </c>
      <c r="B8" s="1" cm="1">
        <f t="array" aca="1" ref="B8" ca="1">IF(ISBLANK(INDIRECT(CONCATENATE("Input!",RSE_Setup!$B$17,ROW()+1))),"",INDIRECT(CONCATENATE("Input!",RSE_Setup!$B$17,ROW()+1)))</f>
        <v>4.0000000000000001E-3</v>
      </c>
      <c r="C8" s="1" cm="1">
        <f t="array" aca="1" ref="C8" ca="1">IF(ISBLANK(INDIRECT(CONCATENATE("Input!",RSE_Setup!$B$18,ROW()+1))),"",INDIRECT(CONCATENATE("Input!",RSE_Setup!$B$18,ROW()+1)))</f>
        <v>3.2258000000000002E-2</v>
      </c>
      <c r="D8" s="1" cm="1">
        <f t="array" aca="1" ref="D8" ca="1">IF(ISBLANK(INDIRECT(CONCATENATE("Input!",RSE_Setup!$B$19,ROW()+1))),"",INDIRECT(CONCATENATE("Input!",RSE_Setup!$B$19,ROW()+1)))</f>
        <v>3250</v>
      </c>
      <c r="E8" s="1" cm="1">
        <f t="array" aca="1" ref="E8" ca="1">IF(ISBLANK(INDIRECT(CONCATENATE("Input!",RSE_Setup!$B$30,ROW()+1))),"",INDIRECT(CONCATENATE("Input!",RSE_Setup!$B$30,ROW()+1)))</f>
        <v>3</v>
      </c>
      <c r="F8" s="1">
        <f ca="1"/>
        <v>2.8467696437280847</v>
      </c>
    </row>
    <row r="9" spans="1:7" x14ac:dyDescent="0.3">
      <c r="A9" s="1" cm="1">
        <f t="array" aca="1" ref="A9" ca="1">IF(ISBLANK(INDIRECT(CONCATENATE("Input!",RSE_Setup!$B$16,ROW()+1))),"",INDIRECT(CONCATENATE("Input!",RSE_Setup!$B$16,ROW()+1)))</f>
        <v>7.5000000000000002E-4</v>
      </c>
      <c r="B9" s="1" cm="1">
        <f t="array" aca="1" ref="B9" ca="1">IF(ISBLANK(INDIRECT(CONCATENATE("Input!",RSE_Setup!$B$17,ROW()+1))),"",INDIRECT(CONCATENATE("Input!",RSE_Setup!$B$17,ROW()+1)))</f>
        <v>4.0000000000000001E-3</v>
      </c>
      <c r="C9" s="1" cm="1">
        <f t="array" aca="1" ref="C9" ca="1">IF(ISBLANK(INDIRECT(CONCATENATE("Input!",RSE_Setup!$B$18,ROW()+1))),"",INDIRECT(CONCATENATE("Input!",RSE_Setup!$B$18,ROW()+1)))</f>
        <v>3.2258000000000002E-2</v>
      </c>
      <c r="D9" s="1" cm="1">
        <f t="array" aca="1" ref="D9" ca="1">IF(ISBLANK(INDIRECT(CONCATENATE("Input!",RSE_Setup!$B$19,ROW()+1))),"",INDIRECT(CONCATENATE("Input!",RSE_Setup!$B$19,ROW()+1)))</f>
        <v>4250</v>
      </c>
      <c r="E9" s="1" cm="1">
        <f t="array" aca="1" ref="E9" ca="1">IF(ISBLANK(INDIRECT(CONCATENATE("Input!",RSE_Setup!$B$30,ROW()+1))),"",INDIRECT(CONCATENATE("Input!",RSE_Setup!$B$30,ROW()+1)))</f>
        <v>3</v>
      </c>
      <c r="F9" s="1">
        <f ca="1"/>
        <v>3.6647373810658843</v>
      </c>
    </row>
    <row r="10" spans="1:7" x14ac:dyDescent="0.3">
      <c r="A10" s="1" cm="1">
        <f t="array" aca="1" ref="A10" ca="1">IF(ISBLANK(INDIRECT(CONCATENATE("Input!",RSE_Setup!$B$16,ROW()+1))),"",INDIRECT(CONCATENATE("Input!",RSE_Setup!$B$16,ROW()+1)))</f>
        <v>7.5000000000000002E-4</v>
      </c>
      <c r="B10" s="1" cm="1">
        <f t="array" aca="1" ref="B10" ca="1">IF(ISBLANK(INDIRECT(CONCATENATE("Input!",RSE_Setup!$B$17,ROW()+1))),"",INDIRECT(CONCATENATE("Input!",RSE_Setup!$B$17,ROW()+1)))</f>
        <v>6.0000000000000001E-3</v>
      </c>
      <c r="C10" s="1" cm="1">
        <f t="array" aca="1" ref="C10" ca="1">IF(ISBLANK(INDIRECT(CONCATENATE("Input!",RSE_Setup!$B$18,ROW()+1))),"",INDIRECT(CONCATENATE("Input!",RSE_Setup!$B$18,ROW()+1)))</f>
        <v>3.2258000000000002E-2</v>
      </c>
      <c r="D10" s="1" cm="1">
        <f t="array" aca="1" ref="D10" ca="1">IF(ISBLANK(INDIRECT(CONCATENATE("Input!",RSE_Setup!$B$19,ROW()+1))),"",INDIRECT(CONCATENATE("Input!",RSE_Setup!$B$19,ROW()+1)))</f>
        <v>3250</v>
      </c>
      <c r="E10" s="1" cm="1">
        <f t="array" aca="1" ref="E10" ca="1">IF(ISBLANK(INDIRECT(CONCATENATE("Input!",RSE_Setup!$B$30,ROW()+1))),"",INDIRECT(CONCATENATE("Input!",RSE_Setup!$B$30,ROW()+1)))</f>
        <v>3</v>
      </c>
      <c r="F10" s="1">
        <f ca="1"/>
        <v>2.7770353606916145</v>
      </c>
    </row>
    <row r="11" spans="1:7" x14ac:dyDescent="0.3">
      <c r="A11" s="1" cm="1">
        <f t="array" aca="1" ref="A11" ca="1">IF(ISBLANK(INDIRECT(CONCATENATE("Input!",RSE_Setup!$B$16,ROW()+1))),"",INDIRECT(CONCATENATE("Input!",RSE_Setup!$B$16,ROW()+1)))</f>
        <v>7.5000000000000002E-4</v>
      </c>
      <c r="B11" s="1" cm="1">
        <f t="array" aca="1" ref="B11" ca="1">IF(ISBLANK(INDIRECT(CONCATENATE("Input!",RSE_Setup!$B$17,ROW()+1))),"",INDIRECT(CONCATENATE("Input!",RSE_Setup!$B$17,ROW()+1)))</f>
        <v>6.0000000000000001E-3</v>
      </c>
      <c r="C11" s="1" cm="1">
        <f t="array" aca="1" ref="C11" ca="1">IF(ISBLANK(INDIRECT(CONCATENATE("Input!",RSE_Setup!$B$18,ROW()+1))),"",INDIRECT(CONCATENATE("Input!",RSE_Setup!$B$18,ROW()+1)))</f>
        <v>3.2258000000000002E-2</v>
      </c>
      <c r="D11" s="1" cm="1">
        <f t="array" aca="1" ref="D11" ca="1">IF(ISBLANK(INDIRECT(CONCATENATE("Input!",RSE_Setup!$B$19,ROW()+1))),"",INDIRECT(CONCATENATE("Input!",RSE_Setup!$B$19,ROW()+1)))</f>
        <v>4250</v>
      </c>
      <c r="E11" s="1" cm="1">
        <f t="array" aca="1" ref="E11" ca="1">IF(ISBLANK(INDIRECT(CONCATENATE("Input!",RSE_Setup!$B$30,ROW()+1))),"",INDIRECT(CONCATENATE("Input!",RSE_Setup!$B$30,ROW()+1)))</f>
        <v>3</v>
      </c>
      <c r="F11" s="1">
        <f ca="1"/>
        <v>3.6103063377647073</v>
      </c>
    </row>
    <row r="12" spans="1:7" x14ac:dyDescent="0.3">
      <c r="A12" s="1" cm="1">
        <f t="array" aca="1" ref="A12" ca="1">IF(ISBLANK(INDIRECT(CONCATENATE("Input!",RSE_Setup!$B$16,ROW()+1))),"",INDIRECT(CONCATENATE("Input!",RSE_Setup!$B$16,ROW()+1)))</f>
        <v>7.5000000000000002E-4</v>
      </c>
      <c r="B12" s="1" cm="1">
        <f t="array" aca="1" ref="B12" ca="1">IF(ISBLANK(INDIRECT(CONCATENATE("Input!",RSE_Setup!$B$17,ROW()+1))),"",INDIRECT(CONCATENATE("Input!",RSE_Setup!$B$17,ROW()+1)))</f>
        <v>8.0000000000000002E-3</v>
      </c>
      <c r="C12" s="1" cm="1">
        <f t="array" aca="1" ref="C12" ca="1">IF(ISBLANK(INDIRECT(CONCATENATE("Input!",RSE_Setup!$B$18,ROW()+1))),"",INDIRECT(CONCATENATE("Input!",RSE_Setup!$B$18,ROW()+1)))</f>
        <v>3.2258000000000002E-2</v>
      </c>
      <c r="D12" s="1" cm="1">
        <f t="array" aca="1" ref="D12" ca="1">IF(ISBLANK(INDIRECT(CONCATENATE("Input!",RSE_Setup!$B$19,ROW()+1))),"",INDIRECT(CONCATENATE("Input!",RSE_Setup!$B$19,ROW()+1)))</f>
        <v>4250</v>
      </c>
      <c r="E12" s="1" cm="1">
        <f t="array" aca="1" ref="E12" ca="1">IF(ISBLANK(INDIRECT(CONCATENATE("Input!",RSE_Setup!$B$30,ROW()+1))),"",INDIRECT(CONCATENATE("Input!",RSE_Setup!$B$30,ROW()+1)))</f>
        <v>3</v>
      </c>
      <c r="F12" s="1">
        <f ca="1"/>
        <v>3.5380365651838295</v>
      </c>
    </row>
    <row r="13" spans="1:7" x14ac:dyDescent="0.3">
      <c r="A13" s="1" cm="1">
        <f t="array" aca="1" ref="A13" ca="1">IF(ISBLANK(INDIRECT(CONCATENATE("Input!",RSE_Setup!$B$16,ROW()+1))),"",INDIRECT(CONCATENATE("Input!",RSE_Setup!$B$16,ROW()+1)))</f>
        <v>1E-3</v>
      </c>
      <c r="B13" s="1" cm="1">
        <f t="array" aca="1" ref="B13" ca="1">IF(ISBLANK(INDIRECT(CONCATENATE("Input!",RSE_Setup!$B$17,ROW()+1))),"",INDIRECT(CONCATENATE("Input!",RSE_Setup!$B$17,ROW()+1)))</f>
        <v>5.0000000000000001E-3</v>
      </c>
      <c r="C13" s="1" cm="1">
        <f t="array" aca="1" ref="C13" ca="1">IF(ISBLANK(INDIRECT(CONCATENATE("Input!",RSE_Setup!$B$18,ROW()+1))),"",INDIRECT(CONCATENATE("Input!",RSE_Setup!$B$18,ROW()+1)))</f>
        <v>3.2258000000000002E-2</v>
      </c>
      <c r="D13" s="1" cm="1">
        <f t="array" aca="1" ref="D13" ca="1">IF(ISBLANK(INDIRECT(CONCATENATE("Input!",RSE_Setup!$B$19,ROW()+1))),"",INDIRECT(CONCATENATE("Input!",RSE_Setup!$B$19,ROW()+1)))</f>
        <v>3250</v>
      </c>
      <c r="E13" s="1" cm="1">
        <f t="array" aca="1" ref="E13" ca="1">IF(ISBLANK(INDIRECT(CONCATENATE("Input!",RSE_Setup!$B$30,ROW()+1))),"",INDIRECT(CONCATENATE("Input!",RSE_Setup!$B$30,ROW()+1)))</f>
        <v>3</v>
      </c>
      <c r="F13" s="1">
        <f ca="1"/>
        <v>2.9129845117321191</v>
      </c>
    </row>
    <row r="14" spans="1:7" x14ac:dyDescent="0.3">
      <c r="A14" s="1" cm="1">
        <f t="array" aca="1" ref="A14" ca="1">IF(ISBLANK(INDIRECT(CONCATENATE("Input!",RSE_Setup!$B$16,ROW()+1))),"",INDIRECT(CONCATENATE("Input!",RSE_Setup!$B$16,ROW()+1)))</f>
        <v>1E-3</v>
      </c>
      <c r="B14" s="1" cm="1">
        <f t="array" aca="1" ref="B14" ca="1">IF(ISBLANK(INDIRECT(CONCATENATE("Input!",RSE_Setup!$B$17,ROW()+1))),"",INDIRECT(CONCATENATE("Input!",RSE_Setup!$B$17,ROW()+1)))</f>
        <v>5.0000000000000001E-3</v>
      </c>
      <c r="C14" s="1" cm="1">
        <f t="array" aca="1" ref="C14" ca="1">IF(ISBLANK(INDIRECT(CONCATENATE("Input!",RSE_Setup!$B$18,ROW()+1))),"",INDIRECT(CONCATENATE("Input!",RSE_Setup!$B$18,ROW()+1)))</f>
        <v>3.2258000000000002E-2</v>
      </c>
      <c r="D14" s="1" cm="1">
        <f t="array" aca="1" ref="D14" ca="1">IF(ISBLANK(INDIRECT(CONCATENATE("Input!",RSE_Setup!$B$19,ROW()+1))),"",INDIRECT(CONCATENATE("Input!",RSE_Setup!$B$19,ROW()+1)))</f>
        <v>4250</v>
      </c>
      <c r="E14" s="1" cm="1">
        <f t="array" aca="1" ref="E14" ca="1">IF(ISBLANK(INDIRECT(CONCATENATE("Input!",RSE_Setup!$B$30,ROW()+1))),"",INDIRECT(CONCATENATE("Input!",RSE_Setup!$B$30,ROW()+1)))</f>
        <v>3</v>
      </c>
      <c r="F14" s="1">
        <f ca="1"/>
        <v>3.682472882513804</v>
      </c>
    </row>
    <row r="15" spans="1:7" x14ac:dyDescent="0.3">
      <c r="A15" s="1" cm="1">
        <f t="array" aca="1" ref="A15" ca="1">IF(ISBLANK(INDIRECT(CONCATENATE("Input!",RSE_Setup!$B$16,ROW()+1))),"",INDIRECT(CONCATENATE("Input!",RSE_Setup!$B$16,ROW()+1)))</f>
        <v>1E-3</v>
      </c>
      <c r="B15" s="1" cm="1">
        <f t="array" aca="1" ref="B15" ca="1">IF(ISBLANK(INDIRECT(CONCATENATE("Input!",RSE_Setup!$B$17,ROW()+1))),"",INDIRECT(CONCATENATE("Input!",RSE_Setup!$B$17,ROW()+1)))</f>
        <v>6.4999999999999997E-3</v>
      </c>
      <c r="C15" s="1" cm="1">
        <f t="array" aca="1" ref="C15" ca="1">IF(ISBLANK(INDIRECT(CONCATENATE("Input!",RSE_Setup!$B$18,ROW()+1))),"",INDIRECT(CONCATENATE("Input!",RSE_Setup!$B$18,ROW()+1)))</f>
        <v>3.2258000000000002E-2</v>
      </c>
      <c r="D15" s="1" cm="1">
        <f t="array" aca="1" ref="D15" ca="1">IF(ISBLANK(INDIRECT(CONCATENATE("Input!",RSE_Setup!$B$19,ROW()+1))),"",INDIRECT(CONCATENATE("Input!",RSE_Setup!$B$19,ROW()+1)))</f>
        <v>3250</v>
      </c>
      <c r="E15" s="1" cm="1">
        <f t="array" aca="1" ref="E15" ca="1">IF(ISBLANK(INDIRECT(CONCATENATE("Input!",RSE_Setup!$B$30,ROW()+1))),"",INDIRECT(CONCATENATE("Input!",RSE_Setup!$B$30,ROW()+1)))</f>
        <v>3</v>
      </c>
      <c r="F15" s="1">
        <f ca="1"/>
        <v>2.8689068533106208</v>
      </c>
    </row>
    <row r="16" spans="1:7" x14ac:dyDescent="0.3">
      <c r="A16" s="1" cm="1">
        <f t="array" aca="1" ref="A16" ca="1">IF(ISBLANK(INDIRECT(CONCATENATE("Input!",RSE_Setup!$B$16,ROW()+1))),"",INDIRECT(CONCATENATE("Input!",RSE_Setup!$B$16,ROW()+1)))</f>
        <v>1E-3</v>
      </c>
      <c r="B16" s="1" cm="1">
        <f t="array" aca="1" ref="B16" ca="1">IF(ISBLANK(INDIRECT(CONCATENATE("Input!",RSE_Setup!$B$17,ROW()+1))),"",INDIRECT(CONCATENATE("Input!",RSE_Setup!$B$17,ROW()+1)))</f>
        <v>6.4999999999999997E-3</v>
      </c>
      <c r="C16" s="1" cm="1">
        <f t="array" aca="1" ref="C16" ca="1">IF(ISBLANK(INDIRECT(CONCATENATE("Input!",RSE_Setup!$B$18,ROW()+1))),"",INDIRECT(CONCATENATE("Input!",RSE_Setup!$B$18,ROW()+1)))</f>
        <v>3.2258000000000002E-2</v>
      </c>
      <c r="D16" s="1" cm="1">
        <f t="array" aca="1" ref="D16" ca="1">IF(ISBLANK(INDIRECT(CONCATENATE("Input!",RSE_Setup!$B$19,ROW()+1))),"",INDIRECT(CONCATENATE("Input!",RSE_Setup!$B$19,ROW()+1)))</f>
        <v>4250</v>
      </c>
      <c r="E16" s="1" cm="1">
        <f t="array" aca="1" ref="E16" ca="1">IF(ISBLANK(INDIRECT(CONCATENATE("Input!",RSE_Setup!$B$30,ROW()+1))),"",INDIRECT(CONCATENATE("Input!",RSE_Setup!$B$30,ROW()+1)))</f>
        <v>3</v>
      </c>
      <c r="F16" s="1">
        <f ca="1"/>
        <v>3.6498726538937758</v>
      </c>
    </row>
    <row r="17" spans="1:6" x14ac:dyDescent="0.3">
      <c r="A17" s="1" cm="1">
        <f t="array" aca="1" ref="A17" ca="1">IF(ISBLANK(INDIRECT(CONCATENATE("Input!",RSE_Setup!$B$16,ROW()+1))),"",INDIRECT(CONCATENATE("Input!",RSE_Setup!$B$16,ROW()+1)))</f>
        <v>1E-3</v>
      </c>
      <c r="B17" s="1" cm="1">
        <f t="array" aca="1" ref="B17" ca="1">IF(ISBLANK(INDIRECT(CONCATENATE("Input!",RSE_Setup!$B$17,ROW()+1))),"",INDIRECT(CONCATENATE("Input!",RSE_Setup!$B$17,ROW()+1)))</f>
        <v>8.0000000000000002E-3</v>
      </c>
      <c r="C17" s="1" cm="1">
        <f t="array" aca="1" ref="C17" ca="1">IF(ISBLANK(INDIRECT(CONCATENATE("Input!",RSE_Setup!$B$18,ROW()+1))),"",INDIRECT(CONCATENATE("Input!",RSE_Setup!$B$18,ROW()+1)))</f>
        <v>3.2258000000000002E-2</v>
      </c>
      <c r="D17" s="1" cm="1">
        <f t="array" aca="1" ref="D17" ca="1">IF(ISBLANK(INDIRECT(CONCATENATE("Input!",RSE_Setup!$B$19,ROW()+1))),"",INDIRECT(CONCATENATE("Input!",RSE_Setup!$B$19,ROW()+1)))</f>
        <v>4250</v>
      </c>
      <c r="E17" s="1" cm="1">
        <f t="array" aca="1" ref="E17" ca="1">IF(ISBLANK(INDIRECT(CONCATENATE("Input!",RSE_Setup!$B$30,ROW()+1))),"",INDIRECT(CONCATENATE("Input!",RSE_Setup!$B$30,ROW()+1)))</f>
        <v>3</v>
      </c>
      <c r="F17" s="1">
        <f ca="1"/>
        <v>3.6072381400539184</v>
      </c>
    </row>
    <row r="18" spans="1:6" x14ac:dyDescent="0.3">
      <c r="A18" s="1" cm="1">
        <f t="array" aca="1" ref="A18" ca="1">IF(ISBLANK(INDIRECT(CONCATENATE("Input!",RSE_Setup!$B$16,ROW()+1))),"",INDIRECT(CONCATENATE("Input!",RSE_Setup!$B$16,ROW()+1)))</f>
        <v>2.9999999999999997E-4</v>
      </c>
      <c r="B18" s="1" cm="1">
        <f t="array" aca="1" ref="B18" ca="1">IF(ISBLANK(INDIRECT(CONCATENATE("Input!",RSE_Setup!$B$17,ROW()+1))),"",INDIRECT(CONCATENATE("Input!",RSE_Setup!$B$17,ROW()+1)))</f>
        <v>2E-3</v>
      </c>
      <c r="C18" s="1" cm="1">
        <f t="array" aca="1" ref="C18" ca="1">IF(ISBLANK(INDIRECT(CONCATENATE("Input!",RSE_Setup!$B$18,ROW()+1))),"",INDIRECT(CONCATENATE("Input!",RSE_Setup!$B$18,ROW()+1)))</f>
        <v>3.2258000000000002E-2</v>
      </c>
      <c r="D18" s="1" cm="1">
        <f t="array" aca="1" ref="D18" ca="1">IF(ISBLANK(INDIRECT(CONCATENATE("Input!",RSE_Setup!$B$19,ROW()+1))),"",INDIRECT(CONCATENATE("Input!",RSE_Setup!$B$19,ROW()+1)))</f>
        <v>5250</v>
      </c>
      <c r="E18" s="1" cm="1">
        <f t="array" aca="1" ref="E18" ca="1">IF(ISBLANK(INDIRECT(CONCATENATE("Input!",RSE_Setup!$B$30,ROW()+1))),"",INDIRECT(CONCATENATE("Input!",RSE_Setup!$B$30,ROW()+1)))</f>
        <v>4</v>
      </c>
      <c r="F18" s="1">
        <f ca="1"/>
        <v>4.4659807859668055</v>
      </c>
    </row>
    <row r="19" spans="1:6" x14ac:dyDescent="0.3">
      <c r="A19" s="1" cm="1">
        <f t="array" aca="1" ref="A19" ca="1">IF(ISBLANK(INDIRECT(CONCATENATE("Input!",RSE_Setup!$B$16,ROW()+1))),"",INDIRECT(CONCATENATE("Input!",RSE_Setup!$B$16,ROW()+1)))</f>
        <v>2.9999999999999997E-4</v>
      </c>
      <c r="B19" s="1" cm="1">
        <f t="array" aca="1" ref="B19" ca="1">IF(ISBLANK(INDIRECT(CONCATENATE("Input!",RSE_Setup!$B$17,ROW()+1))),"",INDIRECT(CONCATENATE("Input!",RSE_Setup!$B$17,ROW()+1)))</f>
        <v>2E-3</v>
      </c>
      <c r="C19" s="1" cm="1">
        <f t="array" aca="1" ref="C19" ca="1">IF(ISBLANK(INDIRECT(CONCATENATE("Input!",RSE_Setup!$B$18,ROW()+1))),"",INDIRECT(CONCATENATE("Input!",RSE_Setup!$B$18,ROW()+1)))</f>
        <v>3.2258000000000002E-2</v>
      </c>
      <c r="D19" s="1" cm="1">
        <f t="array" aca="1" ref="D19" ca="1">IF(ISBLANK(INDIRECT(CONCATENATE("Input!",RSE_Setup!$B$19,ROW()+1))),"",INDIRECT(CONCATENATE("Input!",RSE_Setup!$B$19,ROW()+1)))</f>
        <v>6500</v>
      </c>
      <c r="E19" s="1" cm="1">
        <f t="array" aca="1" ref="E19" ca="1">IF(ISBLANK(INDIRECT(CONCATENATE("Input!",RSE_Setup!$B$30,ROW()+1))),"",INDIRECT(CONCATENATE("Input!",RSE_Setup!$B$30,ROW()+1)))</f>
        <v>4</v>
      </c>
      <c r="F19" s="1">
        <f ca="1"/>
        <v>5.3228547770292227</v>
      </c>
    </row>
    <row r="20" spans="1:6" x14ac:dyDescent="0.3">
      <c r="A20" s="1" cm="1">
        <f t="array" aca="1" ref="A20" ca="1">IF(ISBLANK(INDIRECT(CONCATENATE("Input!",RSE_Setup!$B$16,ROW()+1))),"",INDIRECT(CONCATENATE("Input!",RSE_Setup!$B$16,ROW()+1)))</f>
        <v>2.9999999999999997E-4</v>
      </c>
      <c r="B20" s="1" cm="1">
        <f t="array" aca="1" ref="B20" ca="1">IF(ISBLANK(INDIRECT(CONCATENATE("Input!",RSE_Setup!$B$17,ROW()+1))),"",INDIRECT(CONCATENATE("Input!",RSE_Setup!$B$17,ROW()+1)))</f>
        <v>3.0000000000000001E-3</v>
      </c>
      <c r="C20" s="1" cm="1">
        <f t="array" aca="1" ref="C20" ca="1">IF(ISBLANK(INDIRECT(CONCATENATE("Input!",RSE_Setup!$B$18,ROW()+1))),"",INDIRECT(CONCATENATE("Input!",RSE_Setup!$B$18,ROW()+1)))</f>
        <v>3.2258000000000002E-2</v>
      </c>
      <c r="D20" s="1" cm="1">
        <f t="array" aca="1" ref="D20" ca="1">IF(ISBLANK(INDIRECT(CONCATENATE("Input!",RSE_Setup!$B$19,ROW()+1))),"",INDIRECT(CONCATENATE("Input!",RSE_Setup!$B$19,ROW()+1)))</f>
        <v>5250</v>
      </c>
      <c r="E20" s="1" cm="1">
        <f t="array" aca="1" ref="E20" ca="1">IF(ISBLANK(INDIRECT(CONCATENATE("Input!",RSE_Setup!$B$30,ROW()+1))),"",INDIRECT(CONCATENATE("Input!",RSE_Setup!$B$30,ROW()+1)))</f>
        <v>4</v>
      </c>
      <c r="F20" s="1">
        <f ca="1"/>
        <v>4.4416778542247526</v>
      </c>
    </row>
    <row r="21" spans="1:6" x14ac:dyDescent="0.3">
      <c r="A21" s="1" cm="1">
        <f t="array" aca="1" ref="A21" ca="1">IF(ISBLANK(INDIRECT(CONCATENATE("Input!",RSE_Setup!$B$16,ROW()+1))),"",INDIRECT(CONCATENATE("Input!",RSE_Setup!$B$16,ROW()+1)))</f>
        <v>2.9999999999999997E-4</v>
      </c>
      <c r="B21" s="1" cm="1">
        <f t="array" aca="1" ref="B21" ca="1">IF(ISBLANK(INDIRECT(CONCATENATE("Input!",RSE_Setup!$B$17,ROW()+1))),"",INDIRECT(CONCATENATE("Input!",RSE_Setup!$B$17,ROW()+1)))</f>
        <v>3.0000000000000001E-3</v>
      </c>
      <c r="C21" s="1" cm="1">
        <f t="array" aca="1" ref="C21" ca="1">IF(ISBLANK(INDIRECT(CONCATENATE("Input!",RSE_Setup!$B$18,ROW()+1))),"",INDIRECT(CONCATENATE("Input!",RSE_Setup!$B$18,ROW()+1)))</f>
        <v>3.2258000000000002E-2</v>
      </c>
      <c r="D21" s="1" cm="1">
        <f t="array" aca="1" ref="D21" ca="1">IF(ISBLANK(INDIRECT(CONCATENATE("Input!",RSE_Setup!$B$19,ROW()+1))),"",INDIRECT(CONCATENATE("Input!",RSE_Setup!$B$19,ROW()+1)))</f>
        <v>6500</v>
      </c>
      <c r="E21" s="1" cm="1">
        <f t="array" aca="1" ref="E21" ca="1">IF(ISBLANK(INDIRECT(CONCATENATE("Input!",RSE_Setup!$B$30,ROW()+1))),"",INDIRECT(CONCATENATE("Input!",RSE_Setup!$B$30,ROW()+1)))</f>
        <v>4</v>
      </c>
      <c r="F21" s="1">
        <f ca="1"/>
        <v>5.3081163701217289</v>
      </c>
    </row>
    <row r="22" spans="1:6" x14ac:dyDescent="0.3">
      <c r="A22" s="1" cm="1">
        <f t="array" aca="1" ref="A22" ca="1">IF(ISBLANK(INDIRECT(CONCATENATE("Input!",RSE_Setup!$B$16,ROW()+1))),"",INDIRECT(CONCATENATE("Input!",RSE_Setup!$B$16,ROW()+1)))</f>
        <v>2.9999999999999997E-4</v>
      </c>
      <c r="B22" s="1" cm="1">
        <f t="array" aca="1" ref="B22" ca="1">IF(ISBLANK(INDIRECT(CONCATENATE("Input!",RSE_Setup!$B$17,ROW()+1))),"",INDIRECT(CONCATENATE("Input!",RSE_Setup!$B$17,ROW()+1)))</f>
        <v>4.0000000000000001E-3</v>
      </c>
      <c r="C22" s="1" cm="1">
        <f t="array" aca="1" ref="C22" ca="1">IF(ISBLANK(INDIRECT(CONCATENATE("Input!",RSE_Setup!$B$18,ROW()+1))),"",INDIRECT(CONCATENATE("Input!",RSE_Setup!$B$18,ROW()+1)))</f>
        <v>3.2258000000000002E-2</v>
      </c>
      <c r="D22" s="1" cm="1">
        <f t="array" aca="1" ref="D22" ca="1">IF(ISBLANK(INDIRECT(CONCATENATE("Input!",RSE_Setup!$B$19,ROW()+1))),"",INDIRECT(CONCATENATE("Input!",RSE_Setup!$B$19,ROW()+1)))</f>
        <v>5250</v>
      </c>
      <c r="E22" s="1" cm="1">
        <f t="array" aca="1" ref="E22" ca="1">IF(ISBLANK(INDIRECT(CONCATENATE("Input!",RSE_Setup!$B$30,ROW()+1))),"",INDIRECT(CONCATENATE("Input!",RSE_Setup!$B$30,ROW()+1)))</f>
        <v>4</v>
      </c>
      <c r="F22" s="1">
        <f ca="1"/>
        <v>4.4129152401627758</v>
      </c>
    </row>
    <row r="23" spans="1:6" x14ac:dyDescent="0.3">
      <c r="A23" s="1" cm="1">
        <f t="array" aca="1" ref="A23" ca="1">IF(ISBLANK(INDIRECT(CONCATENATE("Input!",RSE_Setup!$B$16,ROW()+1))),"",INDIRECT(CONCATENATE("Input!",RSE_Setup!$B$16,ROW()+1)))</f>
        <v>2.9999999999999997E-4</v>
      </c>
      <c r="B23" s="1" cm="1">
        <f t="array" aca="1" ref="B23" ca="1">IF(ISBLANK(INDIRECT(CONCATENATE("Input!",RSE_Setup!$B$17,ROW()+1))),"",INDIRECT(CONCATENATE("Input!",RSE_Setup!$B$17,ROW()+1)))</f>
        <v>4.0000000000000001E-3</v>
      </c>
      <c r="C23" s="1" cm="1">
        <f t="array" aca="1" ref="C23" ca="1">IF(ISBLANK(INDIRECT(CONCATENATE("Input!",RSE_Setup!$B$18,ROW()+1))),"",INDIRECT(CONCATENATE("Input!",RSE_Setup!$B$18,ROW()+1)))</f>
        <v>3.2258000000000002E-2</v>
      </c>
      <c r="D23" s="1" cm="1">
        <f t="array" aca="1" ref="D23" ca="1">IF(ISBLANK(INDIRECT(CONCATENATE("Input!",RSE_Setup!$B$19,ROW()+1))),"",INDIRECT(CONCATENATE("Input!",RSE_Setup!$B$19,ROW()+1)))</f>
        <v>6500</v>
      </c>
      <c r="E23" s="1" cm="1">
        <f t="array" aca="1" ref="E23" ca="1">IF(ISBLANK(INDIRECT(CONCATENATE("Input!",RSE_Setup!$B$30,ROW()+1))),"",INDIRECT(CONCATENATE("Input!",RSE_Setup!$B$30,ROW()+1)))</f>
        <v>4</v>
      </c>
      <c r="F23" s="1">
        <f ca="1"/>
        <v>5.2889182808943094</v>
      </c>
    </row>
    <row r="24" spans="1:6" x14ac:dyDescent="0.3">
      <c r="A24" s="1" cm="1">
        <f t="array" aca="1" ref="A24" ca="1">IF(ISBLANK(INDIRECT(CONCATENATE("Input!",RSE_Setup!$B$16,ROW()+1))),"",INDIRECT(CONCATENATE("Input!",RSE_Setup!$B$16,ROW()+1)))</f>
        <v>5.0000000000000001E-4</v>
      </c>
      <c r="B24" s="1" cm="1">
        <f t="array" aca="1" ref="B24" ca="1">IF(ISBLANK(INDIRECT(CONCATENATE("Input!",RSE_Setup!$B$17,ROW()+1))),"",INDIRECT(CONCATENATE("Input!",RSE_Setup!$B$17,ROW()+1)))</f>
        <v>3.0000000000000001E-3</v>
      </c>
      <c r="C24" s="1" cm="1">
        <f t="array" aca="1" ref="C24" ca="1">IF(ISBLANK(INDIRECT(CONCATENATE("Input!",RSE_Setup!$B$18,ROW()+1))),"",INDIRECT(CONCATENATE("Input!",RSE_Setup!$B$18,ROW()+1)))</f>
        <v>5.5556000000000001E-2</v>
      </c>
      <c r="D24" s="1" cm="1">
        <f t="array" aca="1" ref="D24" ca="1">IF(ISBLANK(INDIRECT(CONCATENATE("Input!",RSE_Setup!$B$19,ROW()+1))),"",INDIRECT(CONCATENATE("Input!",RSE_Setup!$B$19,ROW()+1)))</f>
        <v>3750</v>
      </c>
      <c r="E24" s="1" cm="1">
        <f t="array" aca="1" ref="E24" ca="1">IF(ISBLANK(INDIRECT(CONCATENATE("Input!",RSE_Setup!$B$30,ROW()+1))),"",INDIRECT(CONCATENATE("Input!",RSE_Setup!$B$30,ROW()+1)))</f>
        <v>4</v>
      </c>
      <c r="F24" s="1">
        <f ca="1"/>
        <v>5.4602494485087574</v>
      </c>
    </row>
    <row r="25" spans="1:6" x14ac:dyDescent="0.3">
      <c r="A25" s="1" cm="1">
        <f t="array" aca="1" ref="A25" ca="1">IF(ISBLANK(INDIRECT(CONCATENATE("Input!",RSE_Setup!$B$16,ROW()+1))),"",INDIRECT(CONCATENATE("Input!",RSE_Setup!$B$16,ROW()+1)))</f>
        <v>5.0000000000000001E-4</v>
      </c>
      <c r="B25" s="1" cm="1">
        <f t="array" aca="1" ref="B25" ca="1">IF(ISBLANK(INDIRECT(CONCATENATE("Input!",RSE_Setup!$B$17,ROW()+1))),"",INDIRECT(CONCATENATE("Input!",RSE_Setup!$B$17,ROW()+1)))</f>
        <v>3.0000000000000001E-3</v>
      </c>
      <c r="C25" s="1" cm="1">
        <f t="array" aca="1" ref="C25" ca="1">IF(ISBLANK(INDIRECT(CONCATENATE("Input!",RSE_Setup!$B$18,ROW()+1))),"",INDIRECT(CONCATENATE("Input!",RSE_Setup!$B$18,ROW()+1)))</f>
        <v>3.2258000000000002E-2</v>
      </c>
      <c r="D25" s="1" cm="1">
        <f t="array" aca="1" ref="D25" ca="1">IF(ISBLANK(INDIRECT(CONCATENATE("Input!",RSE_Setup!$B$19,ROW()+1))),"",INDIRECT(CONCATENATE("Input!",RSE_Setup!$B$19,ROW()+1)))</f>
        <v>3750</v>
      </c>
      <c r="E25" s="1" cm="1">
        <f t="array" aca="1" ref="E25" ca="1">IF(ISBLANK(INDIRECT(CONCATENATE("Input!",RSE_Setup!$B$30,ROW()+1))),"",INDIRECT(CONCATENATE("Input!",RSE_Setup!$B$30,ROW()+1)))</f>
        <v>4</v>
      </c>
      <c r="F25" s="1">
        <f ca="1"/>
        <v>3.2369770821344028</v>
      </c>
    </row>
    <row r="26" spans="1:6" x14ac:dyDescent="0.3">
      <c r="A26" s="1" cm="1">
        <f t="array" aca="1" ref="A26" ca="1">IF(ISBLANK(INDIRECT(CONCATENATE("Input!",RSE_Setup!$B$16,ROW()+1))),"",INDIRECT(CONCATENATE("Input!",RSE_Setup!$B$16,ROW()+1)))</f>
        <v>5.0000000000000001E-4</v>
      </c>
      <c r="B26" s="1" cm="1">
        <f t="array" aca="1" ref="B26" ca="1">IF(ISBLANK(INDIRECT(CONCATENATE("Input!",RSE_Setup!$B$17,ROW()+1))),"",INDIRECT(CONCATENATE("Input!",RSE_Setup!$B$17,ROW()+1)))</f>
        <v>3.0000000000000001E-3</v>
      </c>
      <c r="C26" s="1" cm="1">
        <f t="array" aca="1" ref="C26" ca="1">IF(ISBLANK(INDIRECT(CONCATENATE("Input!",RSE_Setup!$B$18,ROW()+1))),"",INDIRECT(CONCATENATE("Input!",RSE_Setup!$B$18,ROW()+1)))</f>
        <v>3.2258000000000002E-2</v>
      </c>
      <c r="D26" s="1" cm="1">
        <f t="array" aca="1" ref="D26" ca="1">IF(ISBLANK(INDIRECT(CONCATENATE("Input!",RSE_Setup!$B$19,ROW()+1))),"",INDIRECT(CONCATENATE("Input!",RSE_Setup!$B$19,ROW()+1)))</f>
        <v>5250</v>
      </c>
      <c r="E26" s="1" cm="1">
        <f t="array" aca="1" ref="E26" ca="1">IF(ISBLANK(INDIRECT(CONCATENATE("Input!",RSE_Setup!$B$30,ROW()+1))),"",INDIRECT(CONCATENATE("Input!",RSE_Setup!$B$30,ROW()+1)))</f>
        <v>4</v>
      </c>
      <c r="F26" s="1">
        <f ca="1"/>
        <v>4.4211295189847979</v>
      </c>
    </row>
    <row r="27" spans="1:6" x14ac:dyDescent="0.3">
      <c r="A27" s="1" cm="1">
        <f t="array" aca="1" ref="A27" ca="1">IF(ISBLANK(INDIRECT(CONCATENATE("Input!",RSE_Setup!$B$16,ROW()+1))),"",INDIRECT(CONCATENATE("Input!",RSE_Setup!$B$16,ROW()+1)))</f>
        <v>5.0000000000000001E-4</v>
      </c>
      <c r="B27" s="1" cm="1">
        <f t="array" aca="1" ref="B27" ca="1">IF(ISBLANK(INDIRECT(CONCATENATE("Input!",RSE_Setup!$B$17,ROW()+1))),"",INDIRECT(CONCATENATE("Input!",RSE_Setup!$B$17,ROW()+1)))</f>
        <v>3.0000000000000001E-3</v>
      </c>
      <c r="C27" s="1" cm="1">
        <f t="array" aca="1" ref="C27" ca="1">IF(ISBLANK(INDIRECT(CONCATENATE("Input!",RSE_Setup!$B$18,ROW()+1))),"",INDIRECT(CONCATENATE("Input!",RSE_Setup!$B$18,ROW()+1)))</f>
        <v>3.2258000000000002E-2</v>
      </c>
      <c r="D27" s="1" cm="1">
        <f t="array" aca="1" ref="D27" ca="1">IF(ISBLANK(INDIRECT(CONCATENATE("Input!",RSE_Setup!$B$19,ROW()+1))),"",INDIRECT(CONCATENATE("Input!",RSE_Setup!$B$19,ROW()+1)))</f>
        <v>6500</v>
      </c>
      <c r="E27" s="1" cm="1">
        <f t="array" aca="1" ref="E27" ca="1">IF(ISBLANK(INDIRECT(CONCATENATE("Input!",RSE_Setup!$B$30,ROW()+1))),"",INDIRECT(CONCATENATE("Input!",RSE_Setup!$B$30,ROW()+1)))</f>
        <v>4</v>
      </c>
      <c r="F27" s="1">
        <f ca="1"/>
        <v>5.2314370484580124</v>
      </c>
    </row>
    <row r="28" spans="1:6" x14ac:dyDescent="0.3">
      <c r="A28" s="1" cm="1">
        <f t="array" aca="1" ref="A28" ca="1">IF(ISBLANK(INDIRECT(CONCATENATE("Input!",RSE_Setup!$B$16,ROW()+1))),"",INDIRECT(CONCATENATE("Input!",RSE_Setup!$B$16,ROW()+1)))</f>
        <v>5.0000000000000001E-4</v>
      </c>
      <c r="B28" s="1" cm="1">
        <f t="array" aca="1" ref="B28" ca="1">IF(ISBLANK(INDIRECT(CONCATENATE("Input!",RSE_Setup!$B$17,ROW()+1))),"",INDIRECT(CONCATENATE("Input!",RSE_Setup!$B$17,ROW()+1)))</f>
        <v>4.7499999999999999E-3</v>
      </c>
      <c r="C28" s="1" cm="1">
        <f t="array" aca="1" ref="C28" ca="1">IF(ISBLANK(INDIRECT(CONCATENATE("Input!",RSE_Setup!$B$18,ROW()+1))),"",INDIRECT(CONCATENATE("Input!",RSE_Setup!$B$18,ROW()+1)))</f>
        <v>5.5556000000000001E-2</v>
      </c>
      <c r="D28" s="1" cm="1">
        <f t="array" aca="1" ref="D28" ca="1">IF(ISBLANK(INDIRECT(CONCATENATE("Input!",RSE_Setup!$B$19,ROW()+1))),"",INDIRECT(CONCATENATE("Input!",RSE_Setup!$B$19,ROW()+1)))</f>
        <v>3000</v>
      </c>
      <c r="E28" s="1" cm="1">
        <f t="array" aca="1" ref="E28" ca="1">IF(ISBLANK(INDIRECT(CONCATENATE("Input!",RSE_Setup!$B$30,ROW()+1))),"",INDIRECT(CONCATENATE("Input!",RSE_Setup!$B$30,ROW()+1)))</f>
        <v>4</v>
      </c>
      <c r="F28" s="1">
        <f ca="1"/>
        <v>4.8004907732309317</v>
      </c>
    </row>
    <row r="29" spans="1:6" x14ac:dyDescent="0.3">
      <c r="A29" s="1" cm="1">
        <f t="array" aca="1" ref="A29" ca="1">IF(ISBLANK(INDIRECT(CONCATENATE("Input!",RSE_Setup!$B$16,ROW()+1))),"",INDIRECT(CONCATENATE("Input!",RSE_Setup!$B$16,ROW()+1)))</f>
        <v>5.0000000000000001E-4</v>
      </c>
      <c r="B29" s="1" cm="1">
        <f t="array" aca="1" ref="B29" ca="1">IF(ISBLANK(INDIRECT(CONCATENATE("Input!",RSE_Setup!$B$17,ROW()+1))),"",INDIRECT(CONCATENATE("Input!",RSE_Setup!$B$17,ROW()+1)))</f>
        <v>4.7499999999999999E-3</v>
      </c>
      <c r="C29" s="1" cm="1">
        <f t="array" aca="1" ref="C29" ca="1">IF(ISBLANK(INDIRECT(CONCATENATE("Input!",RSE_Setup!$B$18,ROW()+1))),"",INDIRECT(CONCATENATE("Input!",RSE_Setup!$B$18,ROW()+1)))</f>
        <v>5.5556000000000001E-2</v>
      </c>
      <c r="D29" s="1" cm="1">
        <f t="array" aca="1" ref="D29" ca="1">IF(ISBLANK(INDIRECT(CONCATENATE("Input!",RSE_Setup!$B$19,ROW()+1))),"",INDIRECT(CONCATENATE("Input!",RSE_Setup!$B$19,ROW()+1)))</f>
        <v>3750</v>
      </c>
      <c r="E29" s="1" cm="1">
        <f t="array" aca="1" ref="E29" ca="1">IF(ISBLANK(INDIRECT(CONCATENATE("Input!",RSE_Setup!$B$30,ROW()+1))),"",INDIRECT(CONCATENATE("Input!",RSE_Setup!$B$30,ROW()+1)))</f>
        <v>4</v>
      </c>
      <c r="F29" s="1">
        <f ca="1"/>
        <v>5.4048809331647218</v>
      </c>
    </row>
    <row r="30" spans="1:6" x14ac:dyDescent="0.3">
      <c r="A30" s="1" cm="1">
        <f t="array" aca="1" ref="A30" ca="1">IF(ISBLANK(INDIRECT(CONCATENATE("Input!",RSE_Setup!$B$16,ROW()+1))),"",INDIRECT(CONCATENATE("Input!",RSE_Setup!$B$16,ROW()+1)))</f>
        <v>5.0000000000000001E-4</v>
      </c>
      <c r="B30" s="1" cm="1">
        <f t="array" aca="1" ref="B30" ca="1">IF(ISBLANK(INDIRECT(CONCATENATE("Input!",RSE_Setup!$B$17,ROW()+1))),"",INDIRECT(CONCATENATE("Input!",RSE_Setup!$B$17,ROW()+1)))</f>
        <v>4.7499999999999999E-3</v>
      </c>
      <c r="C30" s="1" cm="1">
        <f t="array" aca="1" ref="C30" ca="1">IF(ISBLANK(INDIRECT(CONCATENATE("Input!",RSE_Setup!$B$18,ROW()+1))),"",INDIRECT(CONCATENATE("Input!",RSE_Setup!$B$18,ROW()+1)))</f>
        <v>3.2258000000000002E-2</v>
      </c>
      <c r="D30" s="1" cm="1">
        <f t="array" aca="1" ref="D30" ca="1">IF(ISBLANK(INDIRECT(CONCATENATE("Input!",RSE_Setup!$B$19,ROW()+1))),"",INDIRECT(CONCATENATE("Input!",RSE_Setup!$B$19,ROW()+1)))</f>
        <v>3750</v>
      </c>
      <c r="E30" s="1" cm="1">
        <f t="array" aca="1" ref="E30" ca="1">IF(ISBLANK(INDIRECT(CONCATENATE("Input!",RSE_Setup!$B$30,ROW()+1))),"",INDIRECT(CONCATENATE("Input!",RSE_Setup!$B$30,ROW()+1)))</f>
        <v>4</v>
      </c>
      <c r="F30" s="1">
        <f ca="1"/>
        <v>3.1759878555523011</v>
      </c>
    </row>
    <row r="31" spans="1:6" x14ac:dyDescent="0.3">
      <c r="A31" s="1" cm="1">
        <f t="array" aca="1" ref="A31" ca="1">IF(ISBLANK(INDIRECT(CONCATENATE("Input!",RSE_Setup!$B$16,ROW()+1))),"",INDIRECT(CONCATENATE("Input!",RSE_Setup!$B$16,ROW()+1)))</f>
        <v>5.0000000000000001E-4</v>
      </c>
      <c r="B31" s="1" cm="1">
        <f t="array" aca="1" ref="B31" ca="1">IF(ISBLANK(INDIRECT(CONCATENATE("Input!",RSE_Setup!$B$17,ROW()+1))),"",INDIRECT(CONCATENATE("Input!",RSE_Setup!$B$17,ROW()+1)))</f>
        <v>4.7499999999999999E-3</v>
      </c>
      <c r="C31" s="1" cm="1">
        <f t="array" aca="1" ref="C31" ca="1">IF(ISBLANK(INDIRECT(CONCATENATE("Input!",RSE_Setup!$B$18,ROW()+1))),"",INDIRECT(CONCATENATE("Input!",RSE_Setup!$B$18,ROW()+1)))</f>
        <v>3.2258000000000002E-2</v>
      </c>
      <c r="D31" s="1" cm="1">
        <f t="array" aca="1" ref="D31" ca="1">IF(ISBLANK(INDIRECT(CONCATENATE("Input!",RSE_Setup!$B$19,ROW()+1))),"",INDIRECT(CONCATENATE("Input!",RSE_Setup!$B$19,ROW()+1)))</f>
        <v>5250</v>
      </c>
      <c r="E31" s="1" cm="1">
        <f t="array" aca="1" ref="E31" ca="1">IF(ISBLANK(INDIRECT(CONCATENATE("Input!",RSE_Setup!$B$30,ROW()+1))),"",INDIRECT(CONCATENATE("Input!",RSE_Setup!$B$30,ROW()+1)))</f>
        <v>4</v>
      </c>
      <c r="F31" s="1">
        <f ca="1"/>
        <v>4.3802257945552698</v>
      </c>
    </row>
    <row r="32" spans="1:6" x14ac:dyDescent="0.3">
      <c r="A32" s="1" cm="1">
        <f t="array" aca="1" ref="A32" ca="1">IF(ISBLANK(INDIRECT(CONCATENATE("Input!",RSE_Setup!$B$16,ROW()+1))),"",INDIRECT(CONCATENATE("Input!",RSE_Setup!$B$16,ROW()+1)))</f>
        <v>5.0000000000000001E-4</v>
      </c>
      <c r="B32" s="1" cm="1">
        <f t="array" aca="1" ref="B32" ca="1">IF(ISBLANK(INDIRECT(CONCATENATE("Input!",RSE_Setup!$B$17,ROW()+1))),"",INDIRECT(CONCATENATE("Input!",RSE_Setup!$B$17,ROW()+1)))</f>
        <v>4.7499999999999999E-3</v>
      </c>
      <c r="C32" s="1" cm="1">
        <f t="array" aca="1" ref="C32" ca="1">IF(ISBLANK(INDIRECT(CONCATENATE("Input!",RSE_Setup!$B$18,ROW()+1))),"",INDIRECT(CONCATENATE("Input!",RSE_Setup!$B$18,ROW()+1)))</f>
        <v>3.2258000000000002E-2</v>
      </c>
      <c r="D32" s="1" cm="1">
        <f t="array" aca="1" ref="D32" ca="1">IF(ISBLANK(INDIRECT(CONCATENATE("Input!",RSE_Setup!$B$19,ROW()+1))),"",INDIRECT(CONCATENATE("Input!",RSE_Setup!$B$19,ROW()+1)))</f>
        <v>6500</v>
      </c>
      <c r="E32" s="1" cm="1">
        <f t="array" aca="1" ref="E32" ca="1">IF(ISBLANK(INDIRECT(CONCATENATE("Input!",RSE_Setup!$B$30,ROW()+1))),"",INDIRECT(CONCATENATE("Input!",RSE_Setup!$B$30,ROW()+1)))</f>
        <v>4</v>
      </c>
      <c r="F32" s="1">
        <f ca="1"/>
        <v>5.2072712424889644</v>
      </c>
    </row>
    <row r="33" spans="1:6" x14ac:dyDescent="0.3">
      <c r="A33" s="1" cm="1">
        <f t="array" aca="1" ref="A33" ca="1">IF(ISBLANK(INDIRECT(CONCATENATE("Input!",RSE_Setup!$B$16,ROW()+1))),"",INDIRECT(CONCATENATE("Input!",RSE_Setup!$B$16,ROW()+1)))</f>
        <v>5.0000000000000001E-4</v>
      </c>
      <c r="B33" s="1" cm="1">
        <f t="array" aca="1" ref="B33" ca="1">IF(ISBLANK(INDIRECT(CONCATENATE("Input!",RSE_Setup!$B$17,ROW()+1))),"",INDIRECT(CONCATENATE("Input!",RSE_Setup!$B$17,ROW()+1)))</f>
        <v>6.4999999999999997E-3</v>
      </c>
      <c r="C33" s="1" cm="1">
        <f t="array" aca="1" ref="C33" ca="1">IF(ISBLANK(INDIRECT(CONCATENATE("Input!",RSE_Setup!$B$18,ROW()+1))),"",INDIRECT(CONCATENATE("Input!",RSE_Setup!$B$18,ROW()+1)))</f>
        <v>5.5556000000000001E-2</v>
      </c>
      <c r="D33" s="1" cm="1">
        <f t="array" aca="1" ref="D33" ca="1">IF(ISBLANK(INDIRECT(CONCATENATE("Input!",RSE_Setup!$B$19,ROW()+1))),"",INDIRECT(CONCATENATE("Input!",RSE_Setup!$B$19,ROW()+1)))</f>
        <v>3000</v>
      </c>
      <c r="E33" s="1" cm="1">
        <f t="array" aca="1" ref="E33" ca="1">IF(ISBLANK(INDIRECT(CONCATENATE("Input!",RSE_Setup!$B$30,ROW()+1))),"",INDIRECT(CONCATENATE("Input!",RSE_Setup!$B$30,ROW()+1)))</f>
        <v>4</v>
      </c>
      <c r="F33" s="1">
        <f ca="1"/>
        <v>4.7214217297058365</v>
      </c>
    </row>
    <row r="34" spans="1:6" x14ac:dyDescent="0.3">
      <c r="A34" s="1" cm="1">
        <f t="array" aca="1" ref="A34" ca="1">IF(ISBLANK(INDIRECT(CONCATENATE("Input!",RSE_Setup!$B$16,ROW()+1))),"",INDIRECT(CONCATENATE("Input!",RSE_Setup!$B$16,ROW()+1)))</f>
        <v>5.0000000000000001E-4</v>
      </c>
      <c r="B34" s="1" cm="1">
        <f t="array" aca="1" ref="B34" ca="1">IF(ISBLANK(INDIRECT(CONCATENATE("Input!",RSE_Setup!$B$17,ROW()+1))),"",INDIRECT(CONCATENATE("Input!",RSE_Setup!$B$17,ROW()+1)))</f>
        <v>6.4999999999999997E-3</v>
      </c>
      <c r="C34" s="1" cm="1">
        <f t="array" aca="1" ref="C34" ca="1">IF(ISBLANK(INDIRECT(CONCATENATE("Input!",RSE_Setup!$B$18,ROW()+1))),"",INDIRECT(CONCATENATE("Input!",RSE_Setup!$B$18,ROW()+1)))</f>
        <v>5.5556000000000001E-2</v>
      </c>
      <c r="D34" s="1" cm="1">
        <f t="array" aca="1" ref="D34" ca="1">IF(ISBLANK(INDIRECT(CONCATENATE("Input!",RSE_Setup!$B$19,ROW()+1))),"",INDIRECT(CONCATENATE("Input!",RSE_Setup!$B$19,ROW()+1)))</f>
        <v>3750</v>
      </c>
      <c r="E34" s="1" cm="1">
        <f t="array" aca="1" ref="E34" ca="1">IF(ISBLANK(INDIRECT(CONCATENATE("Input!",RSE_Setup!$B$30,ROW()+1))),"",INDIRECT(CONCATENATE("Input!",RSE_Setup!$B$30,ROW()+1)))</f>
        <v>4</v>
      </c>
      <c r="F34" s="1">
        <f ca="1"/>
        <v>5.3358546407159109</v>
      </c>
    </row>
    <row r="35" spans="1:6" x14ac:dyDescent="0.3">
      <c r="A35" s="1" cm="1">
        <f t="array" aca="1" ref="A35" ca="1">IF(ISBLANK(INDIRECT(CONCATENATE("Input!",RSE_Setup!$B$16,ROW()+1))),"",INDIRECT(CONCATENATE("Input!",RSE_Setup!$B$16,ROW()+1)))</f>
        <v>5.0000000000000001E-4</v>
      </c>
      <c r="B35" s="1" cm="1">
        <f t="array" aca="1" ref="B35" ca="1">IF(ISBLANK(INDIRECT(CONCATENATE("Input!",RSE_Setup!$B$17,ROW()+1))),"",INDIRECT(CONCATENATE("Input!",RSE_Setup!$B$17,ROW()+1)))</f>
        <v>6.4999999999999997E-3</v>
      </c>
      <c r="C35" s="1" cm="1">
        <f t="array" aca="1" ref="C35" ca="1">IF(ISBLANK(INDIRECT(CONCATENATE("Input!",RSE_Setup!$B$18,ROW()+1))),"",INDIRECT(CONCATENATE("Input!",RSE_Setup!$B$18,ROW()+1)))</f>
        <v>3.2258000000000002E-2</v>
      </c>
      <c r="D35" s="1" cm="1">
        <f t="array" aca="1" ref="D35" ca="1">IF(ISBLANK(INDIRECT(CONCATENATE("Input!",RSE_Setup!$B$19,ROW()+1))),"",INDIRECT(CONCATENATE("Input!",RSE_Setup!$B$19,ROW()+1)))</f>
        <v>3750</v>
      </c>
      <c r="E35" s="1" cm="1">
        <f t="array" aca="1" ref="E35" ca="1">IF(ISBLANK(INDIRECT(CONCATENATE("Input!",RSE_Setup!$B$30,ROW()+1))),"",INDIRECT(CONCATENATE("Input!",RSE_Setup!$B$30,ROW()+1)))</f>
        <v>4</v>
      </c>
      <c r="F35" s="1">
        <f ca="1"/>
        <v>3.1013408518654275</v>
      </c>
    </row>
    <row r="36" spans="1:6" x14ac:dyDescent="0.3">
      <c r="A36" s="1" cm="1">
        <f t="array" aca="1" ref="A36" ca="1">IF(ISBLANK(INDIRECT(CONCATENATE("Input!",RSE_Setup!$B$16,ROW()+1))),"",INDIRECT(CONCATENATE("Input!",RSE_Setup!$B$16,ROW()+1)))</f>
        <v>5.0000000000000001E-4</v>
      </c>
      <c r="B36" s="1" cm="1">
        <f t="array" aca="1" ref="B36" ca="1">IF(ISBLANK(INDIRECT(CONCATENATE("Input!",RSE_Setup!$B$17,ROW()+1))),"",INDIRECT(CONCATENATE("Input!",RSE_Setup!$B$17,ROW()+1)))</f>
        <v>6.4999999999999997E-3</v>
      </c>
      <c r="C36" s="1" cm="1">
        <f t="array" aca="1" ref="C36" ca="1">IF(ISBLANK(INDIRECT(CONCATENATE("Input!",RSE_Setup!$B$18,ROW()+1))),"",INDIRECT(CONCATENATE("Input!",RSE_Setup!$B$18,ROW()+1)))</f>
        <v>3.2258000000000002E-2</v>
      </c>
      <c r="D36" s="1" cm="1">
        <f t="array" aca="1" ref="D36" ca="1">IF(ISBLANK(INDIRECT(CONCATENATE("Input!",RSE_Setup!$B$19,ROW()+1))),"",INDIRECT(CONCATENATE("Input!",RSE_Setup!$B$19,ROW()+1)))</f>
        <v>5250</v>
      </c>
      <c r="E36" s="1" cm="1">
        <f t="array" aca="1" ref="E36" ca="1">IF(ISBLANK(INDIRECT(CONCATENATE("Input!",RSE_Setup!$B$30,ROW()+1))),"",INDIRECT(CONCATENATE("Input!",RSE_Setup!$B$30,ROW()+1)))</f>
        <v>4</v>
      </c>
      <c r="F36" s="1">
        <f ca="1"/>
        <v>4.3256642930209699</v>
      </c>
    </row>
    <row r="37" spans="1:6" x14ac:dyDescent="0.3">
      <c r="A37" s="1" cm="1">
        <f t="array" aca="1" ref="A37" ca="1">IF(ISBLANK(INDIRECT(CONCATENATE("Input!",RSE_Setup!$B$16,ROW()+1))),"",INDIRECT(CONCATENATE("Input!",RSE_Setup!$B$16,ROW()+1)))</f>
        <v>5.0000000000000001E-4</v>
      </c>
      <c r="B37" s="1" cm="1">
        <f t="array" aca="1" ref="B37" ca="1">IF(ISBLANK(INDIRECT(CONCATENATE("Input!",RSE_Setup!$B$17,ROW()+1))),"",INDIRECT(CONCATENATE("Input!",RSE_Setup!$B$17,ROW()+1)))</f>
        <v>6.4999999999999997E-3</v>
      </c>
      <c r="C37" s="1" cm="1">
        <f t="array" aca="1" ref="C37" ca="1">IF(ISBLANK(INDIRECT(CONCATENATE("Input!",RSE_Setup!$B$18,ROW()+1))),"",INDIRECT(CONCATENATE("Input!",RSE_Setup!$B$18,ROW()+1)))</f>
        <v>3.2258000000000002E-2</v>
      </c>
      <c r="D37" s="1" cm="1">
        <f t="array" aca="1" ref="D37" ca="1">IF(ISBLANK(INDIRECT(CONCATENATE("Input!",RSE_Setup!$B$19,ROW()+1))),"",INDIRECT(CONCATENATE("Input!",RSE_Setup!$B$19,ROW()+1)))</f>
        <v>6500</v>
      </c>
      <c r="E37" s="1" cm="1">
        <f t="array" aca="1" ref="E37" ca="1">IF(ISBLANK(INDIRECT(CONCATENATE("Input!",RSE_Setup!$B$30,ROW()+1))),"",INDIRECT(CONCATENATE("Input!",RSE_Setup!$B$30,ROW()+1)))</f>
        <v>4</v>
      </c>
      <c r="F37" s="1">
        <f ca="1"/>
        <v>5.1694476594151446</v>
      </c>
    </row>
    <row r="38" spans="1:6" x14ac:dyDescent="0.3">
      <c r="A38" s="1" cm="1">
        <f t="array" aca="1" ref="A38" ca="1">IF(ISBLANK(INDIRECT(CONCATENATE("Input!",RSE_Setup!$B$16,ROW()+1))),"",INDIRECT(CONCATENATE("Input!",RSE_Setup!$B$16,ROW()+1)))</f>
        <v>7.5000000000000002E-4</v>
      </c>
      <c r="B38" s="1" cm="1">
        <f t="array" aca="1" ref="B38" ca="1">IF(ISBLANK(INDIRECT(CONCATENATE("Input!",RSE_Setup!$B$17,ROW()+1))),"",INDIRECT(CONCATENATE("Input!",RSE_Setup!$B$17,ROW()+1)))</f>
        <v>4.0000000000000001E-3</v>
      </c>
      <c r="C38" s="1" cm="1">
        <f t="array" aca="1" ref="C38" ca="1">IF(ISBLANK(INDIRECT(CONCATENATE("Input!",RSE_Setup!$B$18,ROW()+1))),"",INDIRECT(CONCATENATE("Input!",RSE_Setup!$B$18,ROW()+1)))</f>
        <v>5.5556000000000001E-2</v>
      </c>
      <c r="D38" s="1" cm="1">
        <f t="array" aca="1" ref="D38" ca="1">IF(ISBLANK(INDIRECT(CONCATENATE("Input!",RSE_Setup!$B$19,ROW()+1))),"",INDIRECT(CONCATENATE("Input!",RSE_Setup!$B$19,ROW()+1)))</f>
        <v>3750</v>
      </c>
      <c r="E38" s="1" cm="1">
        <f t="array" aca="1" ref="E38" ca="1">IF(ISBLANK(INDIRECT(CONCATENATE("Input!",RSE_Setup!$B$30,ROW()+1))),"",INDIRECT(CONCATENATE("Input!",RSE_Setup!$B$30,ROW()+1)))</f>
        <v>4</v>
      </c>
      <c r="F38" s="1">
        <f ca="1"/>
        <v>5.4785377857330007</v>
      </c>
    </row>
    <row r="39" spans="1:6" x14ac:dyDescent="0.3">
      <c r="A39" s="1" cm="1">
        <f t="array" aca="1" ref="A39" ca="1">IF(ISBLANK(INDIRECT(CONCATENATE("Input!",RSE_Setup!$B$16,ROW()+1))),"",INDIRECT(CONCATENATE("Input!",RSE_Setup!$B$16,ROW()+1)))</f>
        <v>7.5000000000000002E-4</v>
      </c>
      <c r="B39" s="1" cm="1">
        <f t="array" aca="1" ref="B39" ca="1">IF(ISBLANK(INDIRECT(CONCATENATE("Input!",RSE_Setup!$B$17,ROW()+1))),"",INDIRECT(CONCATENATE("Input!",RSE_Setup!$B$17,ROW()+1)))</f>
        <v>4.0000000000000001E-3</v>
      </c>
      <c r="C39" s="1" cm="1">
        <f t="array" aca="1" ref="C39" ca="1">IF(ISBLANK(INDIRECT(CONCATENATE("Input!",RSE_Setup!$B$18,ROW()+1))),"",INDIRECT(CONCATENATE("Input!",RSE_Setup!$B$18,ROW()+1)))</f>
        <v>3.2258000000000002E-2</v>
      </c>
      <c r="D39" s="1" cm="1">
        <f t="array" aca="1" ref="D39" ca="1">IF(ISBLANK(INDIRECT(CONCATENATE("Input!",RSE_Setup!$B$19,ROW()+1))),"",INDIRECT(CONCATENATE("Input!",RSE_Setup!$B$19,ROW()+1)))</f>
        <v>3750</v>
      </c>
      <c r="E39" s="1" cm="1">
        <f t="array" aca="1" ref="E39" ca="1">IF(ISBLANK(INDIRECT(CONCATENATE("Input!",RSE_Setup!$B$30,ROW()+1))),"",INDIRECT(CONCATENATE("Input!",RSE_Setup!$B$30,ROW()+1)))</f>
        <v>4</v>
      </c>
      <c r="F39" s="1">
        <f ca="1"/>
        <v>3.2685888700625929</v>
      </c>
    </row>
    <row r="40" spans="1:6" x14ac:dyDescent="0.3">
      <c r="A40" s="1" cm="1">
        <f t="array" aca="1" ref="A40" ca="1">IF(ISBLANK(INDIRECT(CONCATENATE("Input!",RSE_Setup!$B$16,ROW()+1))),"",INDIRECT(CONCATENATE("Input!",RSE_Setup!$B$16,ROW()+1)))</f>
        <v>7.5000000000000002E-4</v>
      </c>
      <c r="B40" s="1" cm="1">
        <f t="array" aca="1" ref="B40" ca="1">IF(ISBLANK(INDIRECT(CONCATENATE("Input!",RSE_Setup!$B$17,ROW()+1))),"",INDIRECT(CONCATENATE("Input!",RSE_Setup!$B$17,ROW()+1)))</f>
        <v>4.0000000000000001E-3</v>
      </c>
      <c r="C40" s="1" cm="1">
        <f t="array" aca="1" ref="C40" ca="1">IF(ISBLANK(INDIRECT(CONCATENATE("Input!",RSE_Setup!$B$18,ROW()+1))),"",INDIRECT(CONCATENATE("Input!",RSE_Setup!$B$18,ROW()+1)))</f>
        <v>3.2258000000000002E-2</v>
      </c>
      <c r="D40" s="1" cm="1">
        <f t="array" aca="1" ref="D40" ca="1">IF(ISBLANK(INDIRECT(CONCATENATE("Input!",RSE_Setup!$B$19,ROW()+1))),"",INDIRECT(CONCATENATE("Input!",RSE_Setup!$B$19,ROW()+1)))</f>
        <v>5250</v>
      </c>
      <c r="E40" s="1" cm="1">
        <f t="array" aca="1" ref="E40" ca="1">IF(ISBLANK(INDIRECT(CONCATENATE("Input!",RSE_Setup!$B$30,ROW()+1))),"",INDIRECT(CONCATENATE("Input!",RSE_Setup!$B$30,ROW()+1)))</f>
        <v>4</v>
      </c>
      <c r="F40" s="1">
        <f ca="1"/>
        <v>4.3800222570788181</v>
      </c>
    </row>
    <row r="41" spans="1:6" x14ac:dyDescent="0.3">
      <c r="A41" s="1" cm="1">
        <f t="array" aca="1" ref="A41" ca="1">IF(ISBLANK(INDIRECT(CONCATENATE("Input!",RSE_Setup!$B$16,ROW()+1))),"",INDIRECT(CONCATENATE("Input!",RSE_Setup!$B$16,ROW()+1)))</f>
        <v>7.5000000000000002E-4</v>
      </c>
      <c r="B41" s="1" cm="1">
        <f t="array" aca="1" ref="B41" ca="1">IF(ISBLANK(INDIRECT(CONCATENATE("Input!",RSE_Setup!$B$17,ROW()+1))),"",INDIRECT(CONCATENATE("Input!",RSE_Setup!$B$17,ROW()+1)))</f>
        <v>4.0000000000000001E-3</v>
      </c>
      <c r="C41" s="1" cm="1">
        <f t="array" aca="1" ref="C41" ca="1">IF(ISBLANK(INDIRECT(CONCATENATE("Input!",RSE_Setup!$B$18,ROW()+1))),"",INDIRECT(CONCATENATE("Input!",RSE_Setup!$B$18,ROW()+1)))</f>
        <v>3.2258000000000002E-2</v>
      </c>
      <c r="D41" s="1" cm="1">
        <f t="array" aca="1" ref="D41" ca="1">IF(ISBLANK(INDIRECT(CONCATENATE("Input!",RSE_Setup!$B$19,ROW()+1))),"",INDIRECT(CONCATENATE("Input!",RSE_Setup!$B$19,ROW()+1)))</f>
        <v>6500</v>
      </c>
      <c r="E41" s="1" cm="1">
        <f t="array" aca="1" ref="E41" ca="1">IF(ISBLANK(INDIRECT(CONCATENATE("Input!",RSE_Setup!$B$30,ROW()+1))),"",INDIRECT(CONCATENATE("Input!",RSE_Setup!$B$30,ROW()+1)))</f>
        <v>4</v>
      </c>
      <c r="F41" s="1">
        <f ca="1"/>
        <v>5.1297305783568881</v>
      </c>
    </row>
    <row r="42" spans="1:6" x14ac:dyDescent="0.3">
      <c r="A42" s="1" cm="1">
        <f t="array" aca="1" ref="A42" ca="1">IF(ISBLANK(INDIRECT(CONCATENATE("Input!",RSE_Setup!$B$16,ROW()+1))),"",INDIRECT(CONCATENATE("Input!",RSE_Setup!$B$16,ROW()+1)))</f>
        <v>7.5000000000000002E-4</v>
      </c>
      <c r="B42" s="1" cm="1">
        <f t="array" aca="1" ref="B42" ca="1">IF(ISBLANK(INDIRECT(CONCATENATE("Input!",RSE_Setup!$B$17,ROW()+1))),"",INDIRECT(CONCATENATE("Input!",RSE_Setup!$B$17,ROW()+1)))</f>
        <v>6.0000000000000001E-3</v>
      </c>
      <c r="C42" s="1" cm="1">
        <f t="array" aca="1" ref="C42" ca="1">IF(ISBLANK(INDIRECT(CONCATENATE("Input!",RSE_Setup!$B$18,ROW()+1))),"",INDIRECT(CONCATENATE("Input!",RSE_Setup!$B$18,ROW()+1)))</f>
        <v>5.5556000000000001E-2</v>
      </c>
      <c r="D42" s="1" cm="1">
        <f t="array" aca="1" ref="D42" ca="1">IF(ISBLANK(INDIRECT(CONCATENATE("Input!",RSE_Setup!$B$19,ROW()+1))),"",INDIRECT(CONCATENATE("Input!",RSE_Setup!$B$19,ROW()+1)))</f>
        <v>3000</v>
      </c>
      <c r="E42" s="1" cm="1">
        <f t="array" aca="1" ref="E42" ca="1">IF(ISBLANK(INDIRECT(CONCATENATE("Input!",RSE_Setup!$B$30,ROW()+1))),"",INDIRECT(CONCATENATE("Input!",RSE_Setup!$B$30,ROW()+1)))</f>
        <v>4</v>
      </c>
      <c r="F42" s="1">
        <f ca="1"/>
        <v>4.8534134788086511</v>
      </c>
    </row>
    <row r="43" spans="1:6" x14ac:dyDescent="0.3">
      <c r="A43" s="1" cm="1">
        <f t="array" aca="1" ref="A43" ca="1">IF(ISBLANK(INDIRECT(CONCATENATE("Input!",RSE_Setup!$B$16,ROW()+1))),"",INDIRECT(CONCATENATE("Input!",RSE_Setup!$B$16,ROW()+1)))</f>
        <v>7.5000000000000002E-4</v>
      </c>
      <c r="B43" s="1" cm="1">
        <f t="array" aca="1" ref="B43" ca="1">IF(ISBLANK(INDIRECT(CONCATENATE("Input!",RSE_Setup!$B$17,ROW()+1))),"",INDIRECT(CONCATENATE("Input!",RSE_Setup!$B$17,ROW()+1)))</f>
        <v>6.0000000000000001E-3</v>
      </c>
      <c r="C43" s="1" cm="1">
        <f t="array" aca="1" ref="C43" ca="1">IF(ISBLANK(INDIRECT(CONCATENATE("Input!",RSE_Setup!$B$18,ROW()+1))),"",INDIRECT(CONCATENATE("Input!",RSE_Setup!$B$18,ROW()+1)))</f>
        <v>5.5556000000000001E-2</v>
      </c>
      <c r="D43" s="1" cm="1">
        <f t="array" aca="1" ref="D43" ca="1">IF(ISBLANK(INDIRECT(CONCATENATE("Input!",RSE_Setup!$B$19,ROW()+1))),"",INDIRECT(CONCATENATE("Input!",RSE_Setup!$B$19,ROW()+1)))</f>
        <v>3750</v>
      </c>
      <c r="E43" s="1" cm="1">
        <f t="array" aca="1" ref="E43" ca="1">IF(ISBLANK(INDIRECT(CONCATENATE("Input!",RSE_Setup!$B$30,ROW()+1))),"",INDIRECT(CONCATENATE("Input!",RSE_Setup!$B$30,ROW()+1)))</f>
        <v>4</v>
      </c>
      <c r="F43" s="1">
        <f ca="1"/>
        <v>5.4228787925505353</v>
      </c>
    </row>
    <row r="44" spans="1:6" x14ac:dyDescent="0.3">
      <c r="A44" s="1" cm="1">
        <f t="array" aca="1" ref="A44" ca="1">IF(ISBLANK(INDIRECT(CONCATENATE("Input!",RSE_Setup!$B$16,ROW()+1))),"",INDIRECT(CONCATENATE("Input!",RSE_Setup!$B$16,ROW()+1)))</f>
        <v>7.5000000000000002E-4</v>
      </c>
      <c r="B44" s="1" cm="1">
        <f t="array" aca="1" ref="B44" ca="1">IF(ISBLANK(INDIRECT(CONCATENATE("Input!",RSE_Setup!$B$17,ROW()+1))),"",INDIRECT(CONCATENATE("Input!",RSE_Setup!$B$17,ROW()+1)))</f>
        <v>6.0000000000000001E-3</v>
      </c>
      <c r="C44" s="1" cm="1">
        <f t="array" aca="1" ref="C44" ca="1">IF(ISBLANK(INDIRECT(CONCATENATE("Input!",RSE_Setup!$B$18,ROW()+1))),"",INDIRECT(CONCATENATE("Input!",RSE_Setup!$B$18,ROW()+1)))</f>
        <v>3.2258000000000002E-2</v>
      </c>
      <c r="D44" s="1" cm="1">
        <f t="array" aca="1" ref="D44" ca="1">IF(ISBLANK(INDIRECT(CONCATENATE("Input!",RSE_Setup!$B$19,ROW()+1))),"",INDIRECT(CONCATENATE("Input!",RSE_Setup!$B$19,ROW()+1)))</f>
        <v>3750</v>
      </c>
      <c r="E44" s="1" cm="1">
        <f t="array" aca="1" ref="E44" ca="1">IF(ISBLANK(INDIRECT(CONCATENATE("Input!",RSE_Setup!$B$30,ROW()+1))),"",INDIRECT(CONCATENATE("Input!",RSE_Setup!$B$30,ROW()+1)))</f>
        <v>4</v>
      </c>
      <c r="F44" s="1">
        <f ca="1"/>
        <v>3.206506206893768</v>
      </c>
    </row>
    <row r="45" spans="1:6" x14ac:dyDescent="0.3">
      <c r="A45" s="1" cm="1">
        <f t="array" aca="1" ref="A45" ca="1">IF(ISBLANK(INDIRECT(CONCATENATE("Input!",RSE_Setup!$B$16,ROW()+1))),"",INDIRECT(CONCATENATE("Input!",RSE_Setup!$B$16,ROW()+1)))</f>
        <v>7.5000000000000002E-4</v>
      </c>
      <c r="B45" s="1" cm="1">
        <f t="array" aca="1" ref="B45" ca="1">IF(ISBLANK(INDIRECT(CONCATENATE("Input!",RSE_Setup!$B$17,ROW()+1))),"",INDIRECT(CONCATENATE("Input!",RSE_Setup!$B$17,ROW()+1)))</f>
        <v>6.0000000000000001E-3</v>
      </c>
      <c r="C45" s="1" cm="1">
        <f t="array" aca="1" ref="C45" ca="1">IF(ISBLANK(INDIRECT(CONCATENATE("Input!",RSE_Setup!$B$18,ROW()+1))),"",INDIRECT(CONCATENATE("Input!",RSE_Setup!$B$18,ROW()+1)))</f>
        <v>3.2258000000000002E-2</v>
      </c>
      <c r="D45" s="1" cm="1">
        <f t="array" aca="1" ref="D45" ca="1">IF(ISBLANK(INDIRECT(CONCATENATE("Input!",RSE_Setup!$B$19,ROW()+1))),"",INDIRECT(CONCATENATE("Input!",RSE_Setup!$B$19,ROW()+1)))</f>
        <v>5250</v>
      </c>
      <c r="E45" s="1" cm="1">
        <f t="array" aca="1" ref="E45" ca="1">IF(ISBLANK(INDIRECT(CONCATENATE("Input!",RSE_Setup!$B$30,ROW()+1))),"",INDIRECT(CONCATENATE("Input!",RSE_Setup!$B$30,ROW()+1)))</f>
        <v>4</v>
      </c>
      <c r="F45" s="1">
        <f ca="1"/>
        <v>4.3408944535129335</v>
      </c>
    </row>
    <row r="46" spans="1:6" x14ac:dyDescent="0.3">
      <c r="A46" s="1" cm="1">
        <f t="array" aca="1" ref="A46" ca="1">IF(ISBLANK(INDIRECT(CONCATENATE("Input!",RSE_Setup!$B$16,ROW()+1))),"",INDIRECT(CONCATENATE("Input!",RSE_Setup!$B$16,ROW()+1)))</f>
        <v>7.5000000000000002E-4</v>
      </c>
      <c r="B46" s="1" cm="1">
        <f t="array" aca="1" ref="B46" ca="1">IF(ISBLANK(INDIRECT(CONCATENATE("Input!",RSE_Setup!$B$17,ROW()+1))),"",INDIRECT(CONCATENATE("Input!",RSE_Setup!$B$17,ROW()+1)))</f>
        <v>6.0000000000000001E-3</v>
      </c>
      <c r="C46" s="1" cm="1">
        <f t="array" aca="1" ref="C46" ca="1">IF(ISBLANK(INDIRECT(CONCATENATE("Input!",RSE_Setup!$B$18,ROW()+1))),"",INDIRECT(CONCATENATE("Input!",RSE_Setup!$B$18,ROW()+1)))</f>
        <v>3.2258000000000002E-2</v>
      </c>
      <c r="D46" s="1" cm="1">
        <f t="array" aca="1" ref="D46" ca="1">IF(ISBLANK(INDIRECT(CONCATENATE("Input!",RSE_Setup!$B$19,ROW()+1))),"",INDIRECT(CONCATENATE("Input!",RSE_Setup!$B$19,ROW()+1)))</f>
        <v>6500</v>
      </c>
      <c r="E46" s="1" cm="1">
        <f t="array" aca="1" ref="E46" ca="1">IF(ISBLANK(INDIRECT(CONCATENATE("Input!",RSE_Setup!$B$30,ROW()+1))),"",INDIRECT(CONCATENATE("Input!",RSE_Setup!$B$30,ROW()+1)))</f>
        <v>4</v>
      </c>
      <c r="F46" s="1">
        <f ca="1"/>
        <v>5.1097318244601233</v>
      </c>
    </row>
    <row r="47" spans="1:6" x14ac:dyDescent="0.3">
      <c r="A47" s="1" cm="1">
        <f t="array" aca="1" ref="A47" ca="1">IF(ISBLANK(INDIRECT(CONCATENATE("Input!",RSE_Setup!$B$16,ROW()+1))),"",INDIRECT(CONCATENATE("Input!",RSE_Setup!$B$16,ROW()+1)))</f>
        <v>7.5000000000000002E-4</v>
      </c>
      <c r="B47" s="1" cm="1">
        <f t="array" aca="1" ref="B47" ca="1">IF(ISBLANK(INDIRECT(CONCATENATE("Input!",RSE_Setup!$B$17,ROW()+1))),"",INDIRECT(CONCATENATE("Input!",RSE_Setup!$B$17,ROW()+1)))</f>
        <v>8.0000000000000002E-3</v>
      </c>
      <c r="C47" s="1" cm="1">
        <f t="array" aca="1" ref="C47" ca="1">IF(ISBLANK(INDIRECT(CONCATENATE("Input!",RSE_Setup!$B$18,ROW()+1))),"",INDIRECT(CONCATENATE("Input!",RSE_Setup!$B$18,ROW()+1)))</f>
        <v>3.2258000000000002E-2</v>
      </c>
      <c r="D47" s="1" cm="1">
        <f t="array" aca="1" ref="D47" ca="1">IF(ISBLANK(INDIRECT(CONCATENATE("Input!",RSE_Setup!$B$19,ROW()+1))),"",INDIRECT(CONCATENATE("Input!",RSE_Setup!$B$19,ROW()+1)))</f>
        <v>5250</v>
      </c>
      <c r="E47" s="1" cm="1">
        <f t="array" aca="1" ref="E47" ca="1">IF(ISBLANK(INDIRECT(CONCATENATE("Input!",RSE_Setup!$B$30,ROW()+1))),"",INDIRECT(CONCATENATE("Input!",RSE_Setup!$B$30,ROW()+1)))</f>
        <v>4</v>
      </c>
      <c r="F47" s="1">
        <f ca="1"/>
        <v>4.2839279206673497</v>
      </c>
    </row>
    <row r="48" spans="1:6" x14ac:dyDescent="0.3">
      <c r="A48" s="1" cm="1">
        <f t="array" aca="1" ref="A48" ca="1">IF(ISBLANK(INDIRECT(CONCATENATE("Input!",RSE_Setup!$B$16,ROW()+1))),"",INDIRECT(CONCATENATE("Input!",RSE_Setup!$B$16,ROW()+1)))</f>
        <v>7.5000000000000002E-4</v>
      </c>
      <c r="B48" s="1" cm="1">
        <f t="array" aca="1" ref="B48" ca="1">IF(ISBLANK(INDIRECT(CONCATENATE("Input!",RSE_Setup!$B$17,ROW()+1))),"",INDIRECT(CONCATENATE("Input!",RSE_Setup!$B$17,ROW()+1)))</f>
        <v>8.0000000000000002E-3</v>
      </c>
      <c r="C48" s="1" cm="1">
        <f t="array" aca="1" ref="C48" ca="1">IF(ISBLANK(INDIRECT(CONCATENATE("Input!",RSE_Setup!$B$18,ROW()+1))),"",INDIRECT(CONCATENATE("Input!",RSE_Setup!$B$18,ROW()+1)))</f>
        <v>3.2258000000000002E-2</v>
      </c>
      <c r="D48" s="1" cm="1">
        <f t="array" aca="1" ref="D48" ca="1">IF(ISBLANK(INDIRECT(CONCATENATE("Input!",RSE_Setup!$B$19,ROW()+1))),"",INDIRECT(CONCATENATE("Input!",RSE_Setup!$B$19,ROW()+1)))</f>
        <v>6500</v>
      </c>
      <c r="E48" s="1" cm="1">
        <f t="array" aca="1" ref="E48" ca="1">IF(ISBLANK(INDIRECT(CONCATENATE("Input!",RSE_Setup!$B$30,ROW()+1))),"",INDIRECT(CONCATENATE("Input!",RSE_Setup!$B$30,ROW()+1)))</f>
        <v>4</v>
      </c>
      <c r="F48" s="1">
        <f ca="1"/>
        <v>5.0718943412836559</v>
      </c>
    </row>
    <row r="49" spans="1:6" x14ac:dyDescent="0.3">
      <c r="A49" s="1" cm="1">
        <f t="array" aca="1" ref="A49" ca="1">IF(ISBLANK(INDIRECT(CONCATENATE("Input!",RSE_Setup!$B$16,ROW()+1))),"",INDIRECT(CONCATENATE("Input!",RSE_Setup!$B$16,ROW()+1)))</f>
        <v>1E-3</v>
      </c>
      <c r="B49" s="1" cm="1">
        <f t="array" aca="1" ref="B49" ca="1">IF(ISBLANK(INDIRECT(CONCATENATE("Input!",RSE_Setup!$B$17,ROW()+1))),"",INDIRECT(CONCATENATE("Input!",RSE_Setup!$B$17,ROW()+1)))</f>
        <v>5.0000000000000001E-3</v>
      </c>
      <c r="C49" s="1" cm="1">
        <f t="array" aca="1" ref="C49" ca="1">IF(ISBLANK(INDIRECT(CONCATENATE("Input!",RSE_Setup!$B$18,ROW()+1))),"",INDIRECT(CONCATENATE("Input!",RSE_Setup!$B$18,ROW()+1)))</f>
        <v>5.5556000000000001E-2</v>
      </c>
      <c r="D49" s="1" cm="1">
        <f t="array" aca="1" ref="D49" ca="1">IF(ISBLANK(INDIRECT(CONCATENATE("Input!",RSE_Setup!$B$19,ROW()+1))),"",INDIRECT(CONCATENATE("Input!",RSE_Setup!$B$19,ROW()+1)))</f>
        <v>3750</v>
      </c>
      <c r="E49" s="1" cm="1">
        <f t="array" aca="1" ref="E49" ca="1">IF(ISBLANK(INDIRECT(CONCATENATE("Input!",RSE_Setup!$B$30,ROW()+1))),"",INDIRECT(CONCATENATE("Input!",RSE_Setup!$B$30,ROW()+1)))</f>
        <v>4</v>
      </c>
      <c r="F49" s="1">
        <f ca="1"/>
        <v>5.5071895197550367</v>
      </c>
    </row>
    <row r="50" spans="1:6" x14ac:dyDescent="0.3">
      <c r="A50" s="1" cm="1">
        <f t="array" aca="1" ref="A50" ca="1">IF(ISBLANK(INDIRECT(CONCATENATE("Input!",RSE_Setup!$B$16,ROW()+1))),"",INDIRECT(CONCATENATE("Input!",RSE_Setup!$B$16,ROW()+1)))</f>
        <v>1E-3</v>
      </c>
      <c r="B50" s="1" cm="1">
        <f t="array" aca="1" ref="B50" ca="1">IF(ISBLANK(INDIRECT(CONCATENATE("Input!",RSE_Setup!$B$17,ROW()+1))),"",INDIRECT(CONCATENATE("Input!",RSE_Setup!$B$17,ROW()+1)))</f>
        <v>5.0000000000000001E-3</v>
      </c>
      <c r="C50" s="1" cm="1">
        <f t="array" aca="1" ref="C50" ca="1">IF(ISBLANK(INDIRECT(CONCATENATE("Input!",RSE_Setup!$B$18,ROW()+1))),"",INDIRECT(CONCATENATE("Input!",RSE_Setup!$B$18,ROW()+1)))</f>
        <v>3.2258000000000002E-2</v>
      </c>
      <c r="D50" s="1" cm="1">
        <f t="array" aca="1" ref="D50" ca="1">IF(ISBLANK(INDIRECT(CONCATENATE("Input!",RSE_Setup!$B$19,ROW()+1))),"",INDIRECT(CONCATENATE("Input!",RSE_Setup!$B$19,ROW()+1)))</f>
        <v>3750</v>
      </c>
      <c r="E50" s="1" cm="1">
        <f t="array" aca="1" ref="E50" ca="1">IF(ISBLANK(INDIRECT(CONCATENATE("Input!",RSE_Setup!$B$30,ROW()+1))),"",INDIRECT(CONCATENATE("Input!",RSE_Setup!$B$30,ROW()+1)))</f>
        <v>4</v>
      </c>
      <c r="F50" s="1">
        <f ca="1"/>
        <v>3.3105640547885709</v>
      </c>
    </row>
    <row r="51" spans="1:6" x14ac:dyDescent="0.3">
      <c r="A51" s="1" cm="1">
        <f t="array" aca="1" ref="A51" ca="1">IF(ISBLANK(INDIRECT(CONCATENATE("Input!",RSE_Setup!$B$16,ROW()+1))),"",INDIRECT(CONCATENATE("Input!",RSE_Setup!$B$16,ROW()+1)))</f>
        <v>1E-3</v>
      </c>
      <c r="B51" s="1" cm="1">
        <f t="array" aca="1" ref="B51" ca="1">IF(ISBLANK(INDIRECT(CONCATENATE("Input!",RSE_Setup!$B$17,ROW()+1))),"",INDIRECT(CONCATENATE("Input!",RSE_Setup!$B$17,ROW()+1)))</f>
        <v>5.0000000000000001E-3</v>
      </c>
      <c r="C51" s="1" cm="1">
        <f t="array" aca="1" ref="C51" ca="1">IF(ISBLANK(INDIRECT(CONCATENATE("Input!",RSE_Setup!$B$18,ROW()+1))),"",INDIRECT(CONCATENATE("Input!",RSE_Setup!$B$18,ROW()+1)))</f>
        <v>3.2258000000000002E-2</v>
      </c>
      <c r="D51" s="1" cm="1">
        <f t="array" aca="1" ref="D51" ca="1">IF(ISBLANK(INDIRECT(CONCATENATE("Input!",RSE_Setup!$B$19,ROW()+1))),"",INDIRECT(CONCATENATE("Input!",RSE_Setup!$B$19,ROW()+1)))</f>
        <v>5250</v>
      </c>
      <c r="E51" s="1" cm="1">
        <f t="array" aca="1" ref="E51" ca="1">IF(ISBLANK(INDIRECT(CONCATENATE("Input!",RSE_Setup!$B$30,ROW()+1))),"",INDIRECT(CONCATENATE("Input!",RSE_Setup!$B$30,ROW()+1)))</f>
        <v>4</v>
      </c>
      <c r="F51" s="1">
        <f ca="1"/>
        <v>4.3492783919706239</v>
      </c>
    </row>
    <row r="52" spans="1:6" x14ac:dyDescent="0.3">
      <c r="A52" s="1" cm="1">
        <f t="array" aca="1" ref="A52" ca="1">IF(ISBLANK(INDIRECT(CONCATENATE("Input!",RSE_Setup!$B$16,ROW()+1))),"",INDIRECT(CONCATENATE("Input!",RSE_Setup!$B$16,ROW()+1)))</f>
        <v>1E-3</v>
      </c>
      <c r="B52" s="1" cm="1">
        <f t="array" aca="1" ref="B52" ca="1">IF(ISBLANK(INDIRECT(CONCATENATE("Input!",RSE_Setup!$B$17,ROW()+1))),"",INDIRECT(CONCATENATE("Input!",RSE_Setup!$B$17,ROW()+1)))</f>
        <v>5.0000000000000001E-3</v>
      </c>
      <c r="C52" s="1" cm="1">
        <f t="array" aca="1" ref="C52" ca="1">IF(ISBLANK(INDIRECT(CONCATENATE("Input!",RSE_Setup!$B$18,ROW()+1))),"",INDIRECT(CONCATENATE("Input!",RSE_Setup!$B$18,ROW()+1)))</f>
        <v>3.2258000000000002E-2</v>
      </c>
      <c r="D52" s="1" cm="1">
        <f t="array" aca="1" ref="D52" ca="1">IF(ISBLANK(INDIRECT(CONCATENATE("Input!",RSE_Setup!$B$19,ROW()+1))),"",INDIRECT(CONCATENATE("Input!",RSE_Setup!$B$19,ROW()+1)))</f>
        <v>6500</v>
      </c>
      <c r="E52" s="1" cm="1">
        <f t="array" aca="1" ref="E52" ca="1">IF(ISBLANK(INDIRECT(CONCATENATE("Input!",RSE_Setup!$B$30,ROW()+1))),"",INDIRECT(CONCATENATE("Input!",RSE_Setup!$B$30,ROW()+1)))</f>
        <v>4</v>
      </c>
      <c r="F52" s="1">
        <f ca="1"/>
        <v>5.0383875050535547</v>
      </c>
    </row>
    <row r="53" spans="1:6" x14ac:dyDescent="0.3">
      <c r="A53" s="1" cm="1">
        <f t="array" aca="1" ref="A53" ca="1">IF(ISBLANK(INDIRECT(CONCATENATE("Input!",RSE_Setup!$B$16,ROW()+1))),"",INDIRECT(CONCATENATE("Input!",RSE_Setup!$B$16,ROW()+1)))</f>
        <v>1E-3</v>
      </c>
      <c r="B53" s="1" cm="1">
        <f t="array" aca="1" ref="B53" ca="1">IF(ISBLANK(INDIRECT(CONCATENATE("Input!",RSE_Setup!$B$17,ROW()+1))),"",INDIRECT(CONCATENATE("Input!",RSE_Setup!$B$17,ROW()+1)))</f>
        <v>6.4999999999999997E-3</v>
      </c>
      <c r="C53" s="1" cm="1">
        <f t="array" aca="1" ref="C53" ca="1">IF(ISBLANK(INDIRECT(CONCATENATE("Input!",RSE_Setup!$B$18,ROW()+1))),"",INDIRECT(CONCATENATE("Input!",RSE_Setup!$B$18,ROW()+1)))</f>
        <v>5.5556000000000001E-2</v>
      </c>
      <c r="D53" s="1" cm="1">
        <f t="array" aca="1" ref="D53" ca="1">IF(ISBLANK(INDIRECT(CONCATENATE("Input!",RSE_Setup!$B$19,ROW()+1))),"",INDIRECT(CONCATENATE("Input!",RSE_Setup!$B$19,ROW()+1)))</f>
        <v>3750</v>
      </c>
      <c r="E53" s="1" cm="1">
        <f t="array" aca="1" ref="E53" ca="1">IF(ISBLANK(INDIRECT(CONCATENATE("Input!",RSE_Setup!$B$30,ROW()+1))),"",INDIRECT(CONCATENATE("Input!",RSE_Setup!$B$30,ROW()+1)))</f>
        <v>4</v>
      </c>
      <c r="F53" s="1">
        <f ca="1"/>
        <v>5.4736683287240426</v>
      </c>
    </row>
    <row r="54" spans="1:6" x14ac:dyDescent="0.3">
      <c r="A54" s="1" cm="1">
        <f t="array" aca="1" ref="A54" ca="1">IF(ISBLANK(INDIRECT(CONCATENATE("Input!",RSE_Setup!$B$16,ROW()+1))),"",INDIRECT(CONCATENATE("Input!",RSE_Setup!$B$16,ROW()+1)))</f>
        <v>1E-3</v>
      </c>
      <c r="B54" s="1" cm="1">
        <f t="array" aca="1" ref="B54" ca="1">IF(ISBLANK(INDIRECT(CONCATENATE("Input!",RSE_Setup!$B$17,ROW()+1))),"",INDIRECT(CONCATENATE("Input!",RSE_Setup!$B$17,ROW()+1)))</f>
        <v>6.4999999999999997E-3</v>
      </c>
      <c r="C54" s="1" cm="1">
        <f t="array" aca="1" ref="C54" ca="1">IF(ISBLANK(INDIRECT(CONCATENATE("Input!",RSE_Setup!$B$18,ROW()+1))),"",INDIRECT(CONCATENATE("Input!",RSE_Setup!$B$18,ROW()+1)))</f>
        <v>3.2258000000000002E-2</v>
      </c>
      <c r="D54" s="1" cm="1">
        <f t="array" aca="1" ref="D54" ca="1">IF(ISBLANK(INDIRECT(CONCATENATE("Input!",RSE_Setup!$B$19,ROW()+1))),"",INDIRECT(CONCATENATE("Input!",RSE_Setup!$B$19,ROW()+1)))</f>
        <v>3750</v>
      </c>
      <c r="E54" s="1" cm="1">
        <f t="array" aca="1" ref="E54" ca="1">IF(ISBLANK(INDIRECT(CONCATENATE("Input!",RSE_Setup!$B$30,ROW()+1))),"",INDIRECT(CONCATENATE("Input!",RSE_Setup!$B$30,ROW()+1)))</f>
        <v>4</v>
      </c>
      <c r="F54" s="1">
        <f ca="1"/>
        <v>3.2722251112678071</v>
      </c>
    </row>
    <row r="55" spans="1:6" x14ac:dyDescent="0.3">
      <c r="A55" s="1" cm="1">
        <f t="array" aca="1" ref="A55" ca="1">IF(ISBLANK(INDIRECT(CONCATENATE("Input!",RSE_Setup!$B$16,ROW()+1))),"",INDIRECT(CONCATENATE("Input!",RSE_Setup!$B$16,ROW()+1)))</f>
        <v>1E-3</v>
      </c>
      <c r="B55" s="1" cm="1">
        <f t="array" aca="1" ref="B55" ca="1">IF(ISBLANK(INDIRECT(CONCATENATE("Input!",RSE_Setup!$B$17,ROW()+1))),"",INDIRECT(CONCATENATE("Input!",RSE_Setup!$B$17,ROW()+1)))</f>
        <v>6.4999999999999997E-3</v>
      </c>
      <c r="C55" s="1" cm="1">
        <f t="array" aca="1" ref="C55" ca="1">IF(ISBLANK(INDIRECT(CONCATENATE("Input!",RSE_Setup!$B$18,ROW()+1))),"",INDIRECT(CONCATENATE("Input!",RSE_Setup!$B$18,ROW()+1)))</f>
        <v>3.2258000000000002E-2</v>
      </c>
      <c r="D55" s="1" cm="1">
        <f t="array" aca="1" ref="D55" ca="1">IF(ISBLANK(INDIRECT(CONCATENATE("Input!",RSE_Setup!$B$19,ROW()+1))),"",INDIRECT(CONCATENATE("Input!",RSE_Setup!$B$19,ROW()+1)))</f>
        <v>5250</v>
      </c>
      <c r="E55" s="1" cm="1">
        <f t="array" aca="1" ref="E55" ca="1">IF(ISBLANK(INDIRECT(CONCATENATE("Input!",RSE_Setup!$B$30,ROW()+1))),"",INDIRECT(CONCATENATE("Input!",RSE_Setup!$B$30,ROW()+1)))</f>
        <v>4</v>
      </c>
      <c r="F55" s="1">
        <f ca="1"/>
        <v>4.3281555931520677</v>
      </c>
    </row>
    <row r="56" spans="1:6" x14ac:dyDescent="0.3">
      <c r="A56" s="1" cm="1">
        <f t="array" aca="1" ref="A56" ca="1">IF(ISBLANK(INDIRECT(CONCATENATE("Input!",RSE_Setup!$B$16,ROW()+1))),"",INDIRECT(CONCATENATE("Input!",RSE_Setup!$B$16,ROW()+1)))</f>
        <v>1E-3</v>
      </c>
      <c r="B56" s="1" cm="1">
        <f t="array" aca="1" ref="B56" ca="1">IF(ISBLANK(INDIRECT(CONCATENATE("Input!",RSE_Setup!$B$17,ROW()+1))),"",INDIRECT(CONCATENATE("Input!",RSE_Setup!$B$17,ROW()+1)))</f>
        <v>6.4999999999999997E-3</v>
      </c>
      <c r="C56" s="1" cm="1">
        <f t="array" aca="1" ref="C56" ca="1">IF(ISBLANK(INDIRECT(CONCATENATE("Input!",RSE_Setup!$B$18,ROW()+1))),"",INDIRECT(CONCATENATE("Input!",RSE_Setup!$B$18,ROW()+1)))</f>
        <v>3.2258000000000002E-2</v>
      </c>
      <c r="D56" s="1" cm="1">
        <f t="array" aca="1" ref="D56" ca="1">IF(ISBLANK(INDIRECT(CONCATENATE("Input!",RSE_Setup!$B$19,ROW()+1))),"",INDIRECT(CONCATENATE("Input!",RSE_Setup!$B$19,ROW()+1)))</f>
        <v>6500</v>
      </c>
      <c r="E56" s="1" cm="1">
        <f t="array" aca="1" ref="E56" ca="1">IF(ISBLANK(INDIRECT(CONCATENATE("Input!",RSE_Setup!$B$30,ROW()+1))),"",INDIRECT(CONCATENATE("Input!",RSE_Setup!$B$30,ROW()+1)))</f>
        <v>4</v>
      </c>
      <c r="F56" s="1">
        <f ca="1"/>
        <v>5.0316114934868388</v>
      </c>
    </row>
    <row r="57" spans="1:6" x14ac:dyDescent="0.3">
      <c r="A57" s="1" cm="1">
        <f t="array" aca="1" ref="A57" ca="1">IF(ISBLANK(INDIRECT(CONCATENATE("Input!",RSE_Setup!$B$16,ROW()+1))),"",INDIRECT(CONCATENATE("Input!",RSE_Setup!$B$16,ROW()+1)))</f>
        <v>1E-3</v>
      </c>
      <c r="B57" s="1" cm="1">
        <f t="array" aca="1" ref="B57" ca="1">IF(ISBLANK(INDIRECT(CONCATENATE("Input!",RSE_Setup!$B$17,ROW()+1))),"",INDIRECT(CONCATENATE("Input!",RSE_Setup!$B$17,ROW()+1)))</f>
        <v>8.0000000000000002E-3</v>
      </c>
      <c r="C57" s="1" cm="1">
        <f t="array" aca="1" ref="C57" ca="1">IF(ISBLANK(INDIRECT(CONCATENATE("Input!",RSE_Setup!$B$18,ROW()+1))),"",INDIRECT(CONCATENATE("Input!",RSE_Setup!$B$18,ROW()+1)))</f>
        <v>3.2258000000000002E-2</v>
      </c>
      <c r="D57" s="1" cm="1">
        <f t="array" aca="1" ref="D57" ca="1">IF(ISBLANK(INDIRECT(CONCATENATE("Input!",RSE_Setup!$B$19,ROW()+1))),"",INDIRECT(CONCATENATE("Input!",RSE_Setup!$B$19,ROW()+1)))</f>
        <v>5250</v>
      </c>
      <c r="E57" s="1" cm="1">
        <f t="array" aca="1" ref="E57" ca="1">IF(ISBLANK(INDIRECT(CONCATENATE("Input!",RSE_Setup!$B$30,ROW()+1))),"",INDIRECT(CONCATENATE("Input!",RSE_Setup!$B$30,ROW()+1)))</f>
        <v>4</v>
      </c>
      <c r="F57" s="1">
        <f ca="1"/>
        <v>4.2969985091136786</v>
      </c>
    </row>
    <row r="58" spans="1:6" x14ac:dyDescent="0.3">
      <c r="A58" s="1" cm="1">
        <f t="array" aca="1" ref="A58" ca="1">IF(ISBLANK(INDIRECT(CONCATENATE("Input!",RSE_Setup!$B$16,ROW()+1))),"",INDIRECT(CONCATENATE("Input!",RSE_Setup!$B$16,ROW()+1)))</f>
        <v>1E-3</v>
      </c>
      <c r="B58" s="1" cm="1">
        <f t="array" aca="1" ref="B58" ca="1">IF(ISBLANK(INDIRECT(CONCATENATE("Input!",RSE_Setup!$B$17,ROW()+1))),"",INDIRECT(CONCATENATE("Input!",RSE_Setup!$B$17,ROW()+1)))</f>
        <v>8.0000000000000002E-3</v>
      </c>
      <c r="C58" s="1" cm="1">
        <f t="array" aca="1" ref="C58" ca="1">IF(ISBLANK(INDIRECT(CONCATENATE("Input!",RSE_Setup!$B$18,ROW()+1))),"",INDIRECT(CONCATENATE("Input!",RSE_Setup!$B$18,ROW()+1)))</f>
        <v>3.2258000000000002E-2</v>
      </c>
      <c r="D58" s="1" cm="1">
        <f t="array" aca="1" ref="D58" ca="1">IF(ISBLANK(INDIRECT(CONCATENATE("Input!",RSE_Setup!$B$19,ROW()+1))),"",INDIRECT(CONCATENATE("Input!",RSE_Setup!$B$19,ROW()+1)))</f>
        <v>6500</v>
      </c>
      <c r="E58" s="1" cm="1">
        <f t="array" aca="1" ref="E58" ca="1">IF(ISBLANK(INDIRECT(CONCATENATE("Input!",RSE_Setup!$B$30,ROW()+1))),"",INDIRECT(CONCATENATE("Input!",RSE_Setup!$B$30,ROW()+1)))</f>
        <v>4</v>
      </c>
      <c r="F58" s="1">
        <f ca="1"/>
        <v>5.0148011967002866</v>
      </c>
    </row>
    <row r="59" spans="1:6" x14ac:dyDescent="0.3">
      <c r="A59" s="1" cm="1">
        <f t="array" aca="1" ref="A59" ca="1">IF(ISBLANK(INDIRECT(CONCATENATE("Input!",RSE_Setup!$B$16,ROW()+1))),"",INDIRECT(CONCATENATE("Input!",RSE_Setup!$B$16,ROW()+1)))</f>
        <v>2.9999999999999997E-4</v>
      </c>
      <c r="B59" s="1" cm="1">
        <f t="array" aca="1" ref="B59" ca="1">IF(ISBLANK(INDIRECT(CONCATENATE("Input!",RSE_Setup!$B$17,ROW()+1))),"",INDIRECT(CONCATENATE("Input!",RSE_Setup!$B$17,ROW()+1)))</f>
        <v>2E-3</v>
      </c>
      <c r="C59" s="1" cm="1">
        <f t="array" aca="1" ref="C59" ca="1">IF(ISBLANK(INDIRECT(CONCATENATE("Input!",RSE_Setup!$B$18,ROW()+1))),"",INDIRECT(CONCATENATE("Input!",RSE_Setup!$B$18,ROW()+1)))</f>
        <v>5.5556000000000001E-2</v>
      </c>
      <c r="D59" s="1" cm="1">
        <f t="array" aca="1" ref="D59" ca="1">IF(ISBLANK(INDIRECT(CONCATENATE("Input!",RSE_Setup!$B$19,ROW()+1))),"",INDIRECT(CONCATENATE("Input!",RSE_Setup!$B$19,ROW()+1)))</f>
        <v>6000</v>
      </c>
      <c r="E59" s="1" cm="1">
        <f t="array" aca="1" ref="E59" ca="1">IF(ISBLANK(INDIRECT(CONCATENATE("Input!",RSE_Setup!$B$30,ROW()+1))),"",INDIRECT(CONCATENATE("Input!",RSE_Setup!$B$30,ROW()+1)))</f>
        <v>6</v>
      </c>
      <c r="F59" s="1">
        <f ca="1"/>
        <v>6.9795445556098858</v>
      </c>
    </row>
    <row r="60" spans="1:6" x14ac:dyDescent="0.3">
      <c r="A60" s="1" cm="1">
        <f t="array" aca="1" ref="A60" ca="1">IF(ISBLANK(INDIRECT(CONCATENATE("Input!",RSE_Setup!$B$16,ROW()+1))),"",INDIRECT(CONCATENATE("Input!",RSE_Setup!$B$16,ROW()+1)))</f>
        <v>2.9999999999999997E-4</v>
      </c>
      <c r="B60" s="1" cm="1">
        <f t="array" aca="1" ref="B60" ca="1">IF(ISBLANK(INDIRECT(CONCATENATE("Input!",RSE_Setup!$B$17,ROW()+1))),"",INDIRECT(CONCATENATE("Input!",RSE_Setup!$B$17,ROW()+1)))</f>
        <v>2E-3</v>
      </c>
      <c r="C60" s="1" cm="1">
        <f t="array" aca="1" ref="C60" ca="1">IF(ISBLANK(INDIRECT(CONCATENATE("Input!",RSE_Setup!$B$18,ROW()+1))),"",INDIRECT(CONCATENATE("Input!",RSE_Setup!$B$18,ROW()+1)))</f>
        <v>3.2258000000000002E-2</v>
      </c>
      <c r="D60" s="1" cm="1">
        <f t="array" aca="1" ref="D60" ca="1">IF(ISBLANK(INDIRECT(CONCATENATE("Input!",RSE_Setup!$B$19,ROW()+1))),"",INDIRECT(CONCATENATE("Input!",RSE_Setup!$B$19,ROW()+1)))</f>
        <v>6000</v>
      </c>
      <c r="E60" s="1" cm="1">
        <f t="array" aca="1" ref="E60" ca="1">IF(ISBLANK(INDIRECT(CONCATENATE("Input!",RSE_Setup!$B$30,ROW()+1))),"",INDIRECT(CONCATENATE("Input!",RSE_Setup!$B$30,ROW()+1)))</f>
        <v>6</v>
      </c>
      <c r="F60" s="1">
        <f ca="1"/>
        <v>4.9993582171026656</v>
      </c>
    </row>
    <row r="61" spans="1:6" x14ac:dyDescent="0.3">
      <c r="A61" s="1" cm="1">
        <f t="array" aca="1" ref="A61" ca="1">IF(ISBLANK(INDIRECT(CONCATENATE("Input!",RSE_Setup!$B$16,ROW()+1))),"",INDIRECT(CONCATENATE("Input!",RSE_Setup!$B$16,ROW()+1)))</f>
        <v>2.9999999999999997E-4</v>
      </c>
      <c r="B61" s="1" cm="1">
        <f t="array" aca="1" ref="B61" ca="1">IF(ISBLANK(INDIRECT(CONCATENATE("Input!",RSE_Setup!$B$17,ROW()+1))),"",INDIRECT(CONCATENATE("Input!",RSE_Setup!$B$17,ROW()+1)))</f>
        <v>2E-3</v>
      </c>
      <c r="C61" s="1" cm="1">
        <f t="array" aca="1" ref="C61" ca="1">IF(ISBLANK(INDIRECT(CONCATENATE("Input!",RSE_Setup!$B$18,ROW()+1))),"",INDIRECT(CONCATENATE("Input!",RSE_Setup!$B$18,ROW()+1)))</f>
        <v>3.2258000000000002E-2</v>
      </c>
      <c r="D61" s="1" cm="1">
        <f t="array" aca="1" ref="D61" ca="1">IF(ISBLANK(INDIRECT(CONCATENATE("Input!",RSE_Setup!$B$19,ROW()+1))),"",INDIRECT(CONCATENATE("Input!",RSE_Setup!$B$19,ROW()+1)))</f>
        <v>8000</v>
      </c>
      <c r="E61" s="1" cm="1">
        <f t="array" aca="1" ref="E61" ca="1">IF(ISBLANK(INDIRECT(CONCATENATE("Input!",RSE_Setup!$B$30,ROW()+1))),"",INDIRECT(CONCATENATE("Input!",RSE_Setup!$B$30,ROW()+1)))</f>
        <v>6</v>
      </c>
      <c r="F61" s="1">
        <f ca="1"/>
        <v>6.1393201648215943</v>
      </c>
    </row>
    <row r="62" spans="1:6" x14ac:dyDescent="0.3">
      <c r="A62" s="1" cm="1">
        <f t="array" aca="1" ref="A62" ca="1">IF(ISBLANK(INDIRECT(CONCATENATE("Input!",RSE_Setup!$B$16,ROW()+1))),"",INDIRECT(CONCATENATE("Input!",RSE_Setup!$B$16,ROW()+1)))</f>
        <v>2.9999999999999997E-4</v>
      </c>
      <c r="B62" s="1" cm="1">
        <f t="array" aca="1" ref="B62" ca="1">IF(ISBLANK(INDIRECT(CONCATENATE("Input!",RSE_Setup!$B$17,ROW()+1))),"",INDIRECT(CONCATENATE("Input!",RSE_Setup!$B$17,ROW()+1)))</f>
        <v>2E-3</v>
      </c>
      <c r="C62" s="1" cm="1">
        <f t="array" aca="1" ref="C62" ca="1">IF(ISBLANK(INDIRECT(CONCATENATE("Input!",RSE_Setup!$B$18,ROW()+1))),"",INDIRECT(CONCATENATE("Input!",RSE_Setup!$B$18,ROW()+1)))</f>
        <v>3.2258000000000002E-2</v>
      </c>
      <c r="D62" s="1" cm="1">
        <f t="array" aca="1" ref="D62" ca="1">IF(ISBLANK(INDIRECT(CONCATENATE("Input!",RSE_Setup!$B$19,ROW()+1))),"",INDIRECT(CONCATENATE("Input!",RSE_Setup!$B$19,ROW()+1)))</f>
        <v>10000</v>
      </c>
      <c r="E62" s="1" cm="1">
        <f t="array" aca="1" ref="E62" ca="1">IF(ISBLANK(INDIRECT(CONCATENATE("Input!",RSE_Setup!$B$30,ROW()+1))),"",INDIRECT(CONCATENATE("Input!",RSE_Setup!$B$30,ROW()+1)))</f>
        <v>6</v>
      </c>
      <c r="F62" s="1">
        <f ca="1"/>
        <v>6.8685506672410614</v>
      </c>
    </row>
    <row r="63" spans="1:6" x14ac:dyDescent="0.3">
      <c r="A63" s="1" cm="1">
        <f t="array" aca="1" ref="A63" ca="1">IF(ISBLANK(INDIRECT(CONCATENATE("Input!",RSE_Setup!$B$16,ROW()+1))),"",INDIRECT(CONCATENATE("Input!",RSE_Setup!$B$16,ROW()+1)))</f>
        <v>2.9999999999999997E-4</v>
      </c>
      <c r="B63" s="1" cm="1">
        <f t="array" aca="1" ref="B63" ca="1">IF(ISBLANK(INDIRECT(CONCATENATE("Input!",RSE_Setup!$B$17,ROW()+1))),"",INDIRECT(CONCATENATE("Input!",RSE_Setup!$B$17,ROW()+1)))</f>
        <v>3.0000000000000001E-3</v>
      </c>
      <c r="C63" s="1" cm="1">
        <f t="array" aca="1" ref="C63" ca="1">IF(ISBLANK(INDIRECT(CONCATENATE("Input!",RSE_Setup!$B$18,ROW()+1))),"",INDIRECT(CONCATENATE("Input!",RSE_Setup!$B$18,ROW()+1)))</f>
        <v>5.5556000000000001E-2</v>
      </c>
      <c r="D63" s="1" cm="1">
        <f t="array" aca="1" ref="D63" ca="1">IF(ISBLANK(INDIRECT(CONCATENATE("Input!",RSE_Setup!$B$19,ROW()+1))),"",INDIRECT(CONCATENATE("Input!",RSE_Setup!$B$19,ROW()+1)))</f>
        <v>6000</v>
      </c>
      <c r="E63" s="1" cm="1">
        <f t="array" aca="1" ref="E63" ca="1">IF(ISBLANK(INDIRECT(CONCATENATE("Input!",RSE_Setup!$B$30,ROW()+1))),"",INDIRECT(CONCATENATE("Input!",RSE_Setup!$B$30,ROW()+1)))</f>
        <v>6</v>
      </c>
      <c r="F63" s="1">
        <f ca="1"/>
        <v>6.9641921737617487</v>
      </c>
    </row>
    <row r="64" spans="1:6" x14ac:dyDescent="0.3">
      <c r="A64" s="1" cm="1">
        <f t="array" aca="1" ref="A64" ca="1">IF(ISBLANK(INDIRECT(CONCATENATE("Input!",RSE_Setup!$B$16,ROW()+1))),"",INDIRECT(CONCATENATE("Input!",RSE_Setup!$B$16,ROW()+1)))</f>
        <v>2.9999999999999997E-4</v>
      </c>
      <c r="B64" s="1" cm="1">
        <f t="array" aca="1" ref="B64" ca="1">IF(ISBLANK(INDIRECT(CONCATENATE("Input!",RSE_Setup!$B$17,ROW()+1))),"",INDIRECT(CONCATENATE("Input!",RSE_Setup!$B$17,ROW()+1)))</f>
        <v>3.0000000000000001E-3</v>
      </c>
      <c r="C64" s="1" cm="1">
        <f t="array" aca="1" ref="C64" ca="1">IF(ISBLANK(INDIRECT(CONCATENATE("Input!",RSE_Setup!$B$18,ROW()+1))),"",INDIRECT(CONCATENATE("Input!",RSE_Setup!$B$18,ROW()+1)))</f>
        <v>3.2258000000000002E-2</v>
      </c>
      <c r="D64" s="1" cm="1">
        <f t="array" aca="1" ref="D64" ca="1">IF(ISBLANK(INDIRECT(CONCATENATE("Input!",RSE_Setup!$B$19,ROW()+1))),"",INDIRECT(CONCATENATE("Input!",RSE_Setup!$B$19,ROW()+1)))</f>
        <v>6000</v>
      </c>
      <c r="E64" s="1" cm="1">
        <f t="array" aca="1" ref="E64" ca="1">IF(ISBLANK(INDIRECT(CONCATENATE("Input!",RSE_Setup!$B$30,ROW()+1))),"",INDIRECT(CONCATENATE("Input!",RSE_Setup!$B$30,ROW()+1)))</f>
        <v>6</v>
      </c>
      <c r="F64" s="1">
        <f ca="1"/>
        <v>4.9807940002613496</v>
      </c>
    </row>
    <row r="65" spans="1:6" x14ac:dyDescent="0.3">
      <c r="A65" s="1" cm="1">
        <f t="array" aca="1" ref="A65" ca="1">IF(ISBLANK(INDIRECT(CONCATENATE("Input!",RSE_Setup!$B$16,ROW()+1))),"",INDIRECT(CONCATENATE("Input!",RSE_Setup!$B$16,ROW()+1)))</f>
        <v>2.9999999999999997E-4</v>
      </c>
      <c r="B65" s="1" cm="1">
        <f t="array" aca="1" ref="B65" ca="1">IF(ISBLANK(INDIRECT(CONCATENATE("Input!",RSE_Setup!$B$17,ROW()+1))),"",INDIRECT(CONCATENATE("Input!",RSE_Setup!$B$17,ROW()+1)))</f>
        <v>3.0000000000000001E-3</v>
      </c>
      <c r="C65" s="1" cm="1">
        <f t="array" aca="1" ref="C65" ca="1">IF(ISBLANK(INDIRECT(CONCATENATE("Input!",RSE_Setup!$B$18,ROW()+1))),"",INDIRECT(CONCATENATE("Input!",RSE_Setup!$B$18,ROW()+1)))</f>
        <v>3.2258000000000002E-2</v>
      </c>
      <c r="D65" s="1" cm="1">
        <f t="array" aca="1" ref="D65" ca="1">IF(ISBLANK(INDIRECT(CONCATENATE("Input!",RSE_Setup!$B$19,ROW()+1))),"",INDIRECT(CONCATENATE("Input!",RSE_Setup!$B$19,ROW()+1)))</f>
        <v>8000</v>
      </c>
      <c r="E65" s="1" cm="1">
        <f t="array" aca="1" ref="E65" ca="1">IF(ISBLANK(INDIRECT(CONCATENATE("Input!",RSE_Setup!$B$30,ROW()+1))),"",INDIRECT(CONCATENATE("Input!",RSE_Setup!$B$30,ROW()+1)))</f>
        <v>6</v>
      </c>
      <c r="F65" s="1">
        <f ca="1"/>
        <v>6.1360591877155706</v>
      </c>
    </row>
    <row r="66" spans="1:6" x14ac:dyDescent="0.3">
      <c r="A66" s="1" cm="1">
        <f t="array" aca="1" ref="A66" ca="1">IF(ISBLANK(INDIRECT(CONCATENATE("Input!",RSE_Setup!$B$16,ROW()+1))),"",INDIRECT(CONCATENATE("Input!",RSE_Setup!$B$16,ROW()+1)))</f>
        <v>2.9999999999999997E-4</v>
      </c>
      <c r="B66" s="1" cm="1">
        <f t="array" aca="1" ref="B66" ca="1">IF(ISBLANK(INDIRECT(CONCATENATE("Input!",RSE_Setup!$B$17,ROW()+1))),"",INDIRECT(CONCATENATE("Input!",RSE_Setup!$B$17,ROW()+1)))</f>
        <v>3.0000000000000001E-3</v>
      </c>
      <c r="C66" s="1" cm="1">
        <f t="array" aca="1" ref="C66" ca="1">IF(ISBLANK(INDIRECT(CONCATENATE("Input!",RSE_Setup!$B$18,ROW()+1))),"",INDIRECT(CONCATENATE("Input!",RSE_Setup!$B$18,ROW()+1)))</f>
        <v>3.2258000000000002E-2</v>
      </c>
      <c r="D66" s="1" cm="1">
        <f t="array" aca="1" ref="D66" ca="1">IF(ISBLANK(INDIRECT(CONCATENATE("Input!",RSE_Setup!$B$19,ROW()+1))),"",INDIRECT(CONCATENATE("Input!",RSE_Setup!$B$19,ROW()+1)))</f>
        <v>10000</v>
      </c>
      <c r="E66" s="1" cm="1">
        <f t="array" aca="1" ref="E66" ca="1">IF(ISBLANK(INDIRECT(CONCATENATE("Input!",RSE_Setup!$B$30,ROW()+1))),"",INDIRECT(CONCATENATE("Input!",RSE_Setup!$B$30,ROW()+1)))</f>
        <v>6</v>
      </c>
      <c r="F66" s="1">
        <f ca="1"/>
        <v>6.8805929298703301</v>
      </c>
    </row>
    <row r="67" spans="1:6" x14ac:dyDescent="0.3">
      <c r="A67" s="1" cm="1">
        <f t="array" aca="1" ref="A67" ca="1">IF(ISBLANK(INDIRECT(CONCATENATE("Input!",RSE_Setup!$B$16,ROW()+1))),"",INDIRECT(CONCATENATE("Input!",RSE_Setup!$B$16,ROW()+1)))</f>
        <v>2.9999999999999997E-4</v>
      </c>
      <c r="B67" s="1" cm="1">
        <f t="array" aca="1" ref="B67" ca="1">IF(ISBLANK(INDIRECT(CONCATENATE("Input!",RSE_Setup!$B$17,ROW()+1))),"",INDIRECT(CONCATENATE("Input!",RSE_Setup!$B$17,ROW()+1)))</f>
        <v>4.0000000000000001E-3</v>
      </c>
      <c r="C67" s="1" cm="1">
        <f t="array" aca="1" ref="C67" ca="1">IF(ISBLANK(INDIRECT(CONCATENATE("Input!",RSE_Setup!$B$18,ROW()+1))),"",INDIRECT(CONCATENATE("Input!",RSE_Setup!$B$18,ROW()+1)))</f>
        <v>5.5556000000000001E-2</v>
      </c>
      <c r="D67" s="1" cm="1">
        <f t="array" aca="1" ref="D67" ca="1">IF(ISBLANK(INDIRECT(CONCATENATE("Input!",RSE_Setup!$B$19,ROW()+1))),"",INDIRECT(CONCATENATE("Input!",RSE_Setup!$B$19,ROW()+1)))</f>
        <v>6000</v>
      </c>
      <c r="E67" s="1" cm="1">
        <f t="array" aca="1" ref="E67" ca="1">IF(ISBLANK(INDIRECT(CONCATENATE("Input!",RSE_Setup!$B$30,ROW()+1))),"",INDIRECT(CONCATENATE("Input!",RSE_Setup!$B$30,ROW()+1)))</f>
        <v>6</v>
      </c>
      <c r="F67" s="1">
        <f ca="1"/>
        <v>6.9443801095936859</v>
      </c>
    </row>
    <row r="68" spans="1:6" x14ac:dyDescent="0.3">
      <c r="A68" s="1" cm="1">
        <f t="array" aca="1" ref="A68" ca="1">IF(ISBLANK(INDIRECT(CONCATENATE("Input!",RSE_Setup!$B$16,ROW()+1))),"",INDIRECT(CONCATENATE("Input!",RSE_Setup!$B$16,ROW()+1)))</f>
        <v>2.9999999999999997E-4</v>
      </c>
      <c r="B68" s="1" cm="1">
        <f t="array" aca="1" ref="B68" ca="1">IF(ISBLANK(INDIRECT(CONCATENATE("Input!",RSE_Setup!$B$17,ROW()+1))),"",INDIRECT(CONCATENATE("Input!",RSE_Setup!$B$17,ROW()+1)))</f>
        <v>4.0000000000000001E-3</v>
      </c>
      <c r="C68" s="1" cm="1">
        <f t="array" aca="1" ref="C68" ca="1">IF(ISBLANK(INDIRECT(CONCATENATE("Input!",RSE_Setup!$B$18,ROW()+1))),"",INDIRECT(CONCATENATE("Input!",RSE_Setup!$B$18,ROW()+1)))</f>
        <v>3.2258000000000002E-2</v>
      </c>
      <c r="D68" s="1" cm="1">
        <f t="array" aca="1" ref="D68" ca="1">IF(ISBLANK(INDIRECT(CONCATENATE("Input!",RSE_Setup!$B$19,ROW()+1))),"",INDIRECT(CONCATENATE("Input!",RSE_Setup!$B$19,ROW()+1)))</f>
        <v>6000</v>
      </c>
      <c r="E68" s="1" cm="1">
        <f t="array" aca="1" ref="E68" ca="1">IF(ISBLANK(INDIRECT(CONCATENATE("Input!",RSE_Setup!$B$30,ROW()+1))),"",INDIRECT(CONCATENATE("Input!",RSE_Setup!$B$30,ROW()+1)))</f>
        <v>6</v>
      </c>
      <c r="F68" s="1">
        <f ca="1"/>
        <v>4.9577701011001061</v>
      </c>
    </row>
    <row r="69" spans="1:6" x14ac:dyDescent="0.3">
      <c r="A69" s="1" cm="1">
        <f t="array" aca="1" ref="A69" ca="1">IF(ISBLANK(INDIRECT(CONCATENATE("Input!",RSE_Setup!$B$16,ROW()+1))),"",INDIRECT(CONCATENATE("Input!",RSE_Setup!$B$16,ROW()+1)))</f>
        <v>2.9999999999999997E-4</v>
      </c>
      <c r="B69" s="1" cm="1">
        <f t="array" aca="1" ref="B69" ca="1">IF(ISBLANK(INDIRECT(CONCATENATE("Input!",RSE_Setup!$B$17,ROW()+1))),"",INDIRECT(CONCATENATE("Input!",RSE_Setup!$B$17,ROW()+1)))</f>
        <v>4.0000000000000001E-3</v>
      </c>
      <c r="C69" s="1" cm="1">
        <f t="array" aca="1" ref="C69" ca="1">IF(ISBLANK(INDIRECT(CONCATENATE("Input!",RSE_Setup!$B$18,ROW()+1))),"",INDIRECT(CONCATENATE("Input!",RSE_Setup!$B$18,ROW()+1)))</f>
        <v>3.2258000000000002E-2</v>
      </c>
      <c r="D69" s="1" cm="1">
        <f t="array" aca="1" ref="D69" ca="1">IF(ISBLANK(INDIRECT(CONCATENATE("Input!",RSE_Setup!$B$19,ROW()+1))),"",INDIRECT(CONCATENATE("Input!",RSE_Setup!$B$19,ROW()+1)))</f>
        <v>8000</v>
      </c>
      <c r="E69" s="1" cm="1">
        <f t="array" aca="1" ref="E69" ca="1">IF(ISBLANK(INDIRECT(CONCATENATE("Input!",RSE_Setup!$B$30,ROW()+1))),"",INDIRECT(CONCATENATE("Input!",RSE_Setup!$B$30,ROW()+1)))</f>
        <v>6</v>
      </c>
      <c r="F69" s="1">
        <f ca="1"/>
        <v>6.1283385282896212</v>
      </c>
    </row>
    <row r="70" spans="1:6" x14ac:dyDescent="0.3">
      <c r="A70" s="1" cm="1">
        <f t="array" aca="1" ref="A70" ca="1">IF(ISBLANK(INDIRECT(CONCATENATE("Input!",RSE_Setup!$B$16,ROW()+1))),"",INDIRECT(CONCATENATE("Input!",RSE_Setup!$B$16,ROW()+1)))</f>
        <v>2.9999999999999997E-4</v>
      </c>
      <c r="B70" s="1" cm="1">
        <f t="array" aca="1" ref="B70" ca="1">IF(ISBLANK(INDIRECT(CONCATENATE("Input!",RSE_Setup!$B$17,ROW()+1))),"",INDIRECT(CONCATENATE("Input!",RSE_Setup!$B$17,ROW()+1)))</f>
        <v>4.0000000000000001E-3</v>
      </c>
      <c r="C70" s="1" cm="1">
        <f t="array" aca="1" ref="C70" ca="1">IF(ISBLANK(INDIRECT(CONCATENATE("Input!",RSE_Setup!$B$18,ROW()+1))),"",INDIRECT(CONCATENATE("Input!",RSE_Setup!$B$18,ROW()+1)))</f>
        <v>3.2258000000000002E-2</v>
      </c>
      <c r="D70" s="1" cm="1">
        <f t="array" aca="1" ref="D70" ca="1">IF(ISBLANK(INDIRECT(CONCATENATE("Input!",RSE_Setup!$B$19,ROW()+1))),"",INDIRECT(CONCATENATE("Input!",RSE_Setup!$B$19,ROW()+1)))</f>
        <v>10000</v>
      </c>
      <c r="E70" s="1" cm="1">
        <f t="array" aca="1" ref="E70" ca="1">IF(ISBLANK(INDIRECT(CONCATENATE("Input!",RSE_Setup!$B$30,ROW()+1))),"",INDIRECT(CONCATENATE("Input!",RSE_Setup!$B$30,ROW()+1)))</f>
        <v>6</v>
      </c>
      <c r="F70" s="1">
        <f ca="1"/>
        <v>6.8881755101796767</v>
      </c>
    </row>
    <row r="71" spans="1:6" x14ac:dyDescent="0.3">
      <c r="A71" s="1" cm="1">
        <f t="array" aca="1" ref="A71" ca="1">IF(ISBLANK(INDIRECT(CONCATENATE("Input!",RSE_Setup!$B$16,ROW()+1))),"",INDIRECT(CONCATENATE("Input!",RSE_Setup!$B$16,ROW()+1)))</f>
        <v>5.0000000000000001E-4</v>
      </c>
      <c r="B71" s="1" cm="1">
        <f t="array" aca="1" ref="B71" ca="1">IF(ISBLANK(INDIRECT(CONCATENATE("Input!",RSE_Setup!$B$17,ROW()+1))),"",INDIRECT(CONCATENATE("Input!",RSE_Setup!$B$17,ROW()+1)))</f>
        <v>3.0000000000000001E-3</v>
      </c>
      <c r="C71" s="1" cm="1">
        <f t="array" aca="1" ref="C71" ca="1">IF(ISBLANK(INDIRECT(CONCATENATE("Input!",RSE_Setup!$B$18,ROW()+1))),"",INDIRECT(CONCATENATE("Input!",RSE_Setup!$B$18,ROW()+1)))</f>
        <v>5.5556000000000001E-2</v>
      </c>
      <c r="D71" s="1" cm="1">
        <f t="array" aca="1" ref="D71" ca="1">IF(ISBLANK(INDIRECT(CONCATENATE("Input!",RSE_Setup!$B$19,ROW()+1))),"",INDIRECT(CONCATENATE("Input!",RSE_Setup!$B$19,ROW()+1)))</f>
        <v>3375</v>
      </c>
      <c r="E71" s="1" cm="1">
        <f t="array" aca="1" ref="E71" ca="1">IF(ISBLANK(INDIRECT(CONCATENATE("Input!",RSE_Setup!$B$30,ROW()+1))),"",INDIRECT(CONCATENATE("Input!",RSE_Setup!$B$30,ROW()+1)))</f>
        <v>6</v>
      </c>
      <c r="F71" s="1">
        <f ca="1"/>
        <v>5.1702956327669103</v>
      </c>
    </row>
    <row r="72" spans="1:6" x14ac:dyDescent="0.3">
      <c r="A72" s="1" cm="1">
        <f t="array" aca="1" ref="A72" ca="1">IF(ISBLANK(INDIRECT(CONCATENATE("Input!",RSE_Setup!$B$16,ROW()+1))),"",INDIRECT(CONCATENATE("Input!",RSE_Setup!$B$16,ROW()+1)))</f>
        <v>5.0000000000000001E-4</v>
      </c>
      <c r="B72" s="1" cm="1">
        <f t="array" aca="1" ref="B72" ca="1">IF(ISBLANK(INDIRECT(CONCATENATE("Input!",RSE_Setup!$B$17,ROW()+1))),"",INDIRECT(CONCATENATE("Input!",RSE_Setup!$B$17,ROW()+1)))</f>
        <v>3.0000000000000001E-3</v>
      </c>
      <c r="C72" s="1" cm="1">
        <f t="array" aca="1" ref="C72" ca="1">IF(ISBLANK(INDIRECT(CONCATENATE("Input!",RSE_Setup!$B$18,ROW()+1))),"",INDIRECT(CONCATENATE("Input!",RSE_Setup!$B$18,ROW()+1)))</f>
        <v>5.5556000000000001E-2</v>
      </c>
      <c r="D72" s="1" cm="1">
        <f t="array" aca="1" ref="D72" ca="1">IF(ISBLANK(INDIRECT(CONCATENATE("Input!",RSE_Setup!$B$19,ROW()+1))),"",INDIRECT(CONCATENATE("Input!",RSE_Setup!$B$19,ROW()+1)))</f>
        <v>4500</v>
      </c>
      <c r="E72" s="1" cm="1">
        <f t="array" aca="1" ref="E72" ca="1">IF(ISBLANK(INDIRECT(CONCATENATE("Input!",RSE_Setup!$B$30,ROW()+1))),"",INDIRECT(CONCATENATE("Input!",RSE_Setup!$B$30,ROW()+1)))</f>
        <v>6</v>
      </c>
      <c r="F72" s="1">
        <f ca="1"/>
        <v>5.9968377478710204</v>
      </c>
    </row>
    <row r="73" spans="1:6" x14ac:dyDescent="0.3">
      <c r="A73" s="1" cm="1">
        <f t="array" aca="1" ref="A73" ca="1">IF(ISBLANK(INDIRECT(CONCATENATE("Input!",RSE_Setup!$B$16,ROW()+1))),"",INDIRECT(CONCATENATE("Input!",RSE_Setup!$B$16,ROW()+1)))</f>
        <v>5.0000000000000001E-4</v>
      </c>
      <c r="B73" s="1" cm="1">
        <f t="array" aca="1" ref="B73" ca="1">IF(ISBLANK(INDIRECT(CONCATENATE("Input!",RSE_Setup!$B$17,ROW()+1))),"",INDIRECT(CONCATENATE("Input!",RSE_Setup!$B$17,ROW()+1)))</f>
        <v>3.0000000000000001E-3</v>
      </c>
      <c r="C73" s="1" cm="1">
        <f t="array" aca="1" ref="C73" ca="1">IF(ISBLANK(INDIRECT(CONCATENATE("Input!",RSE_Setup!$B$18,ROW()+1))),"",INDIRECT(CONCATENATE("Input!",RSE_Setup!$B$18,ROW()+1)))</f>
        <v>5.5556000000000001E-2</v>
      </c>
      <c r="D73" s="1" cm="1">
        <f t="array" aca="1" ref="D73" ca="1">IF(ISBLANK(INDIRECT(CONCATENATE("Input!",RSE_Setup!$B$19,ROW()+1))),"",INDIRECT(CONCATENATE("Input!",RSE_Setup!$B$19,ROW()+1)))</f>
        <v>6000</v>
      </c>
      <c r="E73" s="1" cm="1">
        <f t="array" aca="1" ref="E73" ca="1">IF(ISBLANK(INDIRECT(CONCATENATE("Input!",RSE_Setup!$B$30,ROW()+1))),"",INDIRECT(CONCATENATE("Input!",RSE_Setup!$B$30,ROW()+1)))</f>
        <v>6</v>
      </c>
      <c r="F73" s="1">
        <f ca="1"/>
        <v>6.8967370181098406</v>
      </c>
    </row>
    <row r="74" spans="1:6" x14ac:dyDescent="0.3">
      <c r="A74" s="1" cm="1">
        <f t="array" aca="1" ref="A74" ca="1">IF(ISBLANK(INDIRECT(CONCATENATE("Input!",RSE_Setup!$B$16,ROW()+1))),"",INDIRECT(CONCATENATE("Input!",RSE_Setup!$B$16,ROW()+1)))</f>
        <v>5.0000000000000001E-4</v>
      </c>
      <c r="B74" s="1" cm="1">
        <f t="array" aca="1" ref="B74" ca="1">IF(ISBLANK(INDIRECT(CONCATENATE("Input!",RSE_Setup!$B$17,ROW()+1))),"",INDIRECT(CONCATENATE("Input!",RSE_Setup!$B$17,ROW()+1)))</f>
        <v>3.0000000000000001E-3</v>
      </c>
      <c r="C74" s="1" cm="1">
        <f t="array" aca="1" ref="C74" ca="1">IF(ISBLANK(INDIRECT(CONCATENATE("Input!",RSE_Setup!$B$18,ROW()+1))),"",INDIRECT(CONCATENATE("Input!",RSE_Setup!$B$18,ROW()+1)))</f>
        <v>3.2258000000000002E-2</v>
      </c>
      <c r="D74" s="1" cm="1">
        <f t="array" aca="1" ref="D74" ca="1">IF(ISBLANK(INDIRECT(CONCATENATE("Input!",RSE_Setup!$B$19,ROW()+1))),"",INDIRECT(CONCATENATE("Input!",RSE_Setup!$B$19,ROW()+1)))</f>
        <v>6000</v>
      </c>
      <c r="E74" s="1" cm="1">
        <f t="array" aca="1" ref="E74" ca="1">IF(ISBLANK(INDIRECT(CONCATENATE("Input!",RSE_Setup!$B$30,ROW()+1))),"",INDIRECT(CONCATENATE("Input!",RSE_Setup!$B$30,ROW()+1)))</f>
        <v>6</v>
      </c>
      <c r="F74" s="1">
        <f ca="1"/>
        <v>4.9265670731671385</v>
      </c>
    </row>
    <row r="75" spans="1:6" x14ac:dyDescent="0.3">
      <c r="A75" s="1" cm="1">
        <f t="array" aca="1" ref="A75" ca="1">IF(ISBLANK(INDIRECT(CONCATENATE("Input!",RSE_Setup!$B$16,ROW()+1))),"",INDIRECT(CONCATENATE("Input!",RSE_Setup!$B$16,ROW()+1)))</f>
        <v>5.0000000000000001E-4</v>
      </c>
      <c r="B75" s="1" cm="1">
        <f t="array" aca="1" ref="B75" ca="1">IF(ISBLANK(INDIRECT(CONCATENATE("Input!",RSE_Setup!$B$17,ROW()+1))),"",INDIRECT(CONCATENATE("Input!",RSE_Setup!$B$17,ROW()+1)))</f>
        <v>3.0000000000000001E-3</v>
      </c>
      <c r="C75" s="1" cm="1">
        <f t="array" aca="1" ref="C75" ca="1">IF(ISBLANK(INDIRECT(CONCATENATE("Input!",RSE_Setup!$B$18,ROW()+1))),"",INDIRECT(CONCATENATE("Input!",RSE_Setup!$B$18,ROW()+1)))</f>
        <v>3.2258000000000002E-2</v>
      </c>
      <c r="D75" s="1" cm="1">
        <f t="array" aca="1" ref="D75" ca="1">IF(ISBLANK(INDIRECT(CONCATENATE("Input!",RSE_Setup!$B$19,ROW()+1))),"",INDIRECT(CONCATENATE("Input!",RSE_Setup!$B$19,ROW()+1)))</f>
        <v>8000</v>
      </c>
      <c r="E75" s="1" cm="1">
        <f t="array" aca="1" ref="E75" ca="1">IF(ISBLANK(INDIRECT(CONCATENATE("Input!",RSE_Setup!$B$30,ROW()+1))),"",INDIRECT(CONCATENATE("Input!",RSE_Setup!$B$30,ROW()+1)))</f>
        <v>6</v>
      </c>
      <c r="F75" s="1">
        <f ca="1"/>
        <v>5.9920226823433396</v>
      </c>
    </row>
    <row r="76" spans="1:6" x14ac:dyDescent="0.3">
      <c r="A76" s="1" cm="1">
        <f t="array" aca="1" ref="A76" ca="1">IF(ISBLANK(INDIRECT(CONCATENATE("Input!",RSE_Setup!$B$16,ROW()+1))),"",INDIRECT(CONCATENATE("Input!",RSE_Setup!$B$16,ROW()+1)))</f>
        <v>5.0000000000000001E-4</v>
      </c>
      <c r="B76" s="1" cm="1">
        <f t="array" aca="1" ref="B76" ca="1">IF(ISBLANK(INDIRECT(CONCATENATE("Input!",RSE_Setup!$B$17,ROW()+1))),"",INDIRECT(CONCATENATE("Input!",RSE_Setup!$B$17,ROW()+1)))</f>
        <v>3.0000000000000001E-3</v>
      </c>
      <c r="C76" s="1" cm="1">
        <f t="array" aca="1" ref="C76" ca="1">IF(ISBLANK(INDIRECT(CONCATENATE("Input!",RSE_Setup!$B$18,ROW()+1))),"",INDIRECT(CONCATENATE("Input!",RSE_Setup!$B$18,ROW()+1)))</f>
        <v>3.2258000000000002E-2</v>
      </c>
      <c r="D76" s="1" cm="1">
        <f t="array" aca="1" ref="D76" ca="1">IF(ISBLANK(INDIRECT(CONCATENATE("Input!",RSE_Setup!$B$19,ROW()+1))),"",INDIRECT(CONCATENATE("Input!",RSE_Setup!$B$19,ROW()+1)))</f>
        <v>10000</v>
      </c>
      <c r="E76" s="1" cm="1">
        <f t="array" aca="1" ref="E76" ca="1">IF(ISBLANK(INDIRECT(CONCATENATE("Input!",RSE_Setup!$B$30,ROW()+1))),"",INDIRECT(CONCATENATE("Input!",RSE_Setup!$B$30,ROW()+1)))</f>
        <v>6</v>
      </c>
      <c r="F76" s="1">
        <f ca="1"/>
        <v>6.6467468462200809</v>
      </c>
    </row>
    <row r="77" spans="1:6" x14ac:dyDescent="0.3">
      <c r="A77" s="1" cm="1">
        <f t="array" aca="1" ref="A77" ca="1">IF(ISBLANK(INDIRECT(CONCATENATE("Input!",RSE_Setup!$B$16,ROW()+1))),"",INDIRECT(CONCATENATE("Input!",RSE_Setup!$B$16,ROW()+1)))</f>
        <v>5.0000000000000001E-4</v>
      </c>
      <c r="B77" s="1" cm="1">
        <f t="array" aca="1" ref="B77" ca="1">IF(ISBLANK(INDIRECT(CONCATENATE("Input!",RSE_Setup!$B$17,ROW()+1))),"",INDIRECT(CONCATENATE("Input!",RSE_Setup!$B$17,ROW()+1)))</f>
        <v>4.7499999999999999E-3</v>
      </c>
      <c r="C77" s="1" cm="1">
        <f t="array" aca="1" ref="C77" ca="1">IF(ISBLANK(INDIRECT(CONCATENATE("Input!",RSE_Setup!$B$18,ROW()+1))),"",INDIRECT(CONCATENATE("Input!",RSE_Setup!$B$18,ROW()+1)))</f>
        <v>5.5556000000000001E-2</v>
      </c>
      <c r="D77" s="1" cm="1">
        <f t="array" aca="1" ref="D77" ca="1">IF(ISBLANK(INDIRECT(CONCATENATE("Input!",RSE_Setup!$B$19,ROW()+1))),"",INDIRECT(CONCATENATE("Input!",RSE_Setup!$B$19,ROW()+1)))</f>
        <v>3375</v>
      </c>
      <c r="E77" s="1" cm="1">
        <f t="array" aca="1" ref="E77" ca="1">IF(ISBLANK(INDIRECT(CONCATENATE("Input!",RSE_Setup!$B$30,ROW()+1))),"",INDIRECT(CONCATENATE("Input!",RSE_Setup!$B$30,ROW()+1)))</f>
        <v>6</v>
      </c>
      <c r="F77" s="1">
        <f ca="1"/>
        <v>5.1099057418847309</v>
      </c>
    </row>
    <row r="78" spans="1:6" x14ac:dyDescent="0.3">
      <c r="A78" s="1" cm="1">
        <f t="array" aca="1" ref="A78" ca="1">IF(ISBLANK(INDIRECT(CONCATENATE("Input!",RSE_Setup!$B$16,ROW()+1))),"",INDIRECT(CONCATENATE("Input!",RSE_Setup!$B$16,ROW()+1)))</f>
        <v>5.0000000000000001E-4</v>
      </c>
      <c r="B78" s="1" cm="1">
        <f t="array" aca="1" ref="B78" ca="1">IF(ISBLANK(INDIRECT(CONCATENATE("Input!",RSE_Setup!$B$17,ROW()+1))),"",INDIRECT(CONCATENATE("Input!",RSE_Setup!$B$17,ROW()+1)))</f>
        <v>4.7499999999999999E-3</v>
      </c>
      <c r="C78" s="1" cm="1">
        <f t="array" aca="1" ref="C78" ca="1">IF(ISBLANK(INDIRECT(CONCATENATE("Input!",RSE_Setup!$B$18,ROW()+1))),"",INDIRECT(CONCATENATE("Input!",RSE_Setup!$B$18,ROW()+1)))</f>
        <v>5.5556000000000001E-2</v>
      </c>
      <c r="D78" s="1" cm="1">
        <f t="array" aca="1" ref="D78" ca="1">IF(ISBLANK(INDIRECT(CONCATENATE("Input!",RSE_Setup!$B$19,ROW()+1))),"",INDIRECT(CONCATENATE("Input!",RSE_Setup!$B$19,ROW()+1)))</f>
        <v>4500</v>
      </c>
      <c r="E78" s="1" cm="1">
        <f t="array" aca="1" ref="E78" ca="1">IF(ISBLANK(INDIRECT(CONCATENATE("Input!",RSE_Setup!$B$30,ROW()+1))),"",INDIRECT(CONCATENATE("Input!",RSE_Setup!$B$30,ROW()+1)))</f>
        <v>6</v>
      </c>
      <c r="F78" s="1">
        <f ca="1"/>
        <v>5.9515119836032708</v>
      </c>
    </row>
    <row r="79" spans="1:6" x14ac:dyDescent="0.3">
      <c r="A79" s="1" cm="1">
        <f t="array" aca="1" ref="A79" ca="1">IF(ISBLANK(INDIRECT(CONCATENATE("Input!",RSE_Setup!$B$16,ROW()+1))),"",INDIRECT(CONCATENATE("Input!",RSE_Setup!$B$16,ROW()+1)))</f>
        <v>5.0000000000000001E-4</v>
      </c>
      <c r="B79" s="1" cm="1">
        <f t="array" aca="1" ref="B79" ca="1">IF(ISBLANK(INDIRECT(CONCATENATE("Input!",RSE_Setup!$B$17,ROW()+1))),"",INDIRECT(CONCATENATE("Input!",RSE_Setup!$B$17,ROW()+1)))</f>
        <v>4.7499999999999999E-3</v>
      </c>
      <c r="C79" s="1" cm="1">
        <f t="array" aca="1" ref="C79" ca="1">IF(ISBLANK(INDIRECT(CONCATENATE("Input!",RSE_Setup!$B$18,ROW()+1))),"",INDIRECT(CONCATENATE("Input!",RSE_Setup!$B$18,ROW()+1)))</f>
        <v>5.5556000000000001E-2</v>
      </c>
      <c r="D79" s="1" cm="1">
        <f t="array" aca="1" ref="D79" ca="1">IF(ISBLANK(INDIRECT(CONCATENATE("Input!",RSE_Setup!$B$19,ROW()+1))),"",INDIRECT(CONCATENATE("Input!",RSE_Setup!$B$19,ROW()+1)))</f>
        <v>6000</v>
      </c>
      <c r="E79" s="1" cm="1">
        <f t="array" aca="1" ref="E79" ca="1">IF(ISBLANK(INDIRECT(CONCATENATE("Input!",RSE_Setup!$B$30,ROW()+1))),"",INDIRECT(CONCATENATE("Input!",RSE_Setup!$B$30,ROW()+1)))</f>
        <v>6</v>
      </c>
      <c r="F79" s="1">
        <f ca="1"/>
        <v>6.8714967559946647</v>
      </c>
    </row>
    <row r="80" spans="1:6" x14ac:dyDescent="0.3">
      <c r="A80" s="1" cm="1">
        <f t="array" aca="1" ref="A80" ca="1">IF(ISBLANK(INDIRECT(CONCATENATE("Input!",RSE_Setup!$B$16,ROW()+1))),"",INDIRECT(CONCATENATE("Input!",RSE_Setup!$B$16,ROW()+1)))</f>
        <v>5.0000000000000001E-4</v>
      </c>
      <c r="B80" s="1" cm="1">
        <f t="array" aca="1" ref="B80" ca="1">IF(ISBLANK(INDIRECT(CONCATENATE("Input!",RSE_Setup!$B$17,ROW()+1))),"",INDIRECT(CONCATENATE("Input!",RSE_Setup!$B$17,ROW()+1)))</f>
        <v>4.7499999999999999E-3</v>
      </c>
      <c r="C80" s="1" cm="1">
        <f t="array" aca="1" ref="C80" ca="1">IF(ISBLANK(INDIRECT(CONCATENATE("Input!",RSE_Setup!$B$18,ROW()+1))),"",INDIRECT(CONCATENATE("Input!",RSE_Setup!$B$18,ROW()+1)))</f>
        <v>3.2258000000000002E-2</v>
      </c>
      <c r="D80" s="1" cm="1">
        <f t="array" aca="1" ref="D80" ca="1">IF(ISBLANK(INDIRECT(CONCATENATE("Input!",RSE_Setup!$B$19,ROW()+1))),"",INDIRECT(CONCATENATE("Input!",RSE_Setup!$B$19,ROW()+1)))</f>
        <v>6000</v>
      </c>
      <c r="E80" s="1" cm="1">
        <f t="array" aca="1" ref="E80" ca="1">IF(ISBLANK(INDIRECT(CONCATENATE("Input!",RSE_Setup!$B$30,ROW()+1))),"",INDIRECT(CONCATENATE("Input!",RSE_Setup!$B$30,ROW()+1)))</f>
        <v>6</v>
      </c>
      <c r="F80" s="1">
        <f ca="1"/>
        <v>4.8957060998138999</v>
      </c>
    </row>
    <row r="81" spans="1:6" x14ac:dyDescent="0.3">
      <c r="A81" s="1" cm="1">
        <f t="array" aca="1" ref="A81" ca="1">IF(ISBLANK(INDIRECT(CONCATENATE("Input!",RSE_Setup!$B$16,ROW()+1))),"",INDIRECT(CONCATENATE("Input!",RSE_Setup!$B$16,ROW()+1)))</f>
        <v>5.0000000000000001E-4</v>
      </c>
      <c r="B81" s="1" cm="1">
        <f t="array" aca="1" ref="B81" ca="1">IF(ISBLANK(INDIRECT(CONCATENATE("Input!",RSE_Setup!$B$17,ROW()+1))),"",INDIRECT(CONCATENATE("Input!",RSE_Setup!$B$17,ROW()+1)))</f>
        <v>4.7499999999999999E-3</v>
      </c>
      <c r="C81" s="1" cm="1">
        <f t="array" aca="1" ref="C81" ca="1">IF(ISBLANK(INDIRECT(CONCATENATE("Input!",RSE_Setup!$B$18,ROW()+1))),"",INDIRECT(CONCATENATE("Input!",RSE_Setup!$B$18,ROW()+1)))</f>
        <v>3.2258000000000002E-2</v>
      </c>
      <c r="D81" s="1" cm="1">
        <f t="array" aca="1" ref="D81" ca="1">IF(ISBLANK(INDIRECT(CONCATENATE("Input!",RSE_Setup!$B$19,ROW()+1))),"",INDIRECT(CONCATENATE("Input!",RSE_Setup!$B$19,ROW()+1)))</f>
        <v>8000</v>
      </c>
      <c r="E81" s="1" cm="1">
        <f t="array" aca="1" ref="E81" ca="1">IF(ISBLANK(INDIRECT(CONCATENATE("Input!",RSE_Setup!$B$30,ROW()+1))),"",INDIRECT(CONCATENATE("Input!",RSE_Setup!$B$30,ROW()+1)))</f>
        <v>6</v>
      </c>
      <c r="F81" s="1">
        <f ca="1"/>
        <v>5.9879423785268653</v>
      </c>
    </row>
    <row r="82" spans="1:6" x14ac:dyDescent="0.3">
      <c r="A82" s="1" cm="1">
        <f t="array" aca="1" ref="A82" ca="1">IF(ISBLANK(INDIRECT(CONCATENATE("Input!",RSE_Setup!$B$16,ROW()+1))),"",INDIRECT(CONCATENATE("Input!",RSE_Setup!$B$16,ROW()+1)))</f>
        <v>5.0000000000000001E-4</v>
      </c>
      <c r="B82" s="1" cm="1">
        <f t="array" aca="1" ref="B82" ca="1">IF(ISBLANK(INDIRECT(CONCATENATE("Input!",RSE_Setup!$B$17,ROW()+1))),"",INDIRECT(CONCATENATE("Input!",RSE_Setup!$B$17,ROW()+1)))</f>
        <v>4.7499999999999999E-3</v>
      </c>
      <c r="C82" s="1" cm="1">
        <f t="array" aca="1" ref="C82" ca="1">IF(ISBLANK(INDIRECT(CONCATENATE("Input!",RSE_Setup!$B$18,ROW()+1))),"",INDIRECT(CONCATENATE("Input!",RSE_Setup!$B$18,ROW()+1)))</f>
        <v>3.2258000000000002E-2</v>
      </c>
      <c r="D82" s="1" cm="1">
        <f t="array" aca="1" ref="D82" ca="1">IF(ISBLANK(INDIRECT(CONCATENATE("Input!",RSE_Setup!$B$19,ROW()+1))),"",INDIRECT(CONCATENATE("Input!",RSE_Setup!$B$19,ROW()+1)))</f>
        <v>10000</v>
      </c>
      <c r="E82" s="1" cm="1">
        <f t="array" aca="1" ref="E82" ca="1">IF(ISBLANK(INDIRECT(CONCATENATE("Input!",RSE_Setup!$B$30,ROW()+1))),"",INDIRECT(CONCATENATE("Input!",RSE_Setup!$B$30,ROW()+1)))</f>
        <v>6</v>
      </c>
      <c r="F82" s="1">
        <f ca="1"/>
        <v>6.6694472119403709</v>
      </c>
    </row>
    <row r="83" spans="1:6" x14ac:dyDescent="0.3">
      <c r="A83" s="1" cm="1">
        <f t="array" aca="1" ref="A83" ca="1">IF(ISBLANK(INDIRECT(CONCATENATE("Input!",RSE_Setup!$B$16,ROW()+1))),"",INDIRECT(CONCATENATE("Input!",RSE_Setup!$B$16,ROW()+1)))</f>
        <v>5.0000000000000001E-4</v>
      </c>
      <c r="B83" s="1" cm="1">
        <f t="array" aca="1" ref="B83" ca="1">IF(ISBLANK(INDIRECT(CONCATENATE("Input!",RSE_Setup!$B$17,ROW()+1))),"",INDIRECT(CONCATENATE("Input!",RSE_Setup!$B$17,ROW()+1)))</f>
        <v>6.4999999999999997E-3</v>
      </c>
      <c r="C83" s="1" cm="1">
        <f t="array" aca="1" ref="C83" ca="1">IF(ISBLANK(INDIRECT(CONCATENATE("Input!",RSE_Setup!$B$18,ROW()+1))),"",INDIRECT(CONCATENATE("Input!",RSE_Setup!$B$18,ROW()+1)))</f>
        <v>5.5556000000000001E-2</v>
      </c>
      <c r="D83" s="1" cm="1">
        <f t="array" aca="1" ref="D83" ca="1">IF(ISBLANK(INDIRECT(CONCATENATE("Input!",RSE_Setup!$B$19,ROW()+1))),"",INDIRECT(CONCATENATE("Input!",RSE_Setup!$B$19,ROW()+1)))</f>
        <v>3375</v>
      </c>
      <c r="E83" s="1" cm="1">
        <f t="array" aca="1" ref="E83" ca="1">IF(ISBLANK(INDIRECT(CONCATENATE("Input!",RSE_Setup!$B$30,ROW()+1))),"",INDIRECT(CONCATENATE("Input!",RSE_Setup!$B$30,ROW()+1)))</f>
        <v>6</v>
      </c>
      <c r="F83" s="1">
        <f ca="1"/>
        <v>5.0358580738977778</v>
      </c>
    </row>
    <row r="84" spans="1:6" x14ac:dyDescent="0.3">
      <c r="A84" s="1" cm="1">
        <f t="array" aca="1" ref="A84" ca="1">IF(ISBLANK(INDIRECT(CONCATENATE("Input!",RSE_Setup!$B$16,ROW()+1))),"",INDIRECT(CONCATENATE("Input!",RSE_Setup!$B$16,ROW()+1)))</f>
        <v>5.0000000000000001E-4</v>
      </c>
      <c r="B84" s="1" cm="1">
        <f t="array" aca="1" ref="B84" ca="1">IF(ISBLANK(INDIRECT(CONCATENATE("Input!",RSE_Setup!$B$17,ROW()+1))),"",INDIRECT(CONCATENATE("Input!",RSE_Setup!$B$17,ROW()+1)))</f>
        <v>6.4999999999999997E-3</v>
      </c>
      <c r="C84" s="1" cm="1">
        <f t="array" aca="1" ref="C84" ca="1">IF(ISBLANK(INDIRECT(CONCATENATE("Input!",RSE_Setup!$B$18,ROW()+1))),"",INDIRECT(CONCATENATE("Input!",RSE_Setup!$B$18,ROW()+1)))</f>
        <v>5.5556000000000001E-2</v>
      </c>
      <c r="D84" s="1" cm="1">
        <f t="array" aca="1" ref="D84" ca="1">IF(ISBLANK(INDIRECT(CONCATENATE("Input!",RSE_Setup!$B$19,ROW()+1))),"",INDIRECT(CONCATENATE("Input!",RSE_Setup!$B$19,ROW()+1)))</f>
        <v>4500</v>
      </c>
      <c r="E84" s="1" cm="1">
        <f t="array" aca="1" ref="E84" ca="1">IF(ISBLANK(INDIRECT(CONCATENATE("Input!",RSE_Setup!$B$30,ROW()+1))),"",INDIRECT(CONCATENATE("Input!",RSE_Setup!$B$30,ROW()+1)))</f>
        <v>6</v>
      </c>
      <c r="F84" s="1">
        <f ca="1"/>
        <v>5.8925284422307476</v>
      </c>
    </row>
    <row r="85" spans="1:6" x14ac:dyDescent="0.3">
      <c r="A85" s="1" cm="1">
        <f t="array" aca="1" ref="A85" ca="1">IF(ISBLANK(INDIRECT(CONCATENATE("Input!",RSE_Setup!$B$16,ROW()+1))),"",INDIRECT(CONCATENATE("Input!",RSE_Setup!$B$16,ROW()+1)))</f>
        <v>5.0000000000000001E-4</v>
      </c>
      <c r="B85" s="1" cm="1">
        <f t="array" aca="1" ref="B85" ca="1">IF(ISBLANK(INDIRECT(CONCATENATE("Input!",RSE_Setup!$B$17,ROW()+1))),"",INDIRECT(CONCATENATE("Input!",RSE_Setup!$B$17,ROW()+1)))</f>
        <v>6.4999999999999997E-3</v>
      </c>
      <c r="C85" s="1" cm="1">
        <f t="array" aca="1" ref="C85" ca="1">IF(ISBLANK(INDIRECT(CONCATENATE("Input!",RSE_Setup!$B$18,ROW()+1))),"",INDIRECT(CONCATENATE("Input!",RSE_Setup!$B$18,ROW()+1)))</f>
        <v>5.5556000000000001E-2</v>
      </c>
      <c r="D85" s="1" cm="1">
        <f t="array" aca="1" ref="D85" ca="1">IF(ISBLANK(INDIRECT(CONCATENATE("Input!",RSE_Setup!$B$19,ROW()+1))),"",INDIRECT(CONCATENATE("Input!",RSE_Setup!$B$19,ROW()+1)))</f>
        <v>6000</v>
      </c>
      <c r="E85" s="1" cm="1">
        <f t="array" aca="1" ref="E85" ca="1">IF(ISBLANK(INDIRECT(CONCATENATE("Input!",RSE_Setup!$B$30,ROW()+1))),"",INDIRECT(CONCATENATE("Input!",RSE_Setup!$B$30,ROW()+1)))</f>
        <v>6</v>
      </c>
      <c r="F85" s="1">
        <f ca="1"/>
        <v>6.8325987167747151</v>
      </c>
    </row>
    <row r="86" spans="1:6" x14ac:dyDescent="0.3">
      <c r="A86" s="1" cm="1">
        <f t="array" aca="1" ref="A86" ca="1">IF(ISBLANK(INDIRECT(CONCATENATE("Input!",RSE_Setup!$B$16,ROW()+1))),"",INDIRECT(CONCATENATE("Input!",RSE_Setup!$B$16,ROW()+1)))</f>
        <v>5.0000000000000001E-4</v>
      </c>
      <c r="B86" s="1" cm="1">
        <f t="array" aca="1" ref="B86" ca="1">IF(ISBLANK(INDIRECT(CONCATENATE("Input!",RSE_Setup!$B$17,ROW()+1))),"",INDIRECT(CONCATENATE("Input!",RSE_Setup!$B$17,ROW()+1)))</f>
        <v>6.4999999999999997E-3</v>
      </c>
      <c r="C86" s="1" cm="1">
        <f t="array" aca="1" ref="C86" ca="1">IF(ISBLANK(INDIRECT(CONCATENATE("Input!",RSE_Setup!$B$18,ROW()+1))),"",INDIRECT(CONCATENATE("Input!",RSE_Setup!$B$18,ROW()+1)))</f>
        <v>3.2258000000000002E-2</v>
      </c>
      <c r="D86" s="1" cm="1">
        <f t="array" aca="1" ref="D86" ca="1">IF(ISBLANK(INDIRECT(CONCATENATE("Input!",RSE_Setup!$B$19,ROW()+1))),"",INDIRECT(CONCATENATE("Input!",RSE_Setup!$B$19,ROW()+1)))</f>
        <v>6000</v>
      </c>
      <c r="E86" s="1" cm="1">
        <f t="array" aca="1" ref="E86" ca="1">IF(ISBLANK(INDIRECT(CONCATENATE("Input!",RSE_Setup!$B$30,ROW()+1))),"",INDIRECT(CONCATENATE("Input!",RSE_Setup!$B$30,ROW()+1)))</f>
        <v>6</v>
      </c>
      <c r="F86" s="1">
        <f ca="1"/>
        <v>4.8511873493558877</v>
      </c>
    </row>
    <row r="87" spans="1:6" x14ac:dyDescent="0.3">
      <c r="A87" s="1" cm="1">
        <f t="array" aca="1" ref="A87" ca="1">IF(ISBLANK(INDIRECT(CONCATENATE("Input!",RSE_Setup!$B$16,ROW()+1))),"",INDIRECT(CONCATENATE("Input!",RSE_Setup!$B$16,ROW()+1)))</f>
        <v>7.5000000000000002E-4</v>
      </c>
      <c r="B87" s="1" cm="1">
        <f t="array" aca="1" ref="B87" ca="1">IF(ISBLANK(INDIRECT(CONCATENATE("Input!",RSE_Setup!$B$17,ROW()+1))),"",INDIRECT(CONCATENATE("Input!",RSE_Setup!$B$17,ROW()+1)))</f>
        <v>4.0000000000000001E-3</v>
      </c>
      <c r="C87" s="1" cm="1">
        <f t="array" aca="1" ref="C87" ca="1">IF(ISBLANK(INDIRECT(CONCATENATE("Input!",RSE_Setup!$B$18,ROW()+1))),"",INDIRECT(CONCATENATE("Input!",RSE_Setup!$B$18,ROW()+1)))</f>
        <v>5.5556000000000001E-2</v>
      </c>
      <c r="D87" s="1" cm="1">
        <f t="array" aca="1" ref="D87" ca="1">IF(ISBLANK(INDIRECT(CONCATENATE("Input!",RSE_Setup!$B$19,ROW()+1))),"",INDIRECT(CONCATENATE("Input!",RSE_Setup!$B$19,ROW()+1)))</f>
        <v>3375</v>
      </c>
      <c r="E87" s="1" cm="1">
        <f t="array" aca="1" ref="E87" ca="1">IF(ISBLANK(INDIRECT(CONCATENATE("Input!",RSE_Setup!$B$30,ROW()+1))),"",INDIRECT(CONCATENATE("Input!",RSE_Setup!$B$30,ROW()+1)))</f>
        <v>6</v>
      </c>
      <c r="F87" s="1">
        <f ca="1"/>
        <v>5.2067637324496996</v>
      </c>
    </row>
    <row r="88" spans="1:6" x14ac:dyDescent="0.3">
      <c r="A88" s="1" cm="1">
        <f t="array" aca="1" ref="A88" ca="1">IF(ISBLANK(INDIRECT(CONCATENATE("Input!",RSE_Setup!$B$16,ROW()+1))),"",INDIRECT(CONCATENATE("Input!",RSE_Setup!$B$16,ROW()+1)))</f>
        <v>7.5000000000000002E-4</v>
      </c>
      <c r="B88" s="1" cm="1">
        <f t="array" aca="1" ref="B88" ca="1">IF(ISBLANK(INDIRECT(CONCATENATE("Input!",RSE_Setup!$B$17,ROW()+1))),"",INDIRECT(CONCATENATE("Input!",RSE_Setup!$B$17,ROW()+1)))</f>
        <v>4.0000000000000001E-3</v>
      </c>
      <c r="C88" s="1" cm="1">
        <f t="array" aca="1" ref="C88" ca="1">IF(ISBLANK(INDIRECT(CONCATENATE("Input!",RSE_Setup!$B$18,ROW()+1))),"",INDIRECT(CONCATENATE("Input!",RSE_Setup!$B$18,ROW()+1)))</f>
        <v>5.5556000000000001E-2</v>
      </c>
      <c r="D88" s="1" cm="1">
        <f t="array" aca="1" ref="D88" ca="1">IF(ISBLANK(INDIRECT(CONCATENATE("Input!",RSE_Setup!$B$19,ROW()+1))),"",INDIRECT(CONCATENATE("Input!",RSE_Setup!$B$19,ROW()+1)))</f>
        <v>4500</v>
      </c>
      <c r="E88" s="1" cm="1">
        <f t="array" aca="1" ref="E88" ca="1">IF(ISBLANK(INDIRECT(CONCATENATE("Input!",RSE_Setup!$B$30,ROW()+1))),"",INDIRECT(CONCATENATE("Input!",RSE_Setup!$B$30,ROW()+1)))</f>
        <v>6</v>
      </c>
      <c r="F88" s="1">
        <f ca="1"/>
        <v>5.9787665601781805</v>
      </c>
    </row>
    <row r="89" spans="1:6" x14ac:dyDescent="0.3">
      <c r="A89" s="1" cm="1">
        <f t="array" aca="1" ref="A89" ca="1">IF(ISBLANK(INDIRECT(CONCATENATE("Input!",RSE_Setup!$B$16,ROW()+1))),"",INDIRECT(CONCATENATE("Input!",RSE_Setup!$B$16,ROW()+1)))</f>
        <v>7.5000000000000002E-4</v>
      </c>
      <c r="B89" s="1" cm="1">
        <f t="array" aca="1" ref="B89" ca="1">IF(ISBLANK(INDIRECT(CONCATENATE("Input!",RSE_Setup!$B$17,ROW()+1))),"",INDIRECT(CONCATENATE("Input!",RSE_Setup!$B$17,ROW()+1)))</f>
        <v>4.0000000000000001E-3</v>
      </c>
      <c r="C89" s="1" cm="1">
        <f t="array" aca="1" ref="C89" ca="1">IF(ISBLANK(INDIRECT(CONCATENATE("Input!",RSE_Setup!$B$18,ROW()+1))),"",INDIRECT(CONCATENATE("Input!",RSE_Setup!$B$18,ROW()+1)))</f>
        <v>5.5556000000000001E-2</v>
      </c>
      <c r="D89" s="1" cm="1">
        <f t="array" aca="1" ref="D89" ca="1">IF(ISBLANK(INDIRECT(CONCATENATE("Input!",RSE_Setup!$B$19,ROW()+1))),"",INDIRECT(CONCATENATE("Input!",RSE_Setup!$B$19,ROW()+1)))</f>
        <v>6000</v>
      </c>
      <c r="E89" s="1" cm="1">
        <f t="array" aca="1" ref="E89" ca="1">IF(ISBLANK(INDIRECT(CONCATENATE("Input!",RSE_Setup!$B$30,ROW()+1))),"",INDIRECT(CONCATENATE("Input!",RSE_Setup!$B$30,ROW()+1)))</f>
        <v>6</v>
      </c>
      <c r="F89" s="1">
        <f ca="1"/>
        <v>6.8059467805828273</v>
      </c>
    </row>
    <row r="90" spans="1:6" x14ac:dyDescent="0.3">
      <c r="A90" s="1" cm="1">
        <f t="array" aca="1" ref="A90" ca="1">IF(ISBLANK(INDIRECT(CONCATENATE("Input!",RSE_Setup!$B$16,ROW()+1))),"",INDIRECT(CONCATENATE("Input!",RSE_Setup!$B$16,ROW()+1)))</f>
        <v>7.5000000000000002E-4</v>
      </c>
      <c r="B90" s="1" cm="1">
        <f t="array" aca="1" ref="B90" ca="1">IF(ISBLANK(INDIRECT(CONCATENATE("Input!",RSE_Setup!$B$17,ROW()+1))),"",INDIRECT(CONCATENATE("Input!",RSE_Setup!$B$17,ROW()+1)))</f>
        <v>4.0000000000000001E-3</v>
      </c>
      <c r="C90" s="1" cm="1">
        <f t="array" aca="1" ref="C90" ca="1">IF(ISBLANK(INDIRECT(CONCATENATE("Input!",RSE_Setup!$B$18,ROW()+1))),"",INDIRECT(CONCATENATE("Input!",RSE_Setup!$B$18,ROW()+1)))</f>
        <v>3.2258000000000002E-2</v>
      </c>
      <c r="D90" s="1" cm="1">
        <f t="array" aca="1" ref="D90" ca="1">IF(ISBLANK(INDIRECT(CONCATENATE("Input!",RSE_Setup!$B$19,ROW()+1))),"",INDIRECT(CONCATENATE("Input!",RSE_Setup!$B$19,ROW()+1)))</f>
        <v>6000</v>
      </c>
      <c r="E90" s="1" cm="1">
        <f t="array" aca="1" ref="E90" ca="1">IF(ISBLANK(INDIRECT(CONCATENATE("Input!",RSE_Setup!$B$30,ROW()+1))),"",INDIRECT(CONCATENATE("Input!",RSE_Setup!$B$30,ROW()+1)))</f>
        <v>6</v>
      </c>
      <c r="F90" s="1">
        <f ca="1"/>
        <v>4.849100286344072</v>
      </c>
    </row>
    <row r="91" spans="1:6" x14ac:dyDescent="0.3">
      <c r="A91" s="1" cm="1">
        <f t="array" aca="1" ref="A91" ca="1">IF(ISBLANK(INDIRECT(CONCATENATE("Input!",RSE_Setup!$B$16,ROW()+1))),"",INDIRECT(CONCATENATE("Input!",RSE_Setup!$B$16,ROW()+1)))</f>
        <v>7.5000000000000002E-4</v>
      </c>
      <c r="B91" s="1" cm="1">
        <f t="array" aca="1" ref="B91" ca="1">IF(ISBLANK(INDIRECT(CONCATENATE("Input!",RSE_Setup!$B$17,ROW()+1))),"",INDIRECT(CONCATENATE("Input!",RSE_Setup!$B$17,ROW()+1)))</f>
        <v>6.0000000000000001E-3</v>
      </c>
      <c r="C91" s="1" cm="1">
        <f t="array" aca="1" ref="C91" ca="1">IF(ISBLANK(INDIRECT(CONCATENATE("Input!",RSE_Setup!$B$18,ROW()+1))),"",INDIRECT(CONCATENATE("Input!",RSE_Setup!$B$18,ROW()+1)))</f>
        <v>5.5556000000000001E-2</v>
      </c>
      <c r="D91" s="1" cm="1">
        <f t="array" aca="1" ref="D91" ca="1">IF(ISBLANK(INDIRECT(CONCATENATE("Input!",RSE_Setup!$B$19,ROW()+1))),"",INDIRECT(CONCATENATE("Input!",RSE_Setup!$B$19,ROW()+1)))</f>
        <v>3375</v>
      </c>
      <c r="E91" s="1" cm="1">
        <f t="array" aca="1" ref="E91" ca="1">IF(ISBLANK(INDIRECT(CONCATENATE("Input!",RSE_Setup!$B$30,ROW()+1))),"",INDIRECT(CONCATENATE("Input!",RSE_Setup!$B$30,ROW()+1)))</f>
        <v>6</v>
      </c>
      <c r="F91" s="1">
        <f ca="1"/>
        <v>5.1453660243664974</v>
      </c>
    </row>
    <row r="92" spans="1:6" x14ac:dyDescent="0.3">
      <c r="A92" s="1" cm="1">
        <f t="array" aca="1" ref="A92" ca="1">IF(ISBLANK(INDIRECT(CONCATENATE("Input!",RSE_Setup!$B$16,ROW()+1))),"",INDIRECT(CONCATENATE("Input!",RSE_Setup!$B$16,ROW()+1)))</f>
        <v>7.5000000000000002E-4</v>
      </c>
      <c r="B92" s="1" cm="1">
        <f t="array" aca="1" ref="B92" ca="1">IF(ISBLANK(INDIRECT(CONCATENATE("Input!",RSE_Setup!$B$17,ROW()+1))),"",INDIRECT(CONCATENATE("Input!",RSE_Setup!$B$17,ROW()+1)))</f>
        <v>6.0000000000000001E-3</v>
      </c>
      <c r="C92" s="1" cm="1">
        <f t="array" aca="1" ref="C92" ca="1">IF(ISBLANK(INDIRECT(CONCATENATE("Input!",RSE_Setup!$B$18,ROW()+1))),"",INDIRECT(CONCATENATE("Input!",RSE_Setup!$B$18,ROW()+1)))</f>
        <v>5.5556000000000001E-2</v>
      </c>
      <c r="D92" s="1" cm="1">
        <f t="array" aca="1" ref="D92" ca="1">IF(ISBLANK(INDIRECT(CONCATENATE("Input!",RSE_Setup!$B$19,ROW()+1))),"",INDIRECT(CONCATENATE("Input!",RSE_Setup!$B$19,ROW()+1)))</f>
        <v>4500</v>
      </c>
      <c r="E92" s="1" cm="1">
        <f t="array" aca="1" ref="E92" ca="1">IF(ISBLANK(INDIRECT(CONCATENATE("Input!",RSE_Setup!$B$30,ROW()+1))),"",INDIRECT(CONCATENATE("Input!",RSE_Setup!$B$30,ROW()+1)))</f>
        <v>6</v>
      </c>
      <c r="F92" s="1">
        <f ca="1"/>
        <v>5.9345849967971835</v>
      </c>
    </row>
    <row r="93" spans="1:6" x14ac:dyDescent="0.3">
      <c r="A93" s="1" cm="1">
        <f t="array" aca="1" ref="A93" ca="1">IF(ISBLANK(INDIRECT(CONCATENATE("Input!",RSE_Setup!$B$16,ROW()+1))),"",INDIRECT(CONCATENATE("Input!",RSE_Setup!$B$16,ROW()+1)))</f>
        <v>7.5000000000000002E-4</v>
      </c>
      <c r="B93" s="1" cm="1">
        <f t="array" aca="1" ref="B93" ca="1">IF(ISBLANK(INDIRECT(CONCATENATE("Input!",RSE_Setup!$B$17,ROW()+1))),"",INDIRECT(CONCATENATE("Input!",RSE_Setup!$B$17,ROW()+1)))</f>
        <v>6.0000000000000001E-3</v>
      </c>
      <c r="C93" s="1" cm="1">
        <f t="array" aca="1" ref="C93" ca="1">IF(ISBLANK(INDIRECT(CONCATENATE("Input!",RSE_Setup!$B$18,ROW()+1))),"",INDIRECT(CONCATENATE("Input!",RSE_Setup!$B$18,ROW()+1)))</f>
        <v>5.5556000000000001E-2</v>
      </c>
      <c r="D93" s="1" cm="1">
        <f t="array" aca="1" ref="D93" ca="1">IF(ISBLANK(INDIRECT(CONCATENATE("Input!",RSE_Setup!$B$19,ROW()+1))),"",INDIRECT(CONCATENATE("Input!",RSE_Setup!$B$19,ROW()+1)))</f>
        <v>6000</v>
      </c>
      <c r="E93" s="1" cm="1">
        <f t="array" aca="1" ref="E93" ca="1">IF(ISBLANK(INDIRECT(CONCATENATE("Input!",RSE_Setup!$B$30,ROW()+1))),"",INDIRECT(CONCATENATE("Input!",RSE_Setup!$B$30,ROW()+1)))</f>
        <v>6</v>
      </c>
      <c r="F93" s="1">
        <f ca="1"/>
        <v>6.7847200768047724</v>
      </c>
    </row>
    <row r="94" spans="1:6" x14ac:dyDescent="0.3">
      <c r="A94" s="1" cm="1">
        <f t="array" aca="1" ref="A94" ca="1">IF(ISBLANK(INDIRECT(CONCATENATE("Input!",RSE_Setup!$B$16,ROW()+1))),"",INDIRECT(CONCATENATE("Input!",RSE_Setup!$B$16,ROW()+1)))</f>
        <v>7.5000000000000002E-4</v>
      </c>
      <c r="B94" s="1" cm="1">
        <f t="array" aca="1" ref="B94" ca="1">IF(ISBLANK(INDIRECT(CONCATENATE("Input!",RSE_Setup!$B$17,ROW()+1))),"",INDIRECT(CONCATENATE("Input!",RSE_Setup!$B$17,ROW()+1)))</f>
        <v>6.0000000000000001E-3</v>
      </c>
      <c r="C94" s="1" cm="1">
        <f t="array" aca="1" ref="C94" ca="1">IF(ISBLANK(INDIRECT(CONCATENATE("Input!",RSE_Setup!$B$18,ROW()+1))),"",INDIRECT(CONCATENATE("Input!",RSE_Setup!$B$18,ROW()+1)))</f>
        <v>3.2258000000000002E-2</v>
      </c>
      <c r="D94" s="1" cm="1">
        <f t="array" aca="1" ref="D94" ca="1">IF(ISBLANK(INDIRECT(CONCATENATE("Input!",RSE_Setup!$B$19,ROW()+1))),"",INDIRECT(CONCATENATE("Input!",RSE_Setup!$B$19,ROW()+1)))</f>
        <v>6000</v>
      </c>
      <c r="E94" s="1" cm="1">
        <f t="array" aca="1" ref="E94" ca="1">IF(ISBLANK(INDIRECT(CONCATENATE("Input!",RSE_Setup!$B$30,ROW()+1))),"",INDIRECT(CONCATENATE("Input!",RSE_Setup!$B$30,ROW()+1)))</f>
        <v>6</v>
      </c>
      <c r="F94" s="1">
        <f ca="1"/>
        <v>4.8214499125796593</v>
      </c>
    </row>
    <row r="95" spans="1:6" x14ac:dyDescent="0.3">
      <c r="A95" s="1" cm="1">
        <f t="array" aca="1" ref="A95" ca="1">IF(ISBLANK(INDIRECT(CONCATENATE("Input!",RSE_Setup!$B$16,ROW()+1))),"",INDIRECT(CONCATENATE("Input!",RSE_Setup!$B$16,ROW()+1)))</f>
        <v>7.5000000000000002E-4</v>
      </c>
      <c r="B95" s="1" cm="1">
        <f t="array" aca="1" ref="B95" ca="1">IF(ISBLANK(INDIRECT(CONCATENATE("Input!",RSE_Setup!$B$17,ROW()+1))),"",INDIRECT(CONCATENATE("Input!",RSE_Setup!$B$17,ROW()+1)))</f>
        <v>8.0000000000000002E-3</v>
      </c>
      <c r="C95" s="1" cm="1">
        <f t="array" aca="1" ref="C95" ca="1">IF(ISBLANK(INDIRECT(CONCATENATE("Input!",RSE_Setup!$B$18,ROW()+1))),"",INDIRECT(CONCATENATE("Input!",RSE_Setup!$B$18,ROW()+1)))</f>
        <v>5.5556000000000001E-2</v>
      </c>
      <c r="D95" s="1" cm="1">
        <f t="array" aca="1" ref="D95" ca="1">IF(ISBLANK(INDIRECT(CONCATENATE("Input!",RSE_Setup!$B$19,ROW()+1))),"",INDIRECT(CONCATENATE("Input!",RSE_Setup!$B$19,ROW()+1)))</f>
        <v>4500</v>
      </c>
      <c r="E95" s="1" cm="1">
        <f t="array" aca="1" ref="E95" ca="1">IF(ISBLANK(INDIRECT(CONCATENATE("Input!",RSE_Setup!$B$30,ROW()+1))),"",INDIRECT(CONCATENATE("Input!",RSE_Setup!$B$30,ROW()+1)))</f>
        <v>6</v>
      </c>
      <c r="F95" s="1">
        <f ca="1"/>
        <v>5.8725647041364892</v>
      </c>
    </row>
    <row r="96" spans="1:6" x14ac:dyDescent="0.3">
      <c r="A96" s="1" cm="1">
        <f t="array" aca="1" ref="A96" ca="1">IF(ISBLANK(INDIRECT(CONCATENATE("Input!",RSE_Setup!$B$16,ROW()+1))),"",INDIRECT(CONCATENATE("Input!",RSE_Setup!$B$16,ROW()+1)))</f>
        <v>7.5000000000000002E-4</v>
      </c>
      <c r="B96" s="1" cm="1">
        <f t="array" aca="1" ref="B96" ca="1">IF(ISBLANK(INDIRECT(CONCATENATE("Input!",RSE_Setup!$B$17,ROW()+1))),"",INDIRECT(CONCATENATE("Input!",RSE_Setup!$B$17,ROW()+1)))</f>
        <v>8.0000000000000002E-3</v>
      </c>
      <c r="C96" s="1" cm="1">
        <f t="array" aca="1" ref="C96" ca="1">IF(ISBLANK(INDIRECT(CONCATENATE("Input!",RSE_Setup!$B$18,ROW()+1))),"",INDIRECT(CONCATENATE("Input!",RSE_Setup!$B$18,ROW()+1)))</f>
        <v>5.5556000000000001E-2</v>
      </c>
      <c r="D96" s="1" cm="1">
        <f t="array" aca="1" ref="D96" ca="1">IF(ISBLANK(INDIRECT(CONCATENATE("Input!",RSE_Setup!$B$19,ROW()+1))),"",INDIRECT(CONCATENATE("Input!",RSE_Setup!$B$19,ROW()+1)))</f>
        <v>6000</v>
      </c>
      <c r="E96" s="1" cm="1">
        <f t="array" aca="1" ref="E96" ca="1">IF(ISBLANK(INDIRECT(CONCATENATE("Input!",RSE_Setup!$B$30,ROW()+1))),"",INDIRECT(CONCATENATE("Input!",RSE_Setup!$B$30,ROW()+1)))</f>
        <v>6</v>
      </c>
      <c r="F96" s="1">
        <f ca="1"/>
        <v>6.7456546437470184</v>
      </c>
    </row>
    <row r="97" spans="1:6" x14ac:dyDescent="0.3">
      <c r="A97" s="1" cm="1">
        <f t="array" aca="1" ref="A97" ca="1">IF(ISBLANK(INDIRECT(CONCATENATE("Input!",RSE_Setup!$B$16,ROW()+1))),"",INDIRECT(CONCATENATE("Input!",RSE_Setup!$B$16,ROW()+1)))</f>
        <v>7.5000000000000002E-4</v>
      </c>
      <c r="B97" s="1" cm="1">
        <f t="array" aca="1" ref="B97" ca="1">IF(ISBLANK(INDIRECT(CONCATENATE("Input!",RSE_Setup!$B$17,ROW()+1))),"",INDIRECT(CONCATENATE("Input!",RSE_Setup!$B$17,ROW()+1)))</f>
        <v>8.0000000000000002E-3</v>
      </c>
      <c r="C97" s="1" cm="1">
        <f t="array" aca="1" ref="C97" ca="1">IF(ISBLANK(INDIRECT(CONCATENATE("Input!",RSE_Setup!$B$18,ROW()+1))),"",INDIRECT(CONCATENATE("Input!",RSE_Setup!$B$18,ROW()+1)))</f>
        <v>3.2258000000000002E-2</v>
      </c>
      <c r="D97" s="1" cm="1">
        <f t="array" aca="1" ref="D97" ca="1">IF(ISBLANK(INDIRECT(CONCATENATE("Input!",RSE_Setup!$B$19,ROW()+1))),"",INDIRECT(CONCATENATE("Input!",RSE_Setup!$B$19,ROW()+1)))</f>
        <v>6000</v>
      </c>
      <c r="E97" s="1" cm="1">
        <f t="array" aca="1" ref="E97" ca="1">IF(ISBLANK(INDIRECT(CONCATENATE("Input!",RSE_Setup!$B$30,ROW()+1))),"",INDIRECT(CONCATENATE("Input!",RSE_Setup!$B$30,ROW()+1)))</f>
        <v>6</v>
      </c>
      <c r="F97" s="1">
        <f ca="1"/>
        <v>4.7759608095355439</v>
      </c>
    </row>
    <row r="98" spans="1:6" x14ac:dyDescent="0.3">
      <c r="A98" s="1" cm="1">
        <f t="array" aca="1" ref="A98" ca="1">IF(ISBLANK(INDIRECT(CONCATENATE("Input!",RSE_Setup!$B$16,ROW()+1))),"",INDIRECT(CONCATENATE("Input!",RSE_Setup!$B$16,ROW()+1)))</f>
        <v>1E-3</v>
      </c>
      <c r="B98" s="1" cm="1">
        <f t="array" aca="1" ref="B98" ca="1">IF(ISBLANK(INDIRECT(CONCATENATE("Input!",RSE_Setup!$B$17,ROW()+1))),"",INDIRECT(CONCATENATE("Input!",RSE_Setup!$B$17,ROW()+1)))</f>
        <v>5.0000000000000001E-3</v>
      </c>
      <c r="C98" s="1" cm="1">
        <f t="array" aca="1" ref="C98" ca="1">IF(ISBLANK(INDIRECT(CONCATENATE("Input!",RSE_Setup!$B$18,ROW()+1))),"",INDIRECT(CONCATENATE("Input!",RSE_Setup!$B$18,ROW()+1)))</f>
        <v>5.5556000000000001E-2</v>
      </c>
      <c r="D98" s="1" cm="1">
        <f t="array" aca="1" ref="D98" ca="1">IF(ISBLANK(INDIRECT(CONCATENATE("Input!",RSE_Setup!$B$19,ROW()+1))),"",INDIRECT(CONCATENATE("Input!",RSE_Setup!$B$19,ROW()+1)))</f>
        <v>3375</v>
      </c>
      <c r="E98" s="1" cm="1">
        <f t="array" aca="1" ref="E98" ca="1">IF(ISBLANK(INDIRECT(CONCATENATE("Input!",RSE_Setup!$B$30,ROW()+1))),"",INDIRECT(CONCATENATE("Input!",RSE_Setup!$B$30,ROW()+1)))</f>
        <v>6</v>
      </c>
      <c r="F98" s="1">
        <f ca="1"/>
        <v>5.2535952289302745</v>
      </c>
    </row>
    <row r="99" spans="1:6" x14ac:dyDescent="0.3">
      <c r="A99" s="1" cm="1">
        <f t="array" aca="1" ref="A99" ca="1">IF(ISBLANK(INDIRECT(CONCATENATE("Input!",RSE_Setup!$B$16,ROW()+1))),"",INDIRECT(CONCATENATE("Input!",RSE_Setup!$B$16,ROW()+1)))</f>
        <v>1E-3</v>
      </c>
      <c r="B99" s="1" cm="1">
        <f t="array" aca="1" ref="B99" ca="1">IF(ISBLANK(INDIRECT(CONCATENATE("Input!",RSE_Setup!$B$17,ROW()+1))),"",INDIRECT(CONCATENATE("Input!",RSE_Setup!$B$17,ROW()+1)))</f>
        <v>5.0000000000000001E-3</v>
      </c>
      <c r="C99" s="1" cm="1">
        <f t="array" aca="1" ref="C99" ca="1">IF(ISBLANK(INDIRECT(CONCATENATE("Input!",RSE_Setup!$B$18,ROW()+1))),"",INDIRECT(CONCATENATE("Input!",RSE_Setup!$B$18,ROW()+1)))</f>
        <v>5.5556000000000001E-2</v>
      </c>
      <c r="D99" s="1" cm="1">
        <f t="array" aca="1" ref="D99" ca="1">IF(ISBLANK(INDIRECT(CONCATENATE("Input!",RSE_Setup!$B$19,ROW()+1))),"",INDIRECT(CONCATENATE("Input!",RSE_Setup!$B$19,ROW()+1)))</f>
        <v>4500</v>
      </c>
      <c r="E99" s="1" cm="1">
        <f t="array" aca="1" ref="E99" ca="1">IF(ISBLANK(INDIRECT(CONCATENATE("Input!",RSE_Setup!$B$30,ROW()+1))),"",INDIRECT(CONCATENATE("Input!",RSE_Setup!$B$30,ROW()+1)))</f>
        <v>6</v>
      </c>
      <c r="F99" s="1">
        <f ca="1"/>
        <v>5.9710587692831281</v>
      </c>
    </row>
    <row r="100" spans="1:6" x14ac:dyDescent="0.3">
      <c r="A100" s="1" cm="1">
        <f t="array" aca="1" ref="A100" ca="1">IF(ISBLANK(INDIRECT(CONCATENATE("Input!",RSE_Setup!$B$16,ROW()+1))),"",INDIRECT(CONCATENATE("Input!",RSE_Setup!$B$16,ROW()+1)))</f>
        <v>1E-3</v>
      </c>
      <c r="B100" s="1" cm="1">
        <f t="array" aca="1" ref="B100" ca="1">IF(ISBLANK(INDIRECT(CONCATENATE("Input!",RSE_Setup!$B$17,ROW()+1))),"",INDIRECT(CONCATENATE("Input!",RSE_Setup!$B$17,ROW()+1)))</f>
        <v>5.0000000000000001E-3</v>
      </c>
      <c r="C100" s="1" cm="1">
        <f t="array" aca="1" ref="C100" ca="1">IF(ISBLANK(INDIRECT(CONCATENATE("Input!",RSE_Setup!$B$18,ROW()+1))),"",INDIRECT(CONCATENATE("Input!",RSE_Setup!$B$18,ROW()+1)))</f>
        <v>5.5556000000000001E-2</v>
      </c>
      <c r="D100" s="1" cm="1">
        <f t="array" aca="1" ref="D100" ca="1">IF(ISBLANK(INDIRECT(CONCATENATE("Input!",RSE_Setup!$B$19,ROW()+1))),"",INDIRECT(CONCATENATE("Input!",RSE_Setup!$B$19,ROW()+1)))</f>
        <v>6000</v>
      </c>
      <c r="E100" s="1" cm="1">
        <f t="array" aca="1" ref="E100" ca="1">IF(ISBLANK(INDIRECT(CONCATENATE("Input!",RSE_Setup!$B$30,ROW()+1))),"",INDIRECT(CONCATENATE("Input!",RSE_Setup!$B$30,ROW()+1)))</f>
        <v>6</v>
      </c>
      <c r="F100" s="1">
        <f ca="1"/>
        <v>6.7255199398536032</v>
      </c>
    </row>
    <row r="101" spans="1:6" x14ac:dyDescent="0.3">
      <c r="A101" s="1" cm="1">
        <f t="array" aca="1" ref="A101" ca="1">IF(ISBLANK(INDIRECT(CONCATENATE("Input!",RSE_Setup!$B$16,ROW()+1))),"",INDIRECT(CONCATENATE("Input!",RSE_Setup!$B$16,ROW()+1)))</f>
        <v>1E-3</v>
      </c>
      <c r="B101" s="1" cm="1">
        <f t="array" aca="1" ref="B101" ca="1">IF(ISBLANK(INDIRECT(CONCATENATE("Input!",RSE_Setup!$B$17,ROW()+1))),"",INDIRECT(CONCATENATE("Input!",RSE_Setup!$B$17,ROW()+1)))</f>
        <v>5.0000000000000001E-3</v>
      </c>
      <c r="C101" s="1" cm="1">
        <f t="array" aca="1" ref="C101" ca="1">IF(ISBLANK(INDIRECT(CONCATENATE("Input!",RSE_Setup!$B$18,ROW()+1))),"",INDIRECT(CONCATENATE("Input!",RSE_Setup!$B$18,ROW()+1)))</f>
        <v>3.2258000000000002E-2</v>
      </c>
      <c r="D101" s="1" cm="1">
        <f t="array" aca="1" ref="D101" ca="1">IF(ISBLANK(INDIRECT(CONCATENATE("Input!",RSE_Setup!$B$19,ROW()+1))),"",INDIRECT(CONCATENATE("Input!",RSE_Setup!$B$19,ROW()+1)))</f>
        <v>6000</v>
      </c>
      <c r="E101" s="1" cm="1">
        <f t="array" aca="1" ref="E101" ca="1">IF(ISBLANK(INDIRECT(CONCATENATE("Input!",RSE_Setup!$B$30,ROW()+1))),"",INDIRECT(CONCATENATE("Input!",RSE_Setup!$B$30,ROW()+1)))</f>
        <v>6</v>
      </c>
      <c r="F101" s="1">
        <f ca="1"/>
        <v>4.7819968963187929</v>
      </c>
    </row>
    <row r="102" spans="1:6" x14ac:dyDescent="0.3">
      <c r="A102" s="1" cm="1">
        <f t="array" aca="1" ref="A102" ca="1">IF(ISBLANK(INDIRECT(CONCATENATE("Input!",RSE_Setup!$B$16,ROW()+1))),"",INDIRECT(CONCATENATE("Input!",RSE_Setup!$B$16,ROW()+1)))</f>
        <v>1E-3</v>
      </c>
      <c r="B102" s="1" cm="1">
        <f t="array" aca="1" ref="B102" ca="1">IF(ISBLANK(INDIRECT(CONCATENATE("Input!",RSE_Setup!$B$17,ROW()+1))),"",INDIRECT(CONCATENATE("Input!",RSE_Setup!$B$17,ROW()+1)))</f>
        <v>6.4999999999999997E-3</v>
      </c>
      <c r="C102" s="1" cm="1">
        <f t="array" aca="1" ref="C102" ca="1">IF(ISBLANK(INDIRECT(CONCATENATE("Input!",RSE_Setup!$B$18,ROW()+1))),"",INDIRECT(CONCATENATE("Input!",RSE_Setup!$B$18,ROW()+1)))</f>
        <v>5.5556000000000001E-2</v>
      </c>
      <c r="D102" s="1" cm="1">
        <f t="array" aca="1" ref="D102" ca="1">IF(ISBLANK(INDIRECT(CONCATENATE("Input!",RSE_Setup!$B$19,ROW()+1))),"",INDIRECT(CONCATENATE("Input!",RSE_Setup!$B$19,ROW()+1)))</f>
        <v>3375</v>
      </c>
      <c r="E102" s="1" cm="1">
        <f t="array" aca="1" ref="E102" ca="1">IF(ISBLANK(INDIRECT(CONCATENATE("Input!",RSE_Setup!$B$30,ROW()+1))),"",INDIRECT(CONCATENATE("Input!",RSE_Setup!$B$30,ROW()+1)))</f>
        <v>6</v>
      </c>
      <c r="F102" s="1">
        <f ca="1"/>
        <v>5.2157700017237314</v>
      </c>
    </row>
    <row r="103" spans="1:6" x14ac:dyDescent="0.3">
      <c r="A103" s="1" cm="1">
        <f t="array" aca="1" ref="A103" ca="1">IF(ISBLANK(INDIRECT(CONCATENATE("Input!",RSE_Setup!$B$16,ROW()+1))),"",INDIRECT(CONCATENATE("Input!",RSE_Setup!$B$16,ROW()+1)))</f>
        <v>1E-3</v>
      </c>
      <c r="B103" s="1" cm="1">
        <f t="array" aca="1" ref="B103" ca="1">IF(ISBLANK(INDIRECT(CONCATENATE("Input!",RSE_Setup!$B$17,ROW()+1))),"",INDIRECT(CONCATENATE("Input!",RSE_Setup!$B$17,ROW()+1)))</f>
        <v>6.4999999999999997E-3</v>
      </c>
      <c r="C103" s="1" cm="1">
        <f t="array" aca="1" ref="C103" ca="1">IF(ISBLANK(INDIRECT(CONCATENATE("Input!",RSE_Setup!$B$18,ROW()+1))),"",INDIRECT(CONCATENATE("Input!",RSE_Setup!$B$18,ROW()+1)))</f>
        <v>5.5556000000000001E-2</v>
      </c>
      <c r="D103" s="1" cm="1">
        <f t="array" aca="1" ref="D103" ca="1">IF(ISBLANK(INDIRECT(CONCATENATE("Input!",RSE_Setup!$B$19,ROW()+1))),"",INDIRECT(CONCATENATE("Input!",RSE_Setup!$B$19,ROW()+1)))</f>
        <v>4500</v>
      </c>
      <c r="E103" s="1" cm="1">
        <f t="array" aca="1" ref="E103" ca="1">IF(ISBLANK(INDIRECT(CONCATENATE("Input!",RSE_Setup!$B$30,ROW()+1))),"",INDIRECT(CONCATENATE("Input!",RSE_Setup!$B$30,ROW()+1)))</f>
        <v>6</v>
      </c>
      <c r="F103" s="1">
        <f ca="1"/>
        <v>5.9461456506032357</v>
      </c>
    </row>
    <row r="104" spans="1:6" x14ac:dyDescent="0.3">
      <c r="A104" s="1" cm="1">
        <f t="array" aca="1" ref="A104" ca="1">IF(ISBLANK(INDIRECT(CONCATENATE("Input!",RSE_Setup!$B$16,ROW()+1))),"",INDIRECT(CONCATENATE("Input!",RSE_Setup!$B$16,ROW()+1)))</f>
        <v>1E-3</v>
      </c>
      <c r="B104" s="1" cm="1">
        <f t="array" aca="1" ref="B104" ca="1">IF(ISBLANK(INDIRECT(CONCATENATE("Input!",RSE_Setup!$B$17,ROW()+1))),"",INDIRECT(CONCATENATE("Input!",RSE_Setup!$B$17,ROW()+1)))</f>
        <v>6.4999999999999997E-3</v>
      </c>
      <c r="C104" s="1" cm="1">
        <f t="array" aca="1" ref="C104" ca="1">IF(ISBLANK(INDIRECT(CONCATENATE("Input!",RSE_Setup!$B$18,ROW()+1))),"",INDIRECT(CONCATENATE("Input!",RSE_Setup!$B$18,ROW()+1)))</f>
        <v>5.5556000000000001E-2</v>
      </c>
      <c r="D104" s="1" cm="1">
        <f t="array" aca="1" ref="D104" ca="1">IF(ISBLANK(INDIRECT(CONCATENATE("Input!",RSE_Setup!$B$19,ROW()+1))),"",INDIRECT(CONCATENATE("Input!",RSE_Setup!$B$19,ROW()+1)))</f>
        <v>6000</v>
      </c>
      <c r="E104" s="1" cm="1">
        <f t="array" aca="1" ref="E104" ca="1">IF(ISBLANK(INDIRECT(CONCATENATE("Input!",RSE_Setup!$B$30,ROW()+1))),"",INDIRECT(CONCATENATE("Input!",RSE_Setup!$B$30,ROW()+1)))</f>
        <v>6</v>
      </c>
      <c r="F104" s="1">
        <f ca="1"/>
        <v>6.7178229658759196</v>
      </c>
    </row>
    <row r="105" spans="1:6" x14ac:dyDescent="0.3">
      <c r="A105" s="1" cm="1">
        <f t="array" aca="1" ref="A105" ca="1">IF(ISBLANK(INDIRECT(CONCATENATE("Input!",RSE_Setup!$B$16,ROW()+1))),"",INDIRECT(CONCATENATE("Input!",RSE_Setup!$B$16,ROW()+1)))</f>
        <v>1E-3</v>
      </c>
      <c r="B105" s="1" cm="1">
        <f t="array" aca="1" ref="B105" ca="1">IF(ISBLANK(INDIRECT(CONCATENATE("Input!",RSE_Setup!$B$17,ROW()+1))),"",INDIRECT(CONCATENATE("Input!",RSE_Setup!$B$17,ROW()+1)))</f>
        <v>6.4999999999999997E-3</v>
      </c>
      <c r="C105" s="1" cm="1">
        <f t="array" aca="1" ref="C105" ca="1">IF(ISBLANK(INDIRECT(CONCATENATE("Input!",RSE_Setup!$B$18,ROW()+1))),"",INDIRECT(CONCATENATE("Input!",RSE_Setup!$B$18,ROW()+1)))</f>
        <v>3.2258000000000002E-2</v>
      </c>
      <c r="D105" s="1" cm="1">
        <f t="array" aca="1" ref="D105" ca="1">IF(ISBLANK(INDIRECT(CONCATENATE("Input!",RSE_Setup!$B$19,ROW()+1))),"",INDIRECT(CONCATENATE("Input!",RSE_Setup!$B$19,ROW()+1)))</f>
        <v>6000</v>
      </c>
      <c r="E105" s="1" cm="1">
        <f t="array" aca="1" ref="E105" ca="1">IF(ISBLANK(INDIRECT(CONCATENATE("Input!",RSE_Setup!$B$30,ROW()+1))),"",INDIRECT(CONCATENATE("Input!",RSE_Setup!$B$30,ROW()+1)))</f>
        <v>6</v>
      </c>
      <c r="F105" s="1">
        <f ca="1"/>
        <v>4.7694821698513419</v>
      </c>
    </row>
    <row r="106" spans="1:6" x14ac:dyDescent="0.3">
      <c r="A106" s="1" cm="1">
        <f t="array" aca="1" ref="A106" ca="1">IF(ISBLANK(INDIRECT(CONCATENATE("Input!",RSE_Setup!$B$16,ROW()+1))),"",INDIRECT(CONCATENATE("Input!",RSE_Setup!$B$16,ROW()+1)))</f>
        <v>1E-3</v>
      </c>
      <c r="B106" s="1" cm="1">
        <f t="array" aca="1" ref="B106" ca="1">IF(ISBLANK(INDIRECT(CONCATENATE("Input!",RSE_Setup!$B$17,ROW()+1))),"",INDIRECT(CONCATENATE("Input!",RSE_Setup!$B$17,ROW()+1)))</f>
        <v>8.0000000000000002E-3</v>
      </c>
      <c r="C106" s="1" cm="1">
        <f t="array" aca="1" ref="C106" ca="1">IF(ISBLANK(INDIRECT(CONCATENATE("Input!",RSE_Setup!$B$18,ROW()+1))),"",INDIRECT(CONCATENATE("Input!",RSE_Setup!$B$18,ROW()+1)))</f>
        <v>5.5556000000000001E-2</v>
      </c>
      <c r="D106" s="1" cm="1">
        <f t="array" aca="1" ref="D106" ca="1">IF(ISBLANK(INDIRECT(CONCATENATE("Input!",RSE_Setup!$B$19,ROW()+1))),"",INDIRECT(CONCATENATE("Input!",RSE_Setup!$B$19,ROW()+1)))</f>
        <v>4500</v>
      </c>
      <c r="E106" s="1" cm="1">
        <f t="array" aca="1" ref="E106" ca="1">IF(ISBLANK(INDIRECT(CONCATENATE("Input!",RSE_Setup!$B$30,ROW()+1))),"",INDIRECT(CONCATENATE("Input!",RSE_Setup!$B$30,ROW()+1)))</f>
        <v>6</v>
      </c>
      <c r="F106" s="1">
        <f ca="1"/>
        <v>5.9111982467035142</v>
      </c>
    </row>
    <row r="107" spans="1:6" x14ac:dyDescent="0.3">
      <c r="A107" s="1" cm="1">
        <f t="array" aca="1" ref="A107" ca="1">IF(ISBLANK(INDIRECT(CONCATENATE("Input!",RSE_Setup!$B$16,ROW()+1))),"",INDIRECT(CONCATENATE("Input!",RSE_Setup!$B$16,ROW()+1)))</f>
        <v>1E-3</v>
      </c>
      <c r="B107" s="1" cm="1">
        <f t="array" aca="1" ref="B107" ca="1">IF(ISBLANK(INDIRECT(CONCATENATE("Input!",RSE_Setup!$B$17,ROW()+1))),"",INDIRECT(CONCATENATE("Input!",RSE_Setup!$B$17,ROW()+1)))</f>
        <v>8.0000000000000002E-3</v>
      </c>
      <c r="C107" s="1" cm="1">
        <f t="array" aca="1" ref="C107" ca="1">IF(ISBLANK(INDIRECT(CONCATENATE("Input!",RSE_Setup!$B$18,ROW()+1))),"",INDIRECT(CONCATENATE("Input!",RSE_Setup!$B$18,ROW()+1)))</f>
        <v>5.5556000000000001E-2</v>
      </c>
      <c r="D107" s="1" cm="1">
        <f t="array" aca="1" ref="D107" ca="1">IF(ISBLANK(INDIRECT(CONCATENATE("Input!",RSE_Setup!$B$19,ROW()+1))),"",INDIRECT(CONCATENATE("Input!",RSE_Setup!$B$19,ROW()+1)))</f>
        <v>6000</v>
      </c>
      <c r="E107" s="1" cm="1">
        <f t="array" aca="1" ref="E107" ca="1">IF(ISBLANK(INDIRECT(CONCATENATE("Input!",RSE_Setup!$B$30,ROW()+1))),"",INDIRECT(CONCATENATE("Input!",RSE_Setup!$B$30,ROW()+1)))</f>
        <v>6</v>
      </c>
      <c r="F107" s="1">
        <f ca="1"/>
        <v>6.7000917066784016</v>
      </c>
    </row>
    <row r="108" spans="1:6" x14ac:dyDescent="0.3">
      <c r="A108" s="1" cm="1">
        <f t="array" aca="1" ref="A108" ca="1">IF(ISBLANK(INDIRECT(CONCATENATE("Input!",RSE_Setup!$B$16,ROW()+1))),"",INDIRECT(CONCATENATE("Input!",RSE_Setup!$B$16,ROW()+1)))</f>
        <v>1E-3</v>
      </c>
      <c r="B108" s="1" cm="1">
        <f t="array" aca="1" ref="B108" ca="1">IF(ISBLANK(INDIRECT(CONCATENATE("Input!",RSE_Setup!$B$17,ROW()+1))),"",INDIRECT(CONCATENATE("Input!",RSE_Setup!$B$17,ROW()+1)))</f>
        <v>8.0000000000000002E-3</v>
      </c>
      <c r="C108" s="1" cm="1">
        <f t="array" aca="1" ref="C108" ca="1">IF(ISBLANK(INDIRECT(CONCATENATE("Input!",RSE_Setup!$B$18,ROW()+1))),"",INDIRECT(CONCATENATE("Input!",RSE_Setup!$B$18,ROW()+1)))</f>
        <v>3.2258000000000002E-2</v>
      </c>
      <c r="D108" s="1" cm="1">
        <f t="array" aca="1" ref="D108" ca="1">IF(ISBLANK(INDIRECT(CONCATENATE("Input!",RSE_Setup!$B$19,ROW()+1))),"",INDIRECT(CONCATENATE("Input!",RSE_Setup!$B$19,ROW()+1)))</f>
        <v>6000</v>
      </c>
      <c r="E108" s="1" cm="1">
        <f t="array" aca="1" ref="E108" ca="1">IF(ISBLANK(INDIRECT(CONCATENATE("Input!",RSE_Setup!$B$30,ROW()+1))),"",INDIRECT(CONCATENATE("Input!",RSE_Setup!$B$30,ROW()+1)))</f>
        <v>6</v>
      </c>
      <c r="F108" s="1">
        <f ca="1"/>
        <v>4.7469331581640546</v>
      </c>
    </row>
    <row r="109" spans="1:6" x14ac:dyDescent="0.3">
      <c r="A109" s="1" cm="1">
        <f t="array" aca="1" ref="A109" ca="1">IF(ISBLANK(INDIRECT(CONCATENATE("Input!",RSE_Setup!$B$16,ROW()+1))),"",INDIRECT(CONCATENATE("Input!",RSE_Setup!$B$16,ROW()+1)))</f>
        <v>2.9999999999999997E-4</v>
      </c>
      <c r="B109" s="1" cm="1">
        <f t="array" aca="1" ref="B109" ca="1">IF(ISBLANK(INDIRECT(CONCATENATE("Input!",RSE_Setup!$B$17,ROW()+1))),"",INDIRECT(CONCATENATE("Input!",RSE_Setup!$B$17,ROW()+1)))</f>
        <v>2E-3</v>
      </c>
      <c r="C109" s="1" cm="1">
        <f t="array" aca="1" ref="C109" ca="1">IF(ISBLANK(INDIRECT(CONCATENATE("Input!",RSE_Setup!$B$18,ROW()+1))),"",INDIRECT(CONCATENATE("Input!",RSE_Setup!$B$18,ROW()+1)))</f>
        <v>5.5556000000000001E-2</v>
      </c>
      <c r="D109" s="1" cm="1">
        <f t="array" aca="1" ref="D109" ca="1">IF(ISBLANK(INDIRECT(CONCATENATE("Input!",RSE_Setup!$B$19,ROW()+1))),"",INDIRECT(CONCATENATE("Input!",RSE_Setup!$B$19,ROW()+1)))</f>
        <v>5500</v>
      </c>
      <c r="E109" s="1" cm="1">
        <f t="array" aca="1" ref="E109" ca="1">IF(ISBLANK(INDIRECT(CONCATENATE("Input!",RSE_Setup!$B$30,ROW()+1))),"",INDIRECT(CONCATENATE("Input!",RSE_Setup!$B$30,ROW()+1)))</f>
        <v>8</v>
      </c>
      <c r="F109" s="1">
        <f ca="1"/>
        <v>6.6866222628924836</v>
      </c>
    </row>
    <row r="110" spans="1:6" x14ac:dyDescent="0.3">
      <c r="A110" s="1" cm="1">
        <f t="array" aca="1" ref="A110" ca="1">IF(ISBLANK(INDIRECT(CONCATENATE("Input!",RSE_Setup!$B$16,ROW()+1))),"",INDIRECT(CONCATENATE("Input!",RSE_Setup!$B$16,ROW()+1)))</f>
        <v>2.9999999999999997E-4</v>
      </c>
      <c r="B110" s="1" cm="1">
        <f t="array" aca="1" ref="B110" ca="1">IF(ISBLANK(INDIRECT(CONCATENATE("Input!",RSE_Setup!$B$17,ROW()+1))),"",INDIRECT(CONCATENATE("Input!",RSE_Setup!$B$17,ROW()+1)))</f>
        <v>2E-3</v>
      </c>
      <c r="C110" s="1" cm="1">
        <f t="array" aca="1" ref="C110" ca="1">IF(ISBLANK(INDIRECT(CONCATENATE("Input!",RSE_Setup!$B$18,ROW()+1))),"",INDIRECT(CONCATENATE("Input!",RSE_Setup!$B$18,ROW()+1)))</f>
        <v>5.5556000000000001E-2</v>
      </c>
      <c r="D110" s="1" cm="1">
        <f t="array" aca="1" ref="D110" ca="1">IF(ISBLANK(INDIRECT(CONCATENATE("Input!",RSE_Setup!$B$19,ROW()+1))),"",INDIRECT(CONCATENATE("Input!",RSE_Setup!$B$19,ROW()+1)))</f>
        <v>7500</v>
      </c>
      <c r="E110" s="1" cm="1">
        <f t="array" aca="1" ref="E110" ca="1">IF(ISBLANK(INDIRECT(CONCATENATE("Input!",RSE_Setup!$B$30,ROW()+1))),"",INDIRECT(CONCATENATE("Input!",RSE_Setup!$B$30,ROW()+1)))</f>
        <v>8</v>
      </c>
      <c r="F110" s="1">
        <f ca="1"/>
        <v>7.7042871417748042</v>
      </c>
    </row>
    <row r="111" spans="1:6" x14ac:dyDescent="0.3">
      <c r="A111" s="1" cm="1">
        <f t="array" aca="1" ref="A111" ca="1">IF(ISBLANK(INDIRECT(CONCATENATE("Input!",RSE_Setup!$B$16,ROW()+1))),"",INDIRECT(CONCATENATE("Input!",RSE_Setup!$B$16,ROW()+1)))</f>
        <v>2.9999999999999997E-4</v>
      </c>
      <c r="B111" s="1" cm="1">
        <f t="array" aca="1" ref="B111" ca="1">IF(ISBLANK(INDIRECT(CONCATENATE("Input!",RSE_Setup!$B$17,ROW()+1))),"",INDIRECT(CONCATENATE("Input!",RSE_Setup!$B$17,ROW()+1)))</f>
        <v>2E-3</v>
      </c>
      <c r="C111" s="1" cm="1">
        <f t="array" aca="1" ref="C111" ca="1">IF(ISBLANK(INDIRECT(CONCATENATE("Input!",RSE_Setup!$B$18,ROW()+1))),"",INDIRECT(CONCATENATE("Input!",RSE_Setup!$B$18,ROW()+1)))</f>
        <v>5.5556000000000001E-2</v>
      </c>
      <c r="D111" s="1" cm="1">
        <f t="array" aca="1" ref="D111" ca="1">IF(ISBLANK(INDIRECT(CONCATENATE("Input!",RSE_Setup!$B$19,ROW()+1))),"",INDIRECT(CONCATENATE("Input!",RSE_Setup!$B$19,ROW()+1)))</f>
        <v>9500</v>
      </c>
      <c r="E111" s="1" cm="1">
        <f t="array" aca="1" ref="E111" ca="1">IF(ISBLANK(INDIRECT(CONCATENATE("Input!",RSE_Setup!$B$30,ROW()+1))),"",INDIRECT(CONCATENATE("Input!",RSE_Setup!$B$30,ROW()+1)))</f>
        <v>8</v>
      </c>
      <c r="F111" s="1">
        <f ca="1"/>
        <v>8.3112205753576589</v>
      </c>
    </row>
    <row r="112" spans="1:6" x14ac:dyDescent="0.3">
      <c r="A112" s="1" cm="1">
        <f t="array" aca="1" ref="A112" ca="1">IF(ISBLANK(INDIRECT(CONCATENATE("Input!",RSE_Setup!$B$16,ROW()+1))),"",INDIRECT(CONCATENATE("Input!",RSE_Setup!$B$16,ROW()+1)))</f>
        <v>2.9999999999999997E-4</v>
      </c>
      <c r="B112" s="1" cm="1">
        <f t="array" aca="1" ref="B112" ca="1">IF(ISBLANK(INDIRECT(CONCATENATE("Input!",RSE_Setup!$B$17,ROW()+1))),"",INDIRECT(CONCATENATE("Input!",RSE_Setup!$B$17,ROW()+1)))</f>
        <v>2E-3</v>
      </c>
      <c r="C112" s="1" cm="1">
        <f t="array" aca="1" ref="C112" ca="1">IF(ISBLANK(INDIRECT(CONCATENATE("Input!",RSE_Setup!$B$18,ROW()+1))),"",INDIRECT(CONCATENATE("Input!",RSE_Setup!$B$18,ROW()+1)))</f>
        <v>3.2258000000000002E-2</v>
      </c>
      <c r="D112" s="1" cm="1">
        <f t="array" aca="1" ref="D112" ca="1">IF(ISBLANK(INDIRECT(CONCATENATE("Input!",RSE_Setup!$B$19,ROW()+1))),"",INDIRECT(CONCATENATE("Input!",RSE_Setup!$B$19,ROW()+1)))</f>
        <v>9500</v>
      </c>
      <c r="E112" s="1" cm="1">
        <f t="array" aca="1" ref="E112" ca="1">IF(ISBLANK(INDIRECT(CONCATENATE("Input!",RSE_Setup!$B$30,ROW()+1))),"",INDIRECT(CONCATENATE("Input!",RSE_Setup!$B$30,ROW()+1)))</f>
        <v>8</v>
      </c>
      <c r="F112" s="1">
        <f ca="1"/>
        <v>6.7247491146330178</v>
      </c>
    </row>
    <row r="113" spans="1:6" x14ac:dyDescent="0.3">
      <c r="A113" s="1" cm="1">
        <f t="array" aca="1" ref="A113" ca="1">IF(ISBLANK(INDIRECT(CONCATENATE("Input!",RSE_Setup!$B$16,ROW()+1))),"",INDIRECT(CONCATENATE("Input!",RSE_Setup!$B$16,ROW()+1)))</f>
        <v>2.9999999999999997E-4</v>
      </c>
      <c r="B113" s="1" cm="1">
        <f t="array" aca="1" ref="B113" ca="1">IF(ISBLANK(INDIRECT(CONCATENATE("Input!",RSE_Setup!$B$17,ROW()+1))),"",INDIRECT(CONCATENATE("Input!",RSE_Setup!$B$17,ROW()+1)))</f>
        <v>3.0000000000000001E-3</v>
      </c>
      <c r="C113" s="1" cm="1">
        <f t="array" aca="1" ref="C113" ca="1">IF(ISBLANK(INDIRECT(CONCATENATE("Input!",RSE_Setup!$B$18,ROW()+1))),"",INDIRECT(CONCATENATE("Input!",RSE_Setup!$B$18,ROW()+1)))</f>
        <v>5.5556000000000001E-2</v>
      </c>
      <c r="D113" s="1" cm="1">
        <f t="array" aca="1" ref="D113" ca="1">IF(ISBLANK(INDIRECT(CONCATENATE("Input!",RSE_Setup!$B$19,ROW()+1))),"",INDIRECT(CONCATENATE("Input!",RSE_Setup!$B$19,ROW()+1)))</f>
        <v>5500</v>
      </c>
      <c r="E113" s="1" cm="1">
        <f t="array" aca="1" ref="E113" ca="1">IF(ISBLANK(INDIRECT(CONCATENATE("Input!",RSE_Setup!$B$30,ROW()+1))),"",INDIRECT(CONCATENATE("Input!",RSE_Setup!$B$30,ROW()+1)))</f>
        <v>8</v>
      </c>
      <c r="F113" s="1">
        <f ca="1"/>
        <v>6.6674440711105207</v>
      </c>
    </row>
    <row r="114" spans="1:6" x14ac:dyDescent="0.3">
      <c r="A114" s="1" cm="1">
        <f t="array" aca="1" ref="A114" ca="1">IF(ISBLANK(INDIRECT(CONCATENATE("Input!",RSE_Setup!$B$16,ROW()+1))),"",INDIRECT(CONCATENATE("Input!",RSE_Setup!$B$16,ROW()+1)))</f>
        <v>2.9999999999999997E-4</v>
      </c>
      <c r="B114" s="1" cm="1">
        <f t="array" aca="1" ref="B114" ca="1">IF(ISBLANK(INDIRECT(CONCATENATE("Input!",RSE_Setup!$B$17,ROW()+1))),"",INDIRECT(CONCATENATE("Input!",RSE_Setup!$B$17,ROW()+1)))</f>
        <v>3.0000000000000001E-3</v>
      </c>
      <c r="C114" s="1" cm="1">
        <f t="array" aca="1" ref="C114" ca="1">IF(ISBLANK(INDIRECT(CONCATENATE("Input!",RSE_Setup!$B$18,ROW()+1))),"",INDIRECT(CONCATENATE("Input!",RSE_Setup!$B$18,ROW()+1)))</f>
        <v>5.5556000000000001E-2</v>
      </c>
      <c r="D114" s="1" cm="1">
        <f t="array" aca="1" ref="D114" ca="1">IF(ISBLANK(INDIRECT(CONCATENATE("Input!",RSE_Setup!$B$19,ROW()+1))),"",INDIRECT(CONCATENATE("Input!",RSE_Setup!$B$19,ROW()+1)))</f>
        <v>7500</v>
      </c>
      <c r="E114" s="1" cm="1">
        <f t="array" aca="1" ref="E114" ca="1">IF(ISBLANK(INDIRECT(CONCATENATE("Input!",RSE_Setup!$B$30,ROW()+1))),"",INDIRECT(CONCATENATE("Input!",RSE_Setup!$B$30,ROW()+1)))</f>
        <v>8</v>
      </c>
      <c r="F114" s="1">
        <f ca="1"/>
        <v>7.7004121897281355</v>
      </c>
    </row>
    <row r="115" spans="1:6" x14ac:dyDescent="0.3">
      <c r="A115" s="1" cm="1">
        <f t="array" aca="1" ref="A115" ca="1">IF(ISBLANK(INDIRECT(CONCATENATE("Input!",RSE_Setup!$B$16,ROW()+1))),"",INDIRECT(CONCATENATE("Input!",RSE_Setup!$B$16,ROW()+1)))</f>
        <v>2.9999999999999997E-4</v>
      </c>
      <c r="B115" s="1" cm="1">
        <f t="array" aca="1" ref="B115" ca="1">IF(ISBLANK(INDIRECT(CONCATENATE("Input!",RSE_Setup!$B$17,ROW()+1))),"",INDIRECT(CONCATENATE("Input!",RSE_Setup!$B$17,ROW()+1)))</f>
        <v>3.0000000000000001E-3</v>
      </c>
      <c r="C115" s="1" cm="1">
        <f t="array" aca="1" ref="C115" ca="1">IF(ISBLANK(INDIRECT(CONCATENATE("Input!",RSE_Setup!$B$18,ROW()+1))),"",INDIRECT(CONCATENATE("Input!",RSE_Setup!$B$18,ROW()+1)))</f>
        <v>5.5556000000000001E-2</v>
      </c>
      <c r="D115" s="1" cm="1">
        <f t="array" aca="1" ref="D115" ca="1">IF(ISBLANK(INDIRECT(CONCATENATE("Input!",RSE_Setup!$B$19,ROW()+1))),"",INDIRECT(CONCATENATE("Input!",RSE_Setup!$B$19,ROW()+1)))</f>
        <v>9500</v>
      </c>
      <c r="E115" s="1" cm="1">
        <f t="array" aca="1" ref="E115" ca="1">IF(ISBLANK(INDIRECT(CONCATENATE("Input!",RSE_Setup!$B$30,ROW()+1))),"",INDIRECT(CONCATENATE("Input!",RSE_Setup!$B$30,ROW()+1)))</f>
        <v>8</v>
      </c>
      <c r="F115" s="1">
        <f ca="1"/>
        <v>8.3226488630462825</v>
      </c>
    </row>
    <row r="116" spans="1:6" x14ac:dyDescent="0.3">
      <c r="A116" s="1" cm="1">
        <f t="array" aca="1" ref="A116" ca="1">IF(ISBLANK(INDIRECT(CONCATENATE("Input!",RSE_Setup!$B$16,ROW()+1))),"",INDIRECT(CONCATENATE("Input!",RSE_Setup!$B$16,ROW()+1)))</f>
        <v>2.9999999999999997E-4</v>
      </c>
      <c r="B116" s="1" cm="1">
        <f t="array" aca="1" ref="B116" ca="1">IF(ISBLANK(INDIRECT(CONCATENATE("Input!",RSE_Setup!$B$17,ROW()+1))),"",INDIRECT(CONCATENATE("Input!",RSE_Setup!$B$17,ROW()+1)))</f>
        <v>3.0000000000000001E-3</v>
      </c>
      <c r="C116" s="1" cm="1">
        <f t="array" aca="1" ref="C116" ca="1">IF(ISBLANK(INDIRECT(CONCATENATE("Input!",RSE_Setup!$B$18,ROW()+1))),"",INDIRECT(CONCATENATE("Input!",RSE_Setup!$B$18,ROW()+1)))</f>
        <v>3.2258000000000002E-2</v>
      </c>
      <c r="D116" s="1" cm="1">
        <f t="array" aca="1" ref="D116" ca="1">IF(ISBLANK(INDIRECT(CONCATENATE("Input!",RSE_Setup!$B$19,ROW()+1))),"",INDIRECT(CONCATENATE("Input!",RSE_Setup!$B$19,ROW()+1)))</f>
        <v>9500</v>
      </c>
      <c r="E116" s="1" cm="1">
        <f t="array" aca="1" ref="E116" ca="1">IF(ISBLANK(INDIRECT(CONCATENATE("Input!",RSE_Setup!$B$30,ROW()+1))),"",INDIRECT(CONCATENATE("Input!",RSE_Setup!$B$30,ROW()+1)))</f>
        <v>8</v>
      </c>
      <c r="F116" s="1">
        <f ca="1"/>
        <v>6.7329655673284643</v>
      </c>
    </row>
    <row r="117" spans="1:6" x14ac:dyDescent="0.3">
      <c r="A117" s="1" cm="1">
        <f t="array" aca="1" ref="A117" ca="1">IF(ISBLANK(INDIRECT(CONCATENATE("Input!",RSE_Setup!$B$16,ROW()+1))),"",INDIRECT(CONCATENATE("Input!",RSE_Setup!$B$16,ROW()+1)))</f>
        <v>2.9999999999999997E-4</v>
      </c>
      <c r="B117" s="1" cm="1">
        <f t="array" aca="1" ref="B117" ca="1">IF(ISBLANK(INDIRECT(CONCATENATE("Input!",RSE_Setup!$B$17,ROW()+1))),"",INDIRECT(CONCATENATE("Input!",RSE_Setup!$B$17,ROW()+1)))</f>
        <v>4.0000000000000001E-3</v>
      </c>
      <c r="C117" s="1" cm="1">
        <f t="array" aca="1" ref="C117" ca="1">IF(ISBLANK(INDIRECT(CONCATENATE("Input!",RSE_Setup!$B$18,ROW()+1))),"",INDIRECT(CONCATENATE("Input!",RSE_Setup!$B$18,ROW()+1)))</f>
        <v>5.5556000000000001E-2</v>
      </c>
      <c r="D117" s="1" cm="1">
        <f t="array" aca="1" ref="D117" ca="1">IF(ISBLANK(INDIRECT(CONCATENATE("Input!",RSE_Setup!$B$19,ROW()+1))),"",INDIRECT(CONCATENATE("Input!",RSE_Setup!$B$19,ROW()+1)))</f>
        <v>5500</v>
      </c>
      <c r="E117" s="1" cm="1">
        <f t="array" aca="1" ref="E117" ca="1">IF(ISBLANK(INDIRECT(CONCATENATE("Input!",RSE_Setup!$B$30,ROW()+1))),"",INDIRECT(CONCATENATE("Input!",RSE_Setup!$B$30,ROW()+1)))</f>
        <v>8</v>
      </c>
      <c r="F117" s="1">
        <f ca="1"/>
        <v>6.6438061970086357</v>
      </c>
    </row>
    <row r="118" spans="1:6" x14ac:dyDescent="0.3">
      <c r="A118" s="1" cm="1">
        <f t="array" aca="1" ref="A118" ca="1">IF(ISBLANK(INDIRECT(CONCATENATE("Input!",RSE_Setup!$B$16,ROW()+1))),"",INDIRECT(CONCATENATE("Input!",RSE_Setup!$B$16,ROW()+1)))</f>
        <v>2.9999999999999997E-4</v>
      </c>
      <c r="B118" s="1" cm="1">
        <f t="array" aca="1" ref="B118" ca="1">IF(ISBLANK(INDIRECT(CONCATENATE("Input!",RSE_Setup!$B$17,ROW()+1))),"",INDIRECT(CONCATENATE("Input!",RSE_Setup!$B$17,ROW()+1)))</f>
        <v>4.0000000000000001E-3</v>
      </c>
      <c r="C118" s="1" cm="1">
        <f t="array" aca="1" ref="C118" ca="1">IF(ISBLANK(INDIRECT(CONCATENATE("Input!",RSE_Setup!$B$18,ROW()+1))),"",INDIRECT(CONCATENATE("Input!",RSE_Setup!$B$18,ROW()+1)))</f>
        <v>5.5556000000000001E-2</v>
      </c>
      <c r="D118" s="1" cm="1">
        <f t="array" aca="1" ref="D118" ca="1">IF(ISBLANK(INDIRECT(CONCATENATE("Input!",RSE_Setup!$B$19,ROW()+1))),"",INDIRECT(CONCATENATE("Input!",RSE_Setup!$B$19,ROW()+1)))</f>
        <v>7500</v>
      </c>
      <c r="E118" s="1" cm="1">
        <f t="array" aca="1" ref="E118" ca="1">IF(ISBLANK(INDIRECT(CONCATENATE("Input!",RSE_Setup!$B$30,ROW()+1))),"",INDIRECT(CONCATENATE("Input!",RSE_Setup!$B$30,ROW()+1)))</f>
        <v>8</v>
      </c>
      <c r="F118" s="1">
        <f ca="1"/>
        <v>7.6920775553615446</v>
      </c>
    </row>
    <row r="119" spans="1:6" x14ac:dyDescent="0.3">
      <c r="A119" s="1" cm="1">
        <f t="array" aca="1" ref="A119" ca="1">IF(ISBLANK(INDIRECT(CONCATENATE("Input!",RSE_Setup!$B$16,ROW()+1))),"",INDIRECT(CONCATENATE("Input!",RSE_Setup!$B$16,ROW()+1)))</f>
        <v>2.9999999999999997E-4</v>
      </c>
      <c r="B119" s="1" cm="1">
        <f t="array" aca="1" ref="B119" ca="1">IF(ISBLANK(INDIRECT(CONCATENATE("Input!",RSE_Setup!$B$17,ROW()+1))),"",INDIRECT(CONCATENATE("Input!",RSE_Setup!$B$17,ROW()+1)))</f>
        <v>4.0000000000000001E-3</v>
      </c>
      <c r="C119" s="1" cm="1">
        <f t="array" aca="1" ref="C119" ca="1">IF(ISBLANK(INDIRECT(CONCATENATE("Input!",RSE_Setup!$B$18,ROW()+1))),"",INDIRECT(CONCATENATE("Input!",RSE_Setup!$B$18,ROW()+1)))</f>
        <v>5.5556000000000001E-2</v>
      </c>
      <c r="D119" s="1" cm="1">
        <f t="array" aca="1" ref="D119" ca="1">IF(ISBLANK(INDIRECT(CONCATENATE("Input!",RSE_Setup!$B$19,ROW()+1))),"",INDIRECT(CONCATENATE("Input!",RSE_Setup!$B$19,ROW()+1)))</f>
        <v>9500</v>
      </c>
      <c r="E119" s="1" cm="1">
        <f t="array" aca="1" ref="E119" ca="1">IF(ISBLANK(INDIRECT(CONCATENATE("Input!",RSE_Setup!$B$30,ROW()+1))),"",INDIRECT(CONCATENATE("Input!",RSE_Setup!$B$30,ROW()+1)))</f>
        <v>8</v>
      </c>
      <c r="F119" s="1">
        <f ca="1"/>
        <v>8.329617468414984</v>
      </c>
    </row>
    <row r="120" spans="1:6" x14ac:dyDescent="0.3">
      <c r="A120" s="1" cm="1">
        <f t="array" aca="1" ref="A120" ca="1">IF(ISBLANK(INDIRECT(CONCATENATE("Input!",RSE_Setup!$B$16,ROW()+1))),"",INDIRECT(CONCATENATE("Input!",RSE_Setup!$B$16,ROW()+1)))</f>
        <v>2.9999999999999997E-4</v>
      </c>
      <c r="B120" s="1" cm="1">
        <f t="array" aca="1" ref="B120" ca="1">IF(ISBLANK(INDIRECT(CONCATENATE("Input!",RSE_Setup!$B$17,ROW()+1))),"",INDIRECT(CONCATENATE("Input!",RSE_Setup!$B$17,ROW()+1)))</f>
        <v>4.0000000000000001E-3</v>
      </c>
      <c r="C120" s="1" cm="1">
        <f t="array" aca="1" ref="C120" ca="1">IF(ISBLANK(INDIRECT(CONCATENATE("Input!",RSE_Setup!$B$18,ROW()+1))),"",INDIRECT(CONCATENATE("Input!",RSE_Setup!$B$18,ROW()+1)))</f>
        <v>3.2258000000000002E-2</v>
      </c>
      <c r="D120" s="1" cm="1">
        <f t="array" aca="1" ref="D120" ca="1">IF(ISBLANK(INDIRECT(CONCATENATE("Input!",RSE_Setup!$B$19,ROW()+1))),"",INDIRECT(CONCATENATE("Input!",RSE_Setup!$B$19,ROW()+1)))</f>
        <v>9500</v>
      </c>
      <c r="E120" s="1" cm="1">
        <f t="array" aca="1" ref="E120" ca="1">IF(ISBLANK(INDIRECT(CONCATENATE("Input!",RSE_Setup!$B$30,ROW()+1))),"",INDIRECT(CONCATENATE("Input!",RSE_Setup!$B$30,ROW()+1)))</f>
        <v>8</v>
      </c>
      <c r="F120" s="1">
        <f ca="1"/>
        <v>6.7367223377039851</v>
      </c>
    </row>
    <row r="121" spans="1:6" x14ac:dyDescent="0.3">
      <c r="A121" s="1" cm="1">
        <f t="array" aca="1" ref="A121" ca="1">IF(ISBLANK(INDIRECT(CONCATENATE("Input!",RSE_Setup!$B$16,ROW()+1))),"",INDIRECT(CONCATENATE("Input!",RSE_Setup!$B$16,ROW()+1)))</f>
        <v>5.0000000000000001E-4</v>
      </c>
      <c r="B121" s="1" cm="1">
        <f t="array" aca="1" ref="B121" ca="1">IF(ISBLANK(INDIRECT(CONCATENATE("Input!",RSE_Setup!$B$17,ROW()+1))),"",INDIRECT(CONCATENATE("Input!",RSE_Setup!$B$17,ROW()+1)))</f>
        <v>3.0000000000000001E-3</v>
      </c>
      <c r="C121" s="1" cm="1">
        <f t="array" aca="1" ref="C121" ca="1">IF(ISBLANK(INDIRECT(CONCATENATE("Input!",RSE_Setup!$B$18,ROW()+1))),"",INDIRECT(CONCATENATE("Input!",RSE_Setup!$B$18,ROW()+1)))</f>
        <v>0.13333300000000001</v>
      </c>
      <c r="D121" s="1" cm="1">
        <f t="array" aca="1" ref="D121" ca="1">IF(ISBLANK(INDIRECT(CONCATENATE("Input!",RSE_Setup!$B$19,ROW()+1))),"",INDIRECT(CONCATENATE("Input!",RSE_Setup!$B$19,ROW()+1)))</f>
        <v>4000</v>
      </c>
      <c r="E121" s="1" cm="1">
        <f t="array" aca="1" ref="E121" ca="1">IF(ISBLANK(INDIRECT(CONCATENATE("Input!",RSE_Setup!$B$30,ROW()+1))),"",INDIRECT(CONCATENATE("Input!",RSE_Setup!$B$30,ROW()+1)))</f>
        <v>8</v>
      </c>
      <c r="F121" s="1">
        <f ca="1"/>
        <v>7.9036433083081761</v>
      </c>
    </row>
    <row r="122" spans="1:6" x14ac:dyDescent="0.3">
      <c r="A122" s="1" cm="1">
        <f t="array" aca="1" ref="A122" ca="1">IF(ISBLANK(INDIRECT(CONCATENATE("Input!",RSE_Setup!$B$16,ROW()+1))),"",INDIRECT(CONCATENATE("Input!",RSE_Setup!$B$16,ROW()+1)))</f>
        <v>5.0000000000000001E-4</v>
      </c>
      <c r="B122" s="1" cm="1">
        <f t="array" aca="1" ref="B122" ca="1">IF(ISBLANK(INDIRECT(CONCATENATE("Input!",RSE_Setup!$B$17,ROW()+1))),"",INDIRECT(CONCATENATE("Input!",RSE_Setup!$B$17,ROW()+1)))</f>
        <v>3.0000000000000001E-3</v>
      </c>
      <c r="C122" s="1" cm="1">
        <f t="array" aca="1" ref="C122" ca="1">IF(ISBLANK(INDIRECT(CONCATENATE("Input!",RSE_Setup!$B$18,ROW()+1))),"",INDIRECT(CONCATENATE("Input!",RSE_Setup!$B$18,ROW()+1)))</f>
        <v>0.111111</v>
      </c>
      <c r="D122" s="1" cm="1">
        <f t="array" aca="1" ref="D122" ca="1">IF(ISBLANK(INDIRECT(CONCATENATE("Input!",RSE_Setup!$B$19,ROW()+1))),"",INDIRECT(CONCATENATE("Input!",RSE_Setup!$B$19,ROW()+1)))</f>
        <v>3750</v>
      </c>
      <c r="E122" s="1" cm="1">
        <f t="array" aca="1" ref="E122" ca="1">IF(ISBLANK(INDIRECT(CONCATENATE("Input!",RSE_Setup!$B$30,ROW()+1))),"",INDIRECT(CONCATENATE("Input!",RSE_Setup!$B$30,ROW()+1)))</f>
        <v>8</v>
      </c>
      <c r="F122" s="1">
        <f ca="1"/>
        <v>7.9364535901167956</v>
      </c>
    </row>
    <row r="123" spans="1:6" x14ac:dyDescent="0.3">
      <c r="A123" s="1" cm="1">
        <f t="array" aca="1" ref="A123" ca="1">IF(ISBLANK(INDIRECT(CONCATENATE("Input!",RSE_Setup!$B$16,ROW()+1))),"",INDIRECT(CONCATENATE("Input!",RSE_Setup!$B$16,ROW()+1)))</f>
        <v>5.0000000000000001E-4</v>
      </c>
      <c r="B123" s="1" cm="1">
        <f t="array" aca="1" ref="B123" ca="1">IF(ISBLANK(INDIRECT(CONCATENATE("Input!",RSE_Setup!$B$17,ROW()+1))),"",INDIRECT(CONCATENATE("Input!",RSE_Setup!$B$17,ROW()+1)))</f>
        <v>3.0000000000000001E-3</v>
      </c>
      <c r="C123" s="1" cm="1">
        <f t="array" aca="1" ref="C123" ca="1">IF(ISBLANK(INDIRECT(CONCATENATE("Input!",RSE_Setup!$B$18,ROW()+1))),"",INDIRECT(CONCATENATE("Input!",RSE_Setup!$B$18,ROW()+1)))</f>
        <v>0.111111</v>
      </c>
      <c r="D123" s="1" cm="1">
        <f t="array" aca="1" ref="D123" ca="1">IF(ISBLANK(INDIRECT(CONCATENATE("Input!",RSE_Setup!$B$19,ROW()+1))),"",INDIRECT(CONCATENATE("Input!",RSE_Setup!$B$19,ROW()+1)))</f>
        <v>4750</v>
      </c>
      <c r="E123" s="1" cm="1">
        <f t="array" aca="1" ref="E123" ca="1">IF(ISBLANK(INDIRECT(CONCATENATE("Input!",RSE_Setup!$B$30,ROW()+1))),"",INDIRECT(CONCATENATE("Input!",RSE_Setup!$B$30,ROW()+1)))</f>
        <v>8</v>
      </c>
      <c r="F123" s="1">
        <f ca="1"/>
        <v>8.370832539315689</v>
      </c>
    </row>
    <row r="124" spans="1:6" x14ac:dyDescent="0.3">
      <c r="A124" s="1" cm="1">
        <f t="array" aca="1" ref="A124" ca="1">IF(ISBLANK(INDIRECT(CONCATENATE("Input!",RSE_Setup!$B$16,ROW()+1))),"",INDIRECT(CONCATENATE("Input!",RSE_Setup!$B$16,ROW()+1)))</f>
        <v>5.0000000000000001E-4</v>
      </c>
      <c r="B124" s="1" cm="1">
        <f t="array" aca="1" ref="B124" ca="1">IF(ISBLANK(INDIRECT(CONCATENATE("Input!",RSE_Setup!$B$17,ROW()+1))),"",INDIRECT(CONCATENATE("Input!",RSE_Setup!$B$17,ROW()+1)))</f>
        <v>3.0000000000000001E-3</v>
      </c>
      <c r="C124" s="1" cm="1">
        <f t="array" aca="1" ref="C124" ca="1">IF(ISBLANK(INDIRECT(CONCATENATE("Input!",RSE_Setup!$B$18,ROW()+1))),"",INDIRECT(CONCATENATE("Input!",RSE_Setup!$B$18,ROW()+1)))</f>
        <v>5.5556000000000001E-2</v>
      </c>
      <c r="D124" s="1" cm="1">
        <f t="array" aca="1" ref="D124" ca="1">IF(ISBLANK(INDIRECT(CONCATENATE("Input!",RSE_Setup!$B$19,ROW()+1))),"",INDIRECT(CONCATENATE("Input!",RSE_Setup!$B$19,ROW()+1)))</f>
        <v>5500</v>
      </c>
      <c r="E124" s="1" cm="1">
        <f t="array" aca="1" ref="E124" ca="1">IF(ISBLANK(INDIRECT(CONCATENATE("Input!",RSE_Setup!$B$30,ROW()+1))),"",INDIRECT(CONCATENATE("Input!",RSE_Setup!$B$30,ROW()+1)))</f>
        <v>8</v>
      </c>
      <c r="F124" s="1">
        <f ca="1"/>
        <v>6.6224413100281145</v>
      </c>
    </row>
    <row r="125" spans="1:6" x14ac:dyDescent="0.3">
      <c r="A125" s="1" cm="1">
        <f t="array" aca="1" ref="A125" ca="1">IF(ISBLANK(INDIRECT(CONCATENATE("Input!",RSE_Setup!$B$16,ROW()+1))),"",INDIRECT(CONCATENATE("Input!",RSE_Setup!$B$16,ROW()+1)))</f>
        <v>5.0000000000000001E-4</v>
      </c>
      <c r="B125" s="1" cm="1">
        <f t="array" aca="1" ref="B125" ca="1">IF(ISBLANK(INDIRECT(CONCATENATE("Input!",RSE_Setup!$B$17,ROW()+1))),"",INDIRECT(CONCATENATE("Input!",RSE_Setup!$B$17,ROW()+1)))</f>
        <v>3.0000000000000001E-3</v>
      </c>
      <c r="C125" s="1" cm="1">
        <f t="array" aca="1" ref="C125" ca="1">IF(ISBLANK(INDIRECT(CONCATENATE("Input!",RSE_Setup!$B$18,ROW()+1))),"",INDIRECT(CONCATENATE("Input!",RSE_Setup!$B$18,ROW()+1)))</f>
        <v>5.5556000000000001E-2</v>
      </c>
      <c r="D125" s="1" cm="1">
        <f t="array" aca="1" ref="D125" ca="1">IF(ISBLANK(INDIRECT(CONCATENATE("Input!",RSE_Setup!$B$19,ROW()+1))),"",INDIRECT(CONCATENATE("Input!",RSE_Setup!$B$19,ROW()+1)))</f>
        <v>7500</v>
      </c>
      <c r="E125" s="1" cm="1">
        <f t="array" aca="1" ref="E125" ca="1">IF(ISBLANK(INDIRECT(CONCATENATE("Input!",RSE_Setup!$B$30,ROW()+1))),"",INDIRECT(CONCATENATE("Input!",RSE_Setup!$B$30,ROW()+1)))</f>
        <v>8</v>
      </c>
      <c r="F125" s="1">
        <f ca="1"/>
        <v>7.5655998503677129</v>
      </c>
    </row>
    <row r="126" spans="1:6" x14ac:dyDescent="0.3">
      <c r="A126" s="1" cm="1">
        <f t="array" aca="1" ref="A126" ca="1">IF(ISBLANK(INDIRECT(CONCATENATE("Input!",RSE_Setup!$B$16,ROW()+1))),"",INDIRECT(CONCATENATE("Input!",RSE_Setup!$B$16,ROW()+1)))</f>
        <v>5.0000000000000001E-4</v>
      </c>
      <c r="B126" s="1" cm="1">
        <f t="array" aca="1" ref="B126" ca="1">IF(ISBLANK(INDIRECT(CONCATENATE("Input!",RSE_Setup!$B$17,ROW()+1))),"",INDIRECT(CONCATENATE("Input!",RSE_Setup!$B$17,ROW()+1)))</f>
        <v>3.0000000000000001E-3</v>
      </c>
      <c r="C126" s="1" cm="1">
        <f t="array" aca="1" ref="C126" ca="1">IF(ISBLANK(INDIRECT(CONCATENATE("Input!",RSE_Setup!$B$18,ROW()+1))),"",INDIRECT(CONCATENATE("Input!",RSE_Setup!$B$18,ROW()+1)))</f>
        <v>5.5556000000000001E-2</v>
      </c>
      <c r="D126" s="1" cm="1">
        <f t="array" aca="1" ref="D126" ca="1">IF(ISBLANK(INDIRECT(CONCATENATE("Input!",RSE_Setup!$B$19,ROW()+1))),"",INDIRECT(CONCATENATE("Input!",RSE_Setup!$B$19,ROW()+1)))</f>
        <v>9500</v>
      </c>
      <c r="E126" s="1" cm="1">
        <f t="array" aca="1" ref="E126" ca="1">IF(ISBLANK(INDIRECT(CONCATENATE("Input!",RSE_Setup!$B$30,ROW()+1))),"",INDIRECT(CONCATENATE("Input!",RSE_Setup!$B$30,ROW()+1)))</f>
        <v>8</v>
      </c>
      <c r="F126" s="1">
        <f ca="1"/>
        <v>8.0980269454078417</v>
      </c>
    </row>
    <row r="127" spans="1:6" x14ac:dyDescent="0.3">
      <c r="A127" s="1" cm="1">
        <f t="array" aca="1" ref="A127" ca="1">IF(ISBLANK(INDIRECT(CONCATENATE("Input!",RSE_Setup!$B$16,ROW()+1))),"",INDIRECT(CONCATENATE("Input!",RSE_Setup!$B$16,ROW()+1)))</f>
        <v>5.0000000000000001E-4</v>
      </c>
      <c r="B127" s="1" cm="1">
        <f t="array" aca="1" ref="B127" ca="1">IF(ISBLANK(INDIRECT(CONCATENATE("Input!",RSE_Setup!$B$17,ROW()+1))),"",INDIRECT(CONCATENATE("Input!",RSE_Setup!$B$17,ROW()+1)))</f>
        <v>3.0000000000000001E-3</v>
      </c>
      <c r="C127" s="1" cm="1">
        <f t="array" aca="1" ref="C127" ca="1">IF(ISBLANK(INDIRECT(CONCATENATE("Input!",RSE_Setup!$B$18,ROW()+1))),"",INDIRECT(CONCATENATE("Input!",RSE_Setup!$B$18,ROW()+1)))</f>
        <v>3.2258000000000002E-2</v>
      </c>
      <c r="D127" s="1" cm="1">
        <f t="array" aca="1" ref="D127" ca="1">IF(ISBLANK(INDIRECT(CONCATENATE("Input!",RSE_Setup!$B$19,ROW()+1))),"",INDIRECT(CONCATENATE("Input!",RSE_Setup!$B$19,ROW()+1)))</f>
        <v>9500</v>
      </c>
      <c r="E127" s="1" cm="1">
        <f t="array" aca="1" ref="E127" ca="1">IF(ISBLANK(INDIRECT(CONCATENATE("Input!",RSE_Setup!$B$30,ROW()+1))),"",INDIRECT(CONCATENATE("Input!",RSE_Setup!$B$30,ROW()+1)))</f>
        <v>8</v>
      </c>
      <c r="F127" s="1">
        <f ca="1"/>
        <v>6.5215718782477206</v>
      </c>
    </row>
    <row r="128" spans="1:6" x14ac:dyDescent="0.3">
      <c r="A128" s="1" cm="1">
        <f t="array" aca="1" ref="A128" ca="1">IF(ISBLANK(INDIRECT(CONCATENATE("Input!",RSE_Setup!$B$16,ROW()+1))),"",INDIRECT(CONCATENATE("Input!",RSE_Setup!$B$16,ROW()+1)))</f>
        <v>5.0000000000000001E-4</v>
      </c>
      <c r="B128" s="1" cm="1">
        <f t="array" aca="1" ref="B128" ca="1">IF(ISBLANK(INDIRECT(CONCATENATE("Input!",RSE_Setup!$B$17,ROW()+1))),"",INDIRECT(CONCATENATE("Input!",RSE_Setup!$B$17,ROW()+1)))</f>
        <v>4.7499999999999999E-3</v>
      </c>
      <c r="C128" s="1" cm="1">
        <f t="array" aca="1" ref="C128" ca="1">IF(ISBLANK(INDIRECT(CONCATENATE("Input!",RSE_Setup!$B$18,ROW()+1))),"",INDIRECT(CONCATENATE("Input!",RSE_Setup!$B$18,ROW()+1)))</f>
        <v>0.13333300000000001</v>
      </c>
      <c r="D128" s="1" cm="1">
        <f t="array" aca="1" ref="D128" ca="1">IF(ISBLANK(INDIRECT(CONCATENATE("Input!",RSE_Setup!$B$19,ROW()+1))),"",INDIRECT(CONCATENATE("Input!",RSE_Setup!$B$19,ROW()+1)))</f>
        <v>4000</v>
      </c>
      <c r="E128" s="1" cm="1">
        <f t="array" aca="1" ref="E128" ca="1">IF(ISBLANK(INDIRECT(CONCATENATE("Input!",RSE_Setup!$B$30,ROW()+1))),"",INDIRECT(CONCATENATE("Input!",RSE_Setup!$B$30,ROW()+1)))</f>
        <v>8</v>
      </c>
      <c r="F128" s="1">
        <f ca="1"/>
        <v>7.8703863073783147</v>
      </c>
    </row>
    <row r="129" spans="1:6" x14ac:dyDescent="0.3">
      <c r="A129" s="1" cm="1">
        <f t="array" aca="1" ref="A129" ca="1">IF(ISBLANK(INDIRECT(CONCATENATE("Input!",RSE_Setup!$B$16,ROW()+1))),"",INDIRECT(CONCATENATE("Input!",RSE_Setup!$B$16,ROW()+1)))</f>
        <v>5.0000000000000001E-4</v>
      </c>
      <c r="B129" s="1" cm="1">
        <f t="array" aca="1" ref="B129" ca="1">IF(ISBLANK(INDIRECT(CONCATENATE("Input!",RSE_Setup!$B$17,ROW()+1))),"",INDIRECT(CONCATENATE("Input!",RSE_Setup!$B$17,ROW()+1)))</f>
        <v>4.7499999999999999E-3</v>
      </c>
      <c r="C129" s="1" cm="1">
        <f t="array" aca="1" ref="C129" ca="1">IF(ISBLANK(INDIRECT(CONCATENATE("Input!",RSE_Setup!$B$18,ROW()+1))),"",INDIRECT(CONCATENATE("Input!",RSE_Setup!$B$18,ROW()+1)))</f>
        <v>0.111111</v>
      </c>
      <c r="D129" s="1" cm="1">
        <f t="array" aca="1" ref="D129" ca="1">IF(ISBLANK(INDIRECT(CONCATENATE("Input!",RSE_Setup!$B$19,ROW()+1))),"",INDIRECT(CONCATENATE("Input!",RSE_Setup!$B$19,ROW()+1)))</f>
        <v>3750</v>
      </c>
      <c r="E129" s="1" cm="1">
        <f t="array" aca="1" ref="E129" ca="1">IF(ISBLANK(INDIRECT(CONCATENATE("Input!",RSE_Setup!$B$30,ROW()+1))),"",INDIRECT(CONCATENATE("Input!",RSE_Setup!$B$30,ROW()+1)))</f>
        <v>8</v>
      </c>
      <c r="F129" s="1">
        <f ca="1"/>
        <v>7.894487882431382</v>
      </c>
    </row>
    <row r="130" spans="1:6" x14ac:dyDescent="0.3">
      <c r="A130" s="1" cm="1">
        <f t="array" aca="1" ref="A130" ca="1">IF(ISBLANK(INDIRECT(CONCATENATE("Input!",RSE_Setup!$B$16,ROW()+1))),"",INDIRECT(CONCATENATE("Input!",RSE_Setup!$B$16,ROW()+1)))</f>
        <v>5.0000000000000001E-4</v>
      </c>
      <c r="B130" s="1" cm="1">
        <f t="array" aca="1" ref="B130" ca="1">IF(ISBLANK(INDIRECT(CONCATENATE("Input!",RSE_Setup!$B$17,ROW()+1))),"",INDIRECT(CONCATENATE("Input!",RSE_Setup!$B$17,ROW()+1)))</f>
        <v>4.7499999999999999E-3</v>
      </c>
      <c r="C130" s="1" cm="1">
        <f t="array" aca="1" ref="C130" ca="1">IF(ISBLANK(INDIRECT(CONCATENATE("Input!",RSE_Setup!$B$18,ROW()+1))),"",INDIRECT(CONCATENATE("Input!",RSE_Setup!$B$18,ROW()+1)))</f>
        <v>0.111111</v>
      </c>
      <c r="D130" s="1" cm="1">
        <f t="array" aca="1" ref="D130" ca="1">IF(ISBLANK(INDIRECT(CONCATENATE("Input!",RSE_Setup!$B$19,ROW()+1))),"",INDIRECT(CONCATENATE("Input!",RSE_Setup!$B$19,ROW()+1)))</f>
        <v>4750</v>
      </c>
      <c r="E130" s="1" cm="1">
        <f t="array" aca="1" ref="E130" ca="1">IF(ISBLANK(INDIRECT(CONCATENATE("Input!",RSE_Setup!$B$30,ROW()+1))),"",INDIRECT(CONCATENATE("Input!",RSE_Setup!$B$30,ROW()+1)))</f>
        <v>8</v>
      </c>
      <c r="F130" s="1">
        <f ca="1"/>
        <v>8.3422571663986602</v>
      </c>
    </row>
    <row r="131" spans="1:6" x14ac:dyDescent="0.3">
      <c r="A131" s="1" cm="1">
        <f t="array" aca="1" ref="A131" ca="1">IF(ISBLANK(INDIRECT(CONCATENATE("Input!",RSE_Setup!$B$16,ROW()+1))),"",INDIRECT(CONCATENATE("Input!",RSE_Setup!$B$16,ROW()+1)))</f>
        <v>5.0000000000000001E-4</v>
      </c>
      <c r="B131" s="1" cm="1">
        <f t="array" aca="1" ref="B131" ca="1">IF(ISBLANK(INDIRECT(CONCATENATE("Input!",RSE_Setup!$B$17,ROW()+1))),"",INDIRECT(CONCATENATE("Input!",RSE_Setup!$B$17,ROW()+1)))</f>
        <v>4.7499999999999999E-3</v>
      </c>
      <c r="C131" s="1" cm="1">
        <f t="array" aca="1" ref="C131" ca="1">IF(ISBLANK(INDIRECT(CONCATENATE("Input!",RSE_Setup!$B$18,ROW()+1))),"",INDIRECT(CONCATENATE("Input!",RSE_Setup!$B$18,ROW()+1)))</f>
        <v>5.5556000000000001E-2</v>
      </c>
      <c r="D131" s="1" cm="1">
        <f t="array" aca="1" ref="D131" ca="1">IF(ISBLANK(INDIRECT(CONCATENATE("Input!",RSE_Setup!$B$19,ROW()+1))),"",INDIRECT(CONCATENATE("Input!",RSE_Setup!$B$19,ROW()+1)))</f>
        <v>5500</v>
      </c>
      <c r="E131" s="1" cm="1">
        <f t="array" aca="1" ref="E131" ca="1">IF(ISBLANK(INDIRECT(CONCATENATE("Input!",RSE_Setup!$B$30,ROW()+1))),"",INDIRECT(CONCATENATE("Input!",RSE_Setup!$B$30,ROW()+1)))</f>
        <v>8</v>
      </c>
      <c r="F131" s="1">
        <f ca="1"/>
        <v>6.590505880528748</v>
      </c>
    </row>
    <row r="132" spans="1:6" x14ac:dyDescent="0.3">
      <c r="A132" s="1" cm="1">
        <f t="array" aca="1" ref="A132" ca="1">IF(ISBLANK(INDIRECT(CONCATENATE("Input!",RSE_Setup!$B$16,ROW()+1))),"",INDIRECT(CONCATENATE("Input!",RSE_Setup!$B$16,ROW()+1)))</f>
        <v>5.0000000000000001E-4</v>
      </c>
      <c r="B132" s="1" cm="1">
        <f t="array" aca="1" ref="B132" ca="1">IF(ISBLANK(INDIRECT(CONCATENATE("Input!",RSE_Setup!$B$17,ROW()+1))),"",INDIRECT(CONCATENATE("Input!",RSE_Setup!$B$17,ROW()+1)))</f>
        <v>4.7499999999999999E-3</v>
      </c>
      <c r="C132" s="1" cm="1">
        <f t="array" aca="1" ref="C132" ca="1">IF(ISBLANK(INDIRECT(CONCATENATE("Input!",RSE_Setup!$B$18,ROW()+1))),"",INDIRECT(CONCATENATE("Input!",RSE_Setup!$B$18,ROW()+1)))</f>
        <v>5.5556000000000001E-2</v>
      </c>
      <c r="D132" s="1" cm="1">
        <f t="array" aca="1" ref="D132" ca="1">IF(ISBLANK(INDIRECT(CONCATENATE("Input!",RSE_Setup!$B$19,ROW()+1))),"",INDIRECT(CONCATENATE("Input!",RSE_Setup!$B$19,ROW()+1)))</f>
        <v>7500</v>
      </c>
      <c r="E132" s="1" cm="1">
        <f t="array" aca="1" ref="E132" ca="1">IF(ISBLANK(INDIRECT(CONCATENATE("Input!",RSE_Setup!$B$30,ROW()+1))),"",INDIRECT(CONCATENATE("Input!",RSE_Setup!$B$30,ROW()+1)))</f>
        <v>8</v>
      </c>
      <c r="F132" s="1">
        <f ca="1"/>
        <v>7.5604450904051124</v>
      </c>
    </row>
    <row r="133" spans="1:6" x14ac:dyDescent="0.3">
      <c r="A133" s="1" cm="1">
        <f t="array" aca="1" ref="A133" ca="1">IF(ISBLANK(INDIRECT(CONCATENATE("Input!",RSE_Setup!$B$16,ROW()+1))),"",INDIRECT(CONCATENATE("Input!",RSE_Setup!$B$16,ROW()+1)))</f>
        <v>5.0000000000000001E-4</v>
      </c>
      <c r="B133" s="1" cm="1">
        <f t="array" aca="1" ref="B133" ca="1">IF(ISBLANK(INDIRECT(CONCATENATE("Input!",RSE_Setup!$B$17,ROW()+1))),"",INDIRECT(CONCATENATE("Input!",RSE_Setup!$B$17,ROW()+1)))</f>
        <v>4.7499999999999999E-3</v>
      </c>
      <c r="C133" s="1" cm="1">
        <f t="array" aca="1" ref="C133" ca="1">IF(ISBLANK(INDIRECT(CONCATENATE("Input!",RSE_Setup!$B$18,ROW()+1))),"",INDIRECT(CONCATENATE("Input!",RSE_Setup!$B$18,ROW()+1)))</f>
        <v>5.5556000000000001E-2</v>
      </c>
      <c r="D133" s="1" cm="1">
        <f t="array" aca="1" ref="D133" ca="1">IF(ISBLANK(INDIRECT(CONCATENATE("Input!",RSE_Setup!$B$19,ROW()+1))),"",INDIRECT(CONCATENATE("Input!",RSE_Setup!$B$19,ROW()+1)))</f>
        <v>9500</v>
      </c>
      <c r="E133" s="1" cm="1">
        <f t="array" aca="1" ref="E133" ca="1">IF(ISBLANK(INDIRECT(CONCATENATE("Input!",RSE_Setup!$B$30,ROW()+1))),"",INDIRECT(CONCATENATE("Input!",RSE_Setup!$B$30,ROW()+1)))</f>
        <v>8</v>
      </c>
      <c r="F133" s="1">
        <f ca="1"/>
        <v>8.1196528549820073</v>
      </c>
    </row>
    <row r="134" spans="1:6" x14ac:dyDescent="0.3">
      <c r="A134" s="1" cm="1">
        <f t="array" aca="1" ref="A134" ca="1">IF(ISBLANK(INDIRECT(CONCATENATE("Input!",RSE_Setup!$B$16,ROW()+1))),"",INDIRECT(CONCATENATE("Input!",RSE_Setup!$B$16,ROW()+1)))</f>
        <v>5.0000000000000001E-4</v>
      </c>
      <c r="B134" s="1" cm="1">
        <f t="array" aca="1" ref="B134" ca="1">IF(ISBLANK(INDIRECT(CONCATENATE("Input!",RSE_Setup!$B$17,ROW()+1))),"",INDIRECT(CONCATENATE("Input!",RSE_Setup!$B$17,ROW()+1)))</f>
        <v>4.7499999999999999E-3</v>
      </c>
      <c r="C134" s="1" cm="1">
        <f t="array" aca="1" ref="C134" ca="1">IF(ISBLANK(INDIRECT(CONCATENATE("Input!",RSE_Setup!$B$18,ROW()+1))),"",INDIRECT(CONCATENATE("Input!",RSE_Setup!$B$18,ROW()+1)))</f>
        <v>3.2258000000000002E-2</v>
      </c>
      <c r="D134" s="1" cm="1">
        <f t="array" aca="1" ref="D134" ca="1">IF(ISBLANK(INDIRECT(CONCATENATE("Input!",RSE_Setup!$B$19,ROW()+1))),"",INDIRECT(CONCATENATE("Input!",RSE_Setup!$B$19,ROW()+1)))</f>
        <v>9500</v>
      </c>
      <c r="E134" s="1" cm="1">
        <f t="array" aca="1" ref="E134" ca="1">IF(ISBLANK(INDIRECT(CONCATENATE("Input!",RSE_Setup!$B$30,ROW()+1))),"",INDIRECT(CONCATENATE("Input!",RSE_Setup!$B$30,ROW()+1)))</f>
        <v>8</v>
      </c>
      <c r="F134" s="1">
        <f ca="1"/>
        <v>6.5375770765838181</v>
      </c>
    </row>
    <row r="135" spans="1:6" x14ac:dyDescent="0.3">
      <c r="A135" s="1" cm="1">
        <f t="array" aca="1" ref="A135" ca="1">IF(ISBLANK(INDIRECT(CONCATENATE("Input!",RSE_Setup!$B$16,ROW()+1))),"",INDIRECT(CONCATENATE("Input!",RSE_Setup!$B$16,ROW()+1)))</f>
        <v>5.0000000000000001E-4</v>
      </c>
      <c r="B135" s="1" cm="1">
        <f t="array" aca="1" ref="B135" ca="1">IF(ISBLANK(INDIRECT(CONCATENATE("Input!",RSE_Setup!$B$17,ROW()+1))),"",INDIRECT(CONCATENATE("Input!",RSE_Setup!$B$17,ROW()+1)))</f>
        <v>6.4999999999999997E-3</v>
      </c>
      <c r="C135" s="1" cm="1">
        <f t="array" aca="1" ref="C135" ca="1">IF(ISBLANK(INDIRECT(CONCATENATE("Input!",RSE_Setup!$B$18,ROW()+1))),"",INDIRECT(CONCATENATE("Input!",RSE_Setup!$B$18,ROW()+1)))</f>
        <v>0.13333300000000001</v>
      </c>
      <c r="D135" s="1" cm="1">
        <f t="array" aca="1" ref="D135" ca="1">IF(ISBLANK(INDIRECT(CONCATENATE("Input!",RSE_Setup!$B$19,ROW()+1))),"",INDIRECT(CONCATENATE("Input!",RSE_Setup!$B$19,ROW()+1)))</f>
        <v>4000</v>
      </c>
      <c r="E135" s="1" cm="1">
        <f t="array" aca="1" ref="E135" ca="1">IF(ISBLANK(INDIRECT(CONCATENATE("Input!",RSE_Setup!$B$30,ROW()+1))),"",INDIRECT(CONCATENATE("Input!",RSE_Setup!$B$30,ROW()+1)))</f>
        <v>8</v>
      </c>
      <c r="F135" s="1">
        <f ca="1"/>
        <v>7.8234715293436743</v>
      </c>
    </row>
    <row r="136" spans="1:6" x14ac:dyDescent="0.3">
      <c r="A136" s="1" cm="1">
        <f t="array" aca="1" ref="A136" ca="1">IF(ISBLANK(INDIRECT(CONCATENATE("Input!",RSE_Setup!$B$16,ROW()+1))),"",INDIRECT(CONCATENATE("Input!",RSE_Setup!$B$16,ROW()+1)))</f>
        <v>5.0000000000000001E-4</v>
      </c>
      <c r="B136" s="1" cm="1">
        <f t="array" aca="1" ref="B136" ca="1">IF(ISBLANK(INDIRECT(CONCATENATE("Input!",RSE_Setup!$B$17,ROW()+1))),"",INDIRECT(CONCATENATE("Input!",RSE_Setup!$B$17,ROW()+1)))</f>
        <v>6.4999999999999997E-3</v>
      </c>
      <c r="C136" s="1" cm="1">
        <f t="array" aca="1" ref="C136" ca="1">IF(ISBLANK(INDIRECT(CONCATENATE("Input!",RSE_Setup!$B$18,ROW()+1))),"",INDIRECT(CONCATENATE("Input!",RSE_Setup!$B$18,ROW()+1)))</f>
        <v>0.111111</v>
      </c>
      <c r="D136" s="1" cm="1">
        <f t="array" aca="1" ref="D136" ca="1">IF(ISBLANK(INDIRECT(CONCATENATE("Input!",RSE_Setup!$B$19,ROW()+1))),"",INDIRECT(CONCATENATE("Input!",RSE_Setup!$B$19,ROW()+1)))</f>
        <v>3750</v>
      </c>
      <c r="E136" s="1" cm="1">
        <f t="array" aca="1" ref="E136" ca="1">IF(ISBLANK(INDIRECT(CONCATENATE("Input!",RSE_Setup!$B$30,ROW()+1))),"",INDIRECT(CONCATENATE("Input!",RSE_Setup!$B$30,ROW()+1)))</f>
        <v>8</v>
      </c>
      <c r="F136" s="1">
        <f ca="1"/>
        <v>7.8388643976411965</v>
      </c>
    </row>
    <row r="137" spans="1:6" x14ac:dyDescent="0.3">
      <c r="A137" s="1" cm="1">
        <f t="array" aca="1" ref="A137" ca="1">IF(ISBLANK(INDIRECT(CONCATENATE("Input!",RSE_Setup!$B$16,ROW()+1))),"",INDIRECT(CONCATENATE("Input!",RSE_Setup!$B$16,ROW()+1)))</f>
        <v>5.0000000000000001E-4</v>
      </c>
      <c r="B137" s="1" cm="1">
        <f t="array" aca="1" ref="B137" ca="1">IF(ISBLANK(INDIRECT(CONCATENATE("Input!",RSE_Setup!$B$17,ROW()+1))),"",INDIRECT(CONCATENATE("Input!",RSE_Setup!$B$17,ROW()+1)))</f>
        <v>6.4999999999999997E-3</v>
      </c>
      <c r="C137" s="1" cm="1">
        <f t="array" aca="1" ref="C137" ca="1">IF(ISBLANK(INDIRECT(CONCATENATE("Input!",RSE_Setup!$B$18,ROW()+1))),"",INDIRECT(CONCATENATE("Input!",RSE_Setup!$B$18,ROW()+1)))</f>
        <v>0.111111</v>
      </c>
      <c r="D137" s="1" cm="1">
        <f t="array" aca="1" ref="D137" ca="1">IF(ISBLANK(INDIRECT(CONCATENATE("Input!",RSE_Setup!$B$19,ROW()+1))),"",INDIRECT(CONCATENATE("Input!",RSE_Setup!$B$19,ROW()+1)))</f>
        <v>4750</v>
      </c>
      <c r="E137" s="1" cm="1">
        <f t="array" aca="1" ref="E137" ca="1">IF(ISBLANK(INDIRECT(CONCATENATE("Input!",RSE_Setup!$B$30,ROW()+1))),"",INDIRECT(CONCATENATE("Input!",RSE_Setup!$B$30,ROW()+1)))</f>
        <v>8</v>
      </c>
      <c r="F137" s="1">
        <f ca="1"/>
        <v>8.3000240163768559</v>
      </c>
    </row>
    <row r="138" spans="1:6" x14ac:dyDescent="0.3">
      <c r="A138" s="1" cm="1">
        <f t="array" aca="1" ref="A138" ca="1">IF(ISBLANK(INDIRECT(CONCATENATE("Input!",RSE_Setup!$B$16,ROW()+1))),"",INDIRECT(CONCATENATE("Input!",RSE_Setup!$B$16,ROW()+1)))</f>
        <v>5.0000000000000001E-4</v>
      </c>
      <c r="B138" s="1" cm="1">
        <f t="array" aca="1" ref="B138" ca="1">IF(ISBLANK(INDIRECT(CONCATENATE("Input!",RSE_Setup!$B$17,ROW()+1))),"",INDIRECT(CONCATENATE("Input!",RSE_Setup!$B$17,ROW()+1)))</f>
        <v>6.4999999999999997E-3</v>
      </c>
      <c r="C138" s="1" cm="1">
        <f t="array" aca="1" ref="C138" ca="1">IF(ISBLANK(INDIRECT(CONCATENATE("Input!",RSE_Setup!$B$18,ROW()+1))),"",INDIRECT(CONCATENATE("Input!",RSE_Setup!$B$18,ROW()+1)))</f>
        <v>5.5556000000000001E-2</v>
      </c>
      <c r="D138" s="1" cm="1">
        <f t="array" aca="1" ref="D138" ca="1">IF(ISBLANK(INDIRECT(CONCATENATE("Input!",RSE_Setup!$B$19,ROW()+1))),"",INDIRECT(CONCATENATE("Input!",RSE_Setup!$B$19,ROW()+1)))</f>
        <v>5500</v>
      </c>
      <c r="E138" s="1" cm="1">
        <f t="array" aca="1" ref="E138" ca="1">IF(ISBLANK(INDIRECT(CONCATENATE("Input!",RSE_Setup!$B$30,ROW()+1))),"",INDIRECT(CONCATENATE("Input!",RSE_Setup!$B$30,ROW()+1)))</f>
        <v>8</v>
      </c>
      <c r="F138" s="1">
        <f ca="1"/>
        <v>6.5449126739246077</v>
      </c>
    </row>
    <row r="139" spans="1:6" x14ac:dyDescent="0.3">
      <c r="A139" s="1" cm="1">
        <f t="array" aca="1" ref="A139" ca="1">IF(ISBLANK(INDIRECT(CONCATENATE("Input!",RSE_Setup!$B$16,ROW()+1))),"",INDIRECT(CONCATENATE("Input!",RSE_Setup!$B$16,ROW()+1)))</f>
        <v>7.5000000000000002E-4</v>
      </c>
      <c r="B139" s="1" cm="1">
        <f t="array" aca="1" ref="B139" ca="1">IF(ISBLANK(INDIRECT(CONCATENATE("Input!",RSE_Setup!$B$17,ROW()+1))),"",INDIRECT(CONCATENATE("Input!",RSE_Setup!$B$17,ROW()+1)))</f>
        <v>4.0000000000000001E-3</v>
      </c>
      <c r="C139" s="1" cm="1">
        <f t="array" aca="1" ref="C139" ca="1">IF(ISBLANK(INDIRECT(CONCATENATE("Input!",RSE_Setup!$B$18,ROW()+1))),"",INDIRECT(CONCATENATE("Input!",RSE_Setup!$B$18,ROW()+1)))</f>
        <v>0.13333300000000001</v>
      </c>
      <c r="D139" s="1" cm="1">
        <f t="array" aca="1" ref="D139" ca="1">IF(ISBLANK(INDIRECT(CONCATENATE("Input!",RSE_Setup!$B$19,ROW()+1))),"",INDIRECT(CONCATENATE("Input!",RSE_Setup!$B$19,ROW()+1)))</f>
        <v>4000</v>
      </c>
      <c r="E139" s="1" cm="1">
        <f t="array" aca="1" ref="E139" ca="1">IF(ISBLANK(INDIRECT(CONCATENATE("Input!",RSE_Setup!$B$30,ROW()+1))),"",INDIRECT(CONCATENATE("Input!",RSE_Setup!$B$30,ROW()+1)))</f>
        <v>8</v>
      </c>
      <c r="F139" s="1">
        <f ca="1"/>
        <v>7.8653333926391795</v>
      </c>
    </row>
    <row r="140" spans="1:6" x14ac:dyDescent="0.3">
      <c r="A140" s="1" cm="1">
        <f t="array" aca="1" ref="A140" ca="1">IF(ISBLANK(INDIRECT(CONCATENATE("Input!",RSE_Setup!$B$16,ROW()+1))),"",INDIRECT(CONCATENATE("Input!",RSE_Setup!$B$16,ROW()+1)))</f>
        <v>7.5000000000000002E-4</v>
      </c>
      <c r="B140" s="1" cm="1">
        <f t="array" aca="1" ref="B140" ca="1">IF(ISBLANK(INDIRECT(CONCATENATE("Input!",RSE_Setup!$B$17,ROW()+1))),"",INDIRECT(CONCATENATE("Input!",RSE_Setup!$B$17,ROW()+1)))</f>
        <v>4.0000000000000001E-3</v>
      </c>
      <c r="C140" s="1" cm="1">
        <f t="array" aca="1" ref="C140" ca="1">IF(ISBLANK(INDIRECT(CONCATENATE("Input!",RSE_Setup!$B$18,ROW()+1))),"",INDIRECT(CONCATENATE("Input!",RSE_Setup!$B$18,ROW()+1)))</f>
        <v>0.111111</v>
      </c>
      <c r="D140" s="1" cm="1">
        <f t="array" aca="1" ref="D140" ca="1">IF(ISBLANK(INDIRECT(CONCATENATE("Input!",RSE_Setup!$B$19,ROW()+1))),"",INDIRECT(CONCATENATE("Input!",RSE_Setup!$B$19,ROW()+1)))</f>
        <v>3750</v>
      </c>
      <c r="E140" s="1" cm="1">
        <f t="array" aca="1" ref="E140" ca="1">IF(ISBLANK(INDIRECT(CONCATENATE("Input!",RSE_Setup!$B$30,ROW()+1))),"",INDIRECT(CONCATENATE("Input!",RSE_Setup!$B$30,ROW()+1)))</f>
        <v>8</v>
      </c>
      <c r="F140" s="1">
        <f ca="1"/>
        <v>7.9229716335880314</v>
      </c>
    </row>
    <row r="141" spans="1:6" x14ac:dyDescent="0.3">
      <c r="A141" s="1" cm="1">
        <f t="array" aca="1" ref="A141" ca="1">IF(ISBLANK(INDIRECT(CONCATENATE("Input!",RSE_Setup!$B$16,ROW()+1))),"",INDIRECT(CONCATENATE("Input!",RSE_Setup!$B$16,ROW()+1)))</f>
        <v>7.5000000000000002E-4</v>
      </c>
      <c r="B141" s="1" cm="1">
        <f t="array" aca="1" ref="B141" ca="1">IF(ISBLANK(INDIRECT(CONCATENATE("Input!",RSE_Setup!$B$17,ROW()+1))),"",INDIRECT(CONCATENATE("Input!",RSE_Setup!$B$17,ROW()+1)))</f>
        <v>4.0000000000000001E-3</v>
      </c>
      <c r="C141" s="1" cm="1">
        <f t="array" aca="1" ref="C141" ca="1">IF(ISBLANK(INDIRECT(CONCATENATE("Input!",RSE_Setup!$B$18,ROW()+1))),"",INDIRECT(CONCATENATE("Input!",RSE_Setup!$B$18,ROW()+1)))</f>
        <v>0.111111</v>
      </c>
      <c r="D141" s="1" cm="1">
        <f t="array" aca="1" ref="D141" ca="1">IF(ISBLANK(INDIRECT(CONCATENATE("Input!",RSE_Setup!$B$19,ROW()+1))),"",INDIRECT(CONCATENATE("Input!",RSE_Setup!$B$19,ROW()+1)))</f>
        <v>4750</v>
      </c>
      <c r="E141" s="1" cm="1">
        <f t="array" aca="1" ref="E141" ca="1">IF(ISBLANK(INDIRECT(CONCATENATE("Input!",RSE_Setup!$B$30,ROW()+1))),"",INDIRECT(CONCATENATE("Input!",RSE_Setup!$B$30,ROW()+1)))</f>
        <v>8</v>
      </c>
      <c r="F141" s="1">
        <f ca="1"/>
        <v>8.3088712162308092</v>
      </c>
    </row>
    <row r="142" spans="1:6" x14ac:dyDescent="0.3">
      <c r="A142" s="1" cm="1">
        <f t="array" aca="1" ref="A142" ca="1">IF(ISBLANK(INDIRECT(CONCATENATE("Input!",RSE_Setup!$B$16,ROW()+1))),"",INDIRECT(CONCATENATE("Input!",RSE_Setup!$B$16,ROW()+1)))</f>
        <v>7.5000000000000002E-4</v>
      </c>
      <c r="B142" s="1" cm="1">
        <f t="array" aca="1" ref="B142" ca="1">IF(ISBLANK(INDIRECT(CONCATENATE("Input!",RSE_Setup!$B$17,ROW()+1))),"",INDIRECT(CONCATENATE("Input!",RSE_Setup!$B$17,ROW()+1)))</f>
        <v>4.0000000000000001E-3</v>
      </c>
      <c r="C142" s="1" cm="1">
        <f t="array" aca="1" ref="C142" ca="1">IF(ISBLANK(INDIRECT(CONCATENATE("Input!",RSE_Setup!$B$18,ROW()+1))),"",INDIRECT(CONCATENATE("Input!",RSE_Setup!$B$18,ROW()+1)))</f>
        <v>5.5556000000000001E-2</v>
      </c>
      <c r="D142" s="1" cm="1">
        <f t="array" aca="1" ref="D142" ca="1">IF(ISBLANK(INDIRECT(CONCATENATE("Input!",RSE_Setup!$B$19,ROW()+1))),"",INDIRECT(CONCATENATE("Input!",RSE_Setup!$B$19,ROW()+1)))</f>
        <v>5500</v>
      </c>
      <c r="E142" s="1" cm="1">
        <f t="array" aca="1" ref="E142" ca="1">IF(ISBLANK(INDIRECT(CONCATENATE("Input!",RSE_Setup!$B$30,ROW()+1))),"",INDIRECT(CONCATENATE("Input!",RSE_Setup!$B$30,ROW()+1)))</f>
        <v>8</v>
      </c>
      <c r="F142" s="1">
        <f ca="1"/>
        <v>6.5558907557791608</v>
      </c>
    </row>
    <row r="143" spans="1:6" x14ac:dyDescent="0.3">
      <c r="A143" s="1" cm="1">
        <f t="array" aca="1" ref="A143" ca="1">IF(ISBLANK(INDIRECT(CONCATENATE("Input!",RSE_Setup!$B$16,ROW()+1))),"",INDIRECT(CONCATENATE("Input!",RSE_Setup!$B$16,ROW()+1)))</f>
        <v>7.5000000000000002E-4</v>
      </c>
      <c r="B143" s="1" cm="1">
        <f t="array" aca="1" ref="B143" ca="1">IF(ISBLANK(INDIRECT(CONCATENATE("Input!",RSE_Setup!$B$17,ROW()+1))),"",INDIRECT(CONCATENATE("Input!",RSE_Setup!$B$17,ROW()+1)))</f>
        <v>6.0000000000000001E-3</v>
      </c>
      <c r="C143" s="1" cm="1">
        <f t="array" aca="1" ref="C143" ca="1">IF(ISBLANK(INDIRECT(CONCATENATE("Input!",RSE_Setup!$B$18,ROW()+1))),"",INDIRECT(CONCATENATE("Input!",RSE_Setup!$B$18,ROW()+1)))</f>
        <v>0.13333300000000001</v>
      </c>
      <c r="D143" s="1" cm="1">
        <f t="array" aca="1" ref="D143" ca="1">IF(ISBLANK(INDIRECT(CONCATENATE("Input!",RSE_Setup!$B$19,ROW()+1))),"",INDIRECT(CONCATENATE("Input!",RSE_Setup!$B$19,ROW()+1)))</f>
        <v>4000</v>
      </c>
      <c r="E143" s="1" cm="1">
        <f t="array" aca="1" ref="E143" ca="1">IF(ISBLANK(INDIRECT(CONCATENATE("Input!",RSE_Setup!$B$30,ROW()+1))),"",INDIRECT(CONCATENATE("Input!",RSE_Setup!$B$30,ROW()+1)))</f>
        <v>8</v>
      </c>
      <c r="F143" s="1">
        <f ca="1"/>
        <v>7.8349447016443357</v>
      </c>
    </row>
    <row r="144" spans="1:6" x14ac:dyDescent="0.3">
      <c r="A144" s="1" cm="1">
        <f t="array" aca="1" ref="A144" ca="1">IF(ISBLANK(INDIRECT(CONCATENATE("Input!",RSE_Setup!$B$16,ROW()+1))),"",INDIRECT(CONCATENATE("Input!",RSE_Setup!$B$16,ROW()+1)))</f>
        <v>7.5000000000000002E-4</v>
      </c>
      <c r="B144" s="1" cm="1">
        <f t="array" aca="1" ref="B144" ca="1">IF(ISBLANK(INDIRECT(CONCATENATE("Input!",RSE_Setup!$B$17,ROW()+1))),"",INDIRECT(CONCATENATE("Input!",RSE_Setup!$B$17,ROW()+1)))</f>
        <v>6.0000000000000001E-3</v>
      </c>
      <c r="C144" s="1" cm="1">
        <f t="array" aca="1" ref="C144" ca="1">IF(ISBLANK(INDIRECT(CONCATENATE("Input!",RSE_Setup!$B$18,ROW()+1))),"",INDIRECT(CONCATENATE("Input!",RSE_Setup!$B$18,ROW()+1)))</f>
        <v>0.111111</v>
      </c>
      <c r="D144" s="1" cm="1">
        <f t="array" aca="1" ref="D144" ca="1">IF(ISBLANK(INDIRECT(CONCATENATE("Input!",RSE_Setup!$B$19,ROW()+1))),"",INDIRECT(CONCATENATE("Input!",RSE_Setup!$B$19,ROW()+1)))</f>
        <v>3750</v>
      </c>
      <c r="E144" s="1" cm="1">
        <f t="array" aca="1" ref="E144" ca="1">IF(ISBLANK(INDIRECT(CONCATENATE("Input!",RSE_Setup!$B$30,ROW()+1))),"",INDIRECT(CONCATENATE("Input!",RSE_Setup!$B$30,ROW()+1)))</f>
        <v>8</v>
      </c>
      <c r="F144" s="1">
        <f ca="1"/>
        <v>7.8826301348725645</v>
      </c>
    </row>
    <row r="145" spans="1:6" x14ac:dyDescent="0.3">
      <c r="A145" s="1" cm="1">
        <f t="array" aca="1" ref="A145" ca="1">IF(ISBLANK(INDIRECT(CONCATENATE("Input!",RSE_Setup!$B$16,ROW()+1))),"",INDIRECT(CONCATENATE("Input!",RSE_Setup!$B$16,ROW()+1)))</f>
        <v>7.5000000000000002E-4</v>
      </c>
      <c r="B145" s="1" cm="1">
        <f t="array" aca="1" ref="B145" ca="1">IF(ISBLANK(INDIRECT(CONCATENATE("Input!",RSE_Setup!$B$17,ROW()+1))),"",INDIRECT(CONCATENATE("Input!",RSE_Setup!$B$17,ROW()+1)))</f>
        <v>6.0000000000000001E-3</v>
      </c>
      <c r="C145" s="1" cm="1">
        <f t="array" aca="1" ref="C145" ca="1">IF(ISBLANK(INDIRECT(CONCATENATE("Input!",RSE_Setup!$B$18,ROW()+1))),"",INDIRECT(CONCATENATE("Input!",RSE_Setup!$B$18,ROW()+1)))</f>
        <v>0.111111</v>
      </c>
      <c r="D145" s="1" cm="1">
        <f t="array" aca="1" ref="D145" ca="1">IF(ISBLANK(INDIRECT(CONCATENATE("Input!",RSE_Setup!$B$19,ROW()+1))),"",INDIRECT(CONCATENATE("Input!",RSE_Setup!$B$19,ROW()+1)))</f>
        <v>4750</v>
      </c>
      <c r="E145" s="1" cm="1">
        <f t="array" aca="1" ref="E145" ca="1">IF(ISBLANK(INDIRECT(CONCATENATE("Input!",RSE_Setup!$B$30,ROW()+1))),"",INDIRECT(CONCATENATE("Input!",RSE_Setup!$B$30,ROW()+1)))</f>
        <v>8</v>
      </c>
      <c r="F145" s="1">
        <f ca="1"/>
        <v>8.2838329572506382</v>
      </c>
    </row>
    <row r="146" spans="1:6" x14ac:dyDescent="0.3">
      <c r="A146" s="1" cm="1">
        <f t="array" aca="1" ref="A146" ca="1">IF(ISBLANK(INDIRECT(CONCATENATE("Input!",RSE_Setup!$B$16,ROW()+1))),"",INDIRECT(CONCATENATE("Input!",RSE_Setup!$B$16,ROW()+1)))</f>
        <v>7.5000000000000002E-4</v>
      </c>
      <c r="B146" s="1" cm="1">
        <f t="array" aca="1" ref="B146" ca="1">IF(ISBLANK(INDIRECT(CONCATENATE("Input!",RSE_Setup!$B$17,ROW()+1))),"",INDIRECT(CONCATENATE("Input!",RSE_Setup!$B$17,ROW()+1)))</f>
        <v>6.0000000000000001E-3</v>
      </c>
      <c r="C146" s="1" cm="1">
        <f t="array" aca="1" ref="C146" ca="1">IF(ISBLANK(INDIRECT(CONCATENATE("Input!",RSE_Setup!$B$18,ROW()+1))),"",INDIRECT(CONCATENATE("Input!",RSE_Setup!$B$18,ROW()+1)))</f>
        <v>5.5556000000000001E-2</v>
      </c>
      <c r="D146" s="1" cm="1">
        <f t="array" aca="1" ref="D146" ca="1">IF(ISBLANK(INDIRECT(CONCATENATE("Input!",RSE_Setup!$B$19,ROW()+1))),"",INDIRECT(CONCATENATE("Input!",RSE_Setup!$B$19,ROW()+1)))</f>
        <v>5500</v>
      </c>
      <c r="E146" s="1" cm="1">
        <f t="array" aca="1" ref="E146" ca="1">IF(ISBLANK(INDIRECT(CONCATENATE("Input!",RSE_Setup!$B$30,ROW()+1))),"",INDIRECT(CONCATENATE("Input!",RSE_Setup!$B$30,ROW()+1)))</f>
        <v>8</v>
      </c>
      <c r="F146" s="1">
        <f ca="1"/>
        <v>6.5270124321334597</v>
      </c>
    </row>
    <row r="147" spans="1:6" x14ac:dyDescent="0.3">
      <c r="A147" s="1" cm="1">
        <f t="array" aca="1" ref="A147" ca="1">IF(ISBLANK(INDIRECT(CONCATENATE("Input!",RSE_Setup!$B$16,ROW()+1))),"",INDIRECT(CONCATENATE("Input!",RSE_Setup!$B$16,ROW()+1)))</f>
        <v>7.5000000000000002E-4</v>
      </c>
      <c r="B147" s="1" cm="1">
        <f t="array" aca="1" ref="B147" ca="1">IF(ISBLANK(INDIRECT(CONCATENATE("Input!",RSE_Setup!$B$17,ROW()+1))),"",INDIRECT(CONCATENATE("Input!",RSE_Setup!$B$17,ROW()+1)))</f>
        <v>8.0000000000000002E-3</v>
      </c>
      <c r="C147" s="1" cm="1">
        <f t="array" aca="1" ref="C147" ca="1">IF(ISBLANK(INDIRECT(CONCATENATE("Input!",RSE_Setup!$B$18,ROW()+1))),"",INDIRECT(CONCATENATE("Input!",RSE_Setup!$B$18,ROW()+1)))</f>
        <v>0.111111</v>
      </c>
      <c r="D147" s="1" cm="1">
        <f t="array" aca="1" ref="D147" ca="1">IF(ISBLANK(INDIRECT(CONCATENATE("Input!",RSE_Setup!$B$19,ROW()+1))),"",INDIRECT(CONCATENATE("Input!",RSE_Setup!$B$19,ROW()+1)))</f>
        <v>4750</v>
      </c>
      <c r="E147" s="1" cm="1">
        <f t="array" aca="1" ref="E147" ca="1">IF(ISBLANK(INDIRECT(CONCATENATE("Input!",RSE_Setup!$B$30,ROW()+1))),"",INDIRECT(CONCATENATE("Input!",RSE_Setup!$B$30,ROW()+1)))</f>
        <v>8</v>
      </c>
      <c r="F147" s="1">
        <f ca="1"/>
        <v>8.2409559689907645</v>
      </c>
    </row>
    <row r="148" spans="1:6" x14ac:dyDescent="0.3">
      <c r="A148" s="1" cm="1">
        <f t="array" aca="1" ref="A148" ca="1">IF(ISBLANK(INDIRECT(CONCATENATE("Input!",RSE_Setup!$B$16,ROW()+1))),"",INDIRECT(CONCATENATE("Input!",RSE_Setup!$B$16,ROW()+1)))</f>
        <v>7.5000000000000002E-4</v>
      </c>
      <c r="B148" s="1" cm="1">
        <f t="array" aca="1" ref="B148" ca="1">IF(ISBLANK(INDIRECT(CONCATENATE("Input!",RSE_Setup!$B$17,ROW()+1))),"",INDIRECT(CONCATENATE("Input!",RSE_Setup!$B$17,ROW()+1)))</f>
        <v>8.0000000000000002E-3</v>
      </c>
      <c r="C148" s="1" cm="1">
        <f t="array" aca="1" ref="C148" ca="1">IF(ISBLANK(INDIRECT(CONCATENATE("Input!",RSE_Setup!$B$18,ROW()+1))),"",INDIRECT(CONCATENATE("Input!",RSE_Setup!$B$18,ROW()+1)))</f>
        <v>5.5556000000000001E-2</v>
      </c>
      <c r="D148" s="1" cm="1">
        <f t="array" aca="1" ref="D148" ca="1">IF(ISBLANK(INDIRECT(CONCATENATE("Input!",RSE_Setup!$B$19,ROW()+1))),"",INDIRECT(CONCATENATE("Input!",RSE_Setup!$B$19,ROW()+1)))</f>
        <v>5500</v>
      </c>
      <c r="E148" s="1" cm="1">
        <f t="array" aca="1" ref="E148" ca="1">IF(ISBLANK(INDIRECT(CONCATENATE("Input!",RSE_Setup!$B$30,ROW()+1))),"",INDIRECT(CONCATENATE("Input!",RSE_Setup!$B$30,ROW()+1)))</f>
        <v>8</v>
      </c>
      <c r="F148" s="1">
        <f ca="1"/>
        <v>6.4802953792080595</v>
      </c>
    </row>
    <row r="149" spans="1:6" x14ac:dyDescent="0.3">
      <c r="A149" s="1" cm="1">
        <f t="array" aca="1" ref="A149" ca="1">IF(ISBLANK(INDIRECT(CONCATENATE("Input!",RSE_Setup!$B$16,ROW()+1))),"",INDIRECT(CONCATENATE("Input!",RSE_Setup!$B$16,ROW()+1)))</f>
        <v>1E-3</v>
      </c>
      <c r="B149" s="1" cm="1">
        <f t="array" aca="1" ref="B149" ca="1">IF(ISBLANK(INDIRECT(CONCATENATE("Input!",RSE_Setup!$B$17,ROW()+1))),"",INDIRECT(CONCATENATE("Input!",RSE_Setup!$B$17,ROW()+1)))</f>
        <v>5.0000000000000001E-3</v>
      </c>
      <c r="C149" s="1" cm="1">
        <f t="array" aca="1" ref="C149" ca="1">IF(ISBLANK(INDIRECT(CONCATENATE("Input!",RSE_Setup!$B$18,ROW()+1))),"",INDIRECT(CONCATENATE("Input!",RSE_Setup!$B$18,ROW()+1)))</f>
        <v>0.13333300000000001</v>
      </c>
      <c r="D149" s="1" cm="1">
        <f t="array" aca="1" ref="D149" ca="1">IF(ISBLANK(INDIRECT(CONCATENATE("Input!",RSE_Setup!$B$19,ROW()+1))),"",INDIRECT(CONCATENATE("Input!",RSE_Setup!$B$19,ROW()+1)))</f>
        <v>4000</v>
      </c>
      <c r="E149" s="1" cm="1">
        <f t="array" aca="1" ref="E149" ca="1">IF(ISBLANK(INDIRECT(CONCATENATE("Input!",RSE_Setup!$B$30,ROW()+1))),"",INDIRECT(CONCATENATE("Input!",RSE_Setup!$B$30,ROW()+1)))</f>
        <v>8</v>
      </c>
      <c r="F149" s="1">
        <f ca="1"/>
        <v>7.8373868737679651</v>
      </c>
    </row>
    <row r="150" spans="1:6" x14ac:dyDescent="0.3">
      <c r="A150" s="1" cm="1">
        <f t="array" aca="1" ref="A150" ca="1">IF(ISBLANK(INDIRECT(CONCATENATE("Input!",RSE_Setup!$B$16,ROW()+1))),"",INDIRECT(CONCATENATE("Input!",RSE_Setup!$B$16,ROW()+1)))</f>
        <v>1E-3</v>
      </c>
      <c r="B150" s="1" cm="1">
        <f t="array" aca="1" ref="B150" ca="1">IF(ISBLANK(INDIRECT(CONCATENATE("Input!",RSE_Setup!$B$17,ROW()+1))),"",INDIRECT(CONCATENATE("Input!",RSE_Setup!$B$17,ROW()+1)))</f>
        <v>5.0000000000000001E-3</v>
      </c>
      <c r="C150" s="1" cm="1">
        <f t="array" aca="1" ref="C150" ca="1">IF(ISBLANK(INDIRECT(CONCATENATE("Input!",RSE_Setup!$B$18,ROW()+1))),"",INDIRECT(CONCATENATE("Input!",RSE_Setup!$B$18,ROW()+1)))</f>
        <v>0.111111</v>
      </c>
      <c r="D150" s="1" cm="1">
        <f t="array" aca="1" ref="D150" ca="1">IF(ISBLANK(INDIRECT(CONCATENATE("Input!",RSE_Setup!$B$19,ROW()+1))),"",INDIRECT(CONCATENATE("Input!",RSE_Setup!$B$19,ROW()+1)))</f>
        <v>3750</v>
      </c>
      <c r="E150" s="1" cm="1">
        <f t="array" aca="1" ref="E150" ca="1">IF(ISBLANK(INDIRECT(CONCATENATE("Input!",RSE_Setup!$B$30,ROW()+1))),"",INDIRECT(CONCATENATE("Input!",RSE_Setup!$B$30,ROW()+1)))</f>
        <v>8</v>
      </c>
      <c r="F150" s="1">
        <f ca="1"/>
        <v>7.9198530738570527</v>
      </c>
    </row>
    <row r="151" spans="1:6" x14ac:dyDescent="0.3">
      <c r="A151" s="1" cm="1">
        <f t="array" aca="1" ref="A151" ca="1">IF(ISBLANK(INDIRECT(CONCATENATE("Input!",RSE_Setup!$B$16,ROW()+1))),"",INDIRECT(CONCATENATE("Input!",RSE_Setup!$B$16,ROW()+1)))</f>
        <v>1E-3</v>
      </c>
      <c r="B151" s="1" cm="1">
        <f t="array" aca="1" ref="B151" ca="1">IF(ISBLANK(INDIRECT(CONCATENATE("Input!",RSE_Setup!$B$17,ROW()+1))),"",INDIRECT(CONCATENATE("Input!",RSE_Setup!$B$17,ROW()+1)))</f>
        <v>5.0000000000000001E-3</v>
      </c>
      <c r="C151" s="1" cm="1">
        <f t="array" aca="1" ref="C151" ca="1">IF(ISBLANK(INDIRECT(CONCATENATE("Input!",RSE_Setup!$B$18,ROW()+1))),"",INDIRECT(CONCATENATE("Input!",RSE_Setup!$B$18,ROW()+1)))</f>
        <v>0.111111</v>
      </c>
      <c r="D151" s="1" cm="1">
        <f t="array" aca="1" ref="D151" ca="1">IF(ISBLANK(INDIRECT(CONCATENATE("Input!",RSE_Setup!$B$19,ROW()+1))),"",INDIRECT(CONCATENATE("Input!",RSE_Setup!$B$19,ROW()+1)))</f>
        <v>4750</v>
      </c>
      <c r="E151" s="1" cm="1">
        <f t="array" aca="1" ref="E151" ca="1">IF(ISBLANK(INDIRECT(CONCATENATE("Input!",RSE_Setup!$B$30,ROW()+1))),"",INDIRECT(CONCATENATE("Input!",RSE_Setup!$B$30,ROW()+1)))</f>
        <v>8</v>
      </c>
      <c r="F151" s="1">
        <f ca="1"/>
        <v>8.2572732899437149</v>
      </c>
    </row>
    <row r="152" spans="1:6" x14ac:dyDescent="0.3">
      <c r="A152" s="1" cm="1">
        <f t="array" aca="1" ref="A152" ca="1">IF(ISBLANK(INDIRECT(CONCATENATE("Input!",RSE_Setup!$B$16,ROW()+1))),"",INDIRECT(CONCATENATE("Input!",RSE_Setup!$B$16,ROW()+1)))</f>
        <v>1E-3</v>
      </c>
      <c r="B152" s="1" cm="1">
        <f t="array" aca="1" ref="B152" ca="1">IF(ISBLANK(INDIRECT(CONCATENATE("Input!",RSE_Setup!$B$17,ROW()+1))),"",INDIRECT(CONCATENATE("Input!",RSE_Setup!$B$17,ROW()+1)))</f>
        <v>5.0000000000000001E-3</v>
      </c>
      <c r="C152" s="1" cm="1">
        <f t="array" aca="1" ref="C152" ca="1">IF(ISBLANK(INDIRECT(CONCATENATE("Input!",RSE_Setup!$B$18,ROW()+1))),"",INDIRECT(CONCATENATE("Input!",RSE_Setup!$B$18,ROW()+1)))</f>
        <v>5.5556000000000001E-2</v>
      </c>
      <c r="D152" s="1" cm="1">
        <f t="array" aca="1" ref="D152" ca="1">IF(ISBLANK(INDIRECT(CONCATENATE("Input!",RSE_Setup!$B$19,ROW()+1))),"",INDIRECT(CONCATENATE("Input!",RSE_Setup!$B$19,ROW()+1)))</f>
        <v>5500</v>
      </c>
      <c r="E152" s="1" cm="1">
        <f t="array" aca="1" ref="E152" ca="1">IF(ISBLANK(INDIRECT(CONCATENATE("Input!",RSE_Setup!$B$30,ROW()+1))),"",INDIRECT(CONCATENATE("Input!",RSE_Setup!$B$30,ROW()+1)))</f>
        <v>8</v>
      </c>
      <c r="F152" s="1">
        <f ca="1"/>
        <v>6.4997035983279945</v>
      </c>
    </row>
    <row r="153" spans="1:6" x14ac:dyDescent="0.3">
      <c r="A153" s="1" cm="1">
        <f t="array" aca="1" ref="A153" ca="1">IF(ISBLANK(INDIRECT(CONCATENATE("Input!",RSE_Setup!$B$16,ROW()+1))),"",INDIRECT(CONCATENATE("Input!",RSE_Setup!$B$16,ROW()+1)))</f>
        <v>1E-3</v>
      </c>
      <c r="B153" s="1" cm="1">
        <f t="array" aca="1" ref="B153" ca="1">IF(ISBLANK(INDIRECT(CONCATENATE("Input!",RSE_Setup!$B$17,ROW()+1))),"",INDIRECT(CONCATENATE("Input!",RSE_Setup!$B$17,ROW()+1)))</f>
        <v>6.4999999999999997E-3</v>
      </c>
      <c r="C153" s="1" cm="1">
        <f t="array" aca="1" ref="C153" ca="1">IF(ISBLANK(INDIRECT(CONCATENATE("Input!",RSE_Setup!$B$18,ROW()+1))),"",INDIRECT(CONCATENATE("Input!",RSE_Setup!$B$18,ROW()+1)))</f>
        <v>0.13333300000000001</v>
      </c>
      <c r="D153" s="1" cm="1">
        <f t="array" aca="1" ref="D153" ca="1">IF(ISBLANK(INDIRECT(CONCATENATE("Input!",RSE_Setup!$B$19,ROW()+1))),"",INDIRECT(CONCATENATE("Input!",RSE_Setup!$B$19,ROW()+1)))</f>
        <v>4000</v>
      </c>
      <c r="E153" s="1" cm="1">
        <f t="array" aca="1" ref="E153" ca="1">IF(ISBLANK(INDIRECT(CONCATENATE("Input!",RSE_Setup!$B$30,ROW()+1))),"",INDIRECT(CONCATENATE("Input!",RSE_Setup!$B$30,ROW()+1)))</f>
        <v>8</v>
      </c>
      <c r="F153" s="1">
        <f ca="1"/>
        <v>7.8228184093776925</v>
      </c>
    </row>
    <row r="154" spans="1:6" x14ac:dyDescent="0.3">
      <c r="A154" s="1" cm="1">
        <f t="array" aca="1" ref="A154" ca="1">IF(ISBLANK(INDIRECT(CONCATENATE("Input!",RSE_Setup!$B$16,ROW()+1))),"",INDIRECT(CONCATENATE("Input!",RSE_Setup!$B$16,ROW()+1)))</f>
        <v>1E-3</v>
      </c>
      <c r="B154" s="1" cm="1">
        <f t="array" aca="1" ref="B154" ca="1">IF(ISBLANK(INDIRECT(CONCATENATE("Input!",RSE_Setup!$B$17,ROW()+1))),"",INDIRECT(CONCATENATE("Input!",RSE_Setup!$B$17,ROW()+1)))</f>
        <v>6.4999999999999997E-3</v>
      </c>
      <c r="C154" s="1" cm="1">
        <f t="array" aca="1" ref="C154" ca="1">IF(ISBLANK(INDIRECT(CONCATENATE("Input!",RSE_Setup!$B$18,ROW()+1))),"",INDIRECT(CONCATENATE("Input!",RSE_Setup!$B$18,ROW()+1)))</f>
        <v>0.111111</v>
      </c>
      <c r="D154" s="1" cm="1">
        <f t="array" aca="1" ref="D154" ca="1">IF(ISBLANK(INDIRECT(CONCATENATE("Input!",RSE_Setup!$B$19,ROW()+1))),"",INDIRECT(CONCATENATE("Input!",RSE_Setup!$B$19,ROW()+1)))</f>
        <v>3750</v>
      </c>
      <c r="E154" s="1" cm="1">
        <f t="array" aca="1" ref="E154" ca="1">IF(ISBLANK(INDIRECT(CONCATENATE("Input!",RSE_Setup!$B$30,ROW()+1))),"",INDIRECT(CONCATENATE("Input!",RSE_Setup!$B$30,ROW()+1)))</f>
        <v>8</v>
      </c>
      <c r="F154" s="1">
        <f ca="1"/>
        <v>7.8978200036763058</v>
      </c>
    </row>
    <row r="155" spans="1:6" x14ac:dyDescent="0.3">
      <c r="A155" s="1" cm="1">
        <f t="array" aca="1" ref="A155" ca="1">IF(ISBLANK(INDIRECT(CONCATENATE("Input!",RSE_Setup!$B$16,ROW()+1))),"",INDIRECT(CONCATENATE("Input!",RSE_Setup!$B$16,ROW()+1)))</f>
        <v>1E-3</v>
      </c>
      <c r="B155" s="1" cm="1">
        <f t="array" aca="1" ref="B155" ca="1">IF(ISBLANK(INDIRECT(CONCATENATE("Input!",RSE_Setup!$B$17,ROW()+1))),"",INDIRECT(CONCATENATE("Input!",RSE_Setup!$B$17,ROW()+1)))</f>
        <v>6.4999999999999997E-3</v>
      </c>
      <c r="C155" s="1" cm="1">
        <f t="array" aca="1" ref="C155" ca="1">IF(ISBLANK(INDIRECT(CONCATENATE("Input!",RSE_Setup!$B$18,ROW()+1))),"",INDIRECT(CONCATENATE("Input!",RSE_Setup!$B$18,ROW()+1)))</f>
        <v>0.111111</v>
      </c>
      <c r="D155" s="1" cm="1">
        <f t="array" aca="1" ref="D155" ca="1">IF(ISBLANK(INDIRECT(CONCATENATE("Input!",RSE_Setup!$B$19,ROW()+1))),"",INDIRECT(CONCATENATE("Input!",RSE_Setup!$B$19,ROW()+1)))</f>
        <v>4750</v>
      </c>
      <c r="E155" s="1" cm="1">
        <f t="array" aca="1" ref="E155" ca="1">IF(ISBLANK(INDIRECT(CONCATENATE("Input!",RSE_Setup!$B$30,ROW()+1))),"",INDIRECT(CONCATENATE("Input!",RSE_Setup!$B$30,ROW()+1)))</f>
        <v>8</v>
      </c>
      <c r="F155" s="1">
        <f ca="1"/>
        <v>8.2467176495644381</v>
      </c>
    </row>
    <row r="156" spans="1:6" x14ac:dyDescent="0.3">
      <c r="A156" s="1" cm="1">
        <f t="array" aca="1" ref="A156" ca="1">IF(ISBLANK(INDIRECT(CONCATENATE("Input!",RSE_Setup!$B$16,ROW()+1))),"",INDIRECT(CONCATENATE("Input!",RSE_Setup!$B$16,ROW()+1)))</f>
        <v>1E-3</v>
      </c>
      <c r="B156" s="1" cm="1">
        <f t="array" aca="1" ref="B156" ca="1">IF(ISBLANK(INDIRECT(CONCATENATE("Input!",RSE_Setup!$B$17,ROW()+1))),"",INDIRECT(CONCATENATE("Input!",RSE_Setup!$B$17,ROW()+1)))</f>
        <v>6.4999999999999997E-3</v>
      </c>
      <c r="C156" s="1" cm="1">
        <f t="array" aca="1" ref="C156" ca="1">IF(ISBLANK(INDIRECT(CONCATENATE("Input!",RSE_Setup!$B$18,ROW()+1))),"",INDIRECT(CONCATENATE("Input!",RSE_Setup!$B$18,ROW()+1)))</f>
        <v>5.5556000000000001E-2</v>
      </c>
      <c r="D156" s="1" cm="1">
        <f t="array" aca="1" ref="D156" ca="1">IF(ISBLANK(INDIRECT(CONCATENATE("Input!",RSE_Setup!$B$19,ROW()+1))),"",INDIRECT(CONCATENATE("Input!",RSE_Setup!$B$19,ROW()+1)))</f>
        <v>5500</v>
      </c>
      <c r="E156" s="1" cm="1">
        <f t="array" aca="1" ref="E156" ca="1">IF(ISBLANK(INDIRECT(CONCATENATE("Input!",RSE_Setup!$B$30,ROW()+1))),"",INDIRECT(CONCATENATE("Input!",RSE_Setup!$B$30,ROW()+1)))</f>
        <v>8</v>
      </c>
      <c r="F156" s="1">
        <f ca="1"/>
        <v>6.4862679094495759</v>
      </c>
    </row>
    <row r="157" spans="1:6" x14ac:dyDescent="0.3">
      <c r="A157" s="1" cm="1">
        <f t="array" aca="1" ref="A157" ca="1">IF(ISBLANK(INDIRECT(CONCATENATE("Input!",RSE_Setup!$B$16,ROW()+1))),"",INDIRECT(CONCATENATE("Input!",RSE_Setup!$B$16,ROW()+1)))</f>
        <v>1E-3</v>
      </c>
      <c r="B157" s="1" cm="1">
        <f t="array" aca="1" ref="B157" ca="1">IF(ISBLANK(INDIRECT(CONCATENATE("Input!",RSE_Setup!$B$17,ROW()+1))),"",INDIRECT(CONCATENATE("Input!",RSE_Setup!$B$17,ROW()+1)))</f>
        <v>8.0000000000000002E-3</v>
      </c>
      <c r="C157" s="1" cm="1">
        <f t="array" aca="1" ref="C157" ca="1">IF(ISBLANK(INDIRECT(CONCATENATE("Input!",RSE_Setup!$B$18,ROW()+1))),"",INDIRECT(CONCATENATE("Input!",RSE_Setup!$B$18,ROW()+1)))</f>
        <v>0.111111</v>
      </c>
      <c r="D157" s="1" cm="1">
        <f t="array" aca="1" ref="D157" ca="1">IF(ISBLANK(INDIRECT(CONCATENATE("Input!",RSE_Setup!$B$19,ROW()+1))),"",INDIRECT(CONCATENATE("Input!",RSE_Setup!$B$19,ROW()+1)))</f>
        <v>4750</v>
      </c>
      <c r="E157" s="1" cm="1">
        <f t="array" aca="1" ref="E157" ca="1">IF(ISBLANK(INDIRECT(CONCATENATE("Input!",RSE_Setup!$B$30,ROW()+1))),"",INDIRECT(CONCATENATE("Input!",RSE_Setup!$B$30,ROW()+1)))</f>
        <v>8</v>
      </c>
      <c r="F157" s="1">
        <f ca="1"/>
        <v>8.2261277239653374</v>
      </c>
    </row>
    <row r="158" spans="1:6" x14ac:dyDescent="0.3">
      <c r="A158" s="1" cm="1">
        <f t="array" aca="1" ref="A158" ca="1">IF(ISBLANK(INDIRECT(CONCATENATE("Input!",RSE_Setup!$B$16,ROW()+1))),"",INDIRECT(CONCATENATE("Input!",RSE_Setup!$B$16,ROW()+1)))</f>
        <v>1E-3</v>
      </c>
      <c r="B158" s="1" cm="1">
        <f t="array" aca="1" ref="B158" ca="1">IF(ISBLANK(INDIRECT(CONCATENATE("Input!",RSE_Setup!$B$17,ROW()+1))),"",INDIRECT(CONCATENATE("Input!",RSE_Setup!$B$17,ROW()+1)))</f>
        <v>8.0000000000000002E-3</v>
      </c>
      <c r="C158" s="1" cm="1">
        <f t="array" aca="1" ref="C158" ca="1">IF(ISBLANK(INDIRECT(CONCATENATE("Input!",RSE_Setup!$B$18,ROW()+1))),"",INDIRECT(CONCATENATE("Input!",RSE_Setup!$B$18,ROW()+1)))</f>
        <v>5.5556000000000001E-2</v>
      </c>
      <c r="D158" s="1" cm="1">
        <f t="array" aca="1" ref="D158" ca="1">IF(ISBLANK(INDIRECT(CONCATENATE("Input!",RSE_Setup!$B$19,ROW()+1))),"",INDIRECT(CONCATENATE("Input!",RSE_Setup!$B$19,ROW()+1)))</f>
        <v>5500</v>
      </c>
      <c r="E158" s="1" cm="1">
        <f t="array" aca="1" ref="E158" ca="1">IF(ISBLANK(INDIRECT(CONCATENATE("Input!",RSE_Setup!$B$30,ROW()+1))),"",INDIRECT(CONCATENATE("Input!",RSE_Setup!$B$30,ROW()+1)))</f>
        <v>8</v>
      </c>
      <c r="F158" s="1">
        <f ca="1"/>
        <v>6.4627979353513227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4439A-92F6-4467-B7FC-07BC4E56A032}">
  <sheetPr codeName="Sheet11"/>
  <dimension ref="A1:H2"/>
  <sheetViews>
    <sheetView workbookViewId="0">
      <selection activeCell="A2" sqref="A2"/>
    </sheetView>
  </sheetViews>
  <sheetFormatPr defaultRowHeight="14.4" x14ac:dyDescent="0.3"/>
  <cols>
    <col min="1" max="1" width="17.33203125" customWidth="1"/>
    <col min="2" max="4" width="12.33203125" customWidth="1"/>
    <col min="5" max="5" width="13" customWidth="1"/>
    <col min="6" max="6" width="12.33203125" customWidth="1"/>
    <col min="7" max="7" width="13.5546875" customWidth="1"/>
    <col min="8" max="8" width="11.88671875" customWidth="1"/>
  </cols>
  <sheetData>
    <row r="1" spans="1:8" x14ac:dyDescent="0.3">
      <c r="A1" s="2" t="s">
        <v>39</v>
      </c>
      <c r="B1" s="2" t="s">
        <v>40</v>
      </c>
      <c r="C1" s="2" t="s">
        <v>41</v>
      </c>
      <c r="D1" s="2" t="s">
        <v>42</v>
      </c>
      <c r="E1" s="2" t="s">
        <v>43</v>
      </c>
      <c r="F1" s="2" t="s">
        <v>44</v>
      </c>
      <c r="G1" s="2" t="s">
        <v>37</v>
      </c>
      <c r="H1" s="2" t="s">
        <v>38</v>
      </c>
    </row>
    <row r="2" spans="1:8" x14ac:dyDescent="0.3">
      <c r="A2" t="str" cm="1">
        <f t="array" aca="1" ref="A2" ca="1">INDIRECT(CONCATENATE("FTP_1!",RSE_Setup!B13))</f>
        <v>(10.004056004844074 + 0.0 * 1 + -2109.8394648546255 * RLHP20 + -2816.925035148393 * RLHP60 + 91.19050684411178 * HP_ETW + 0.035559930401323214 * ETW + 3213472.5119945793 * RLHP20^2 + 561986.7913075276 * RLHP20 * RLHP60 + -29456.208546334397 * RLHP20 * HP_ETW + 16.276290998633247 * RLHP20 * ETW + 474562.10943497467 * RLHP60^2 + -24328.203117551355 * RLHP60 * HP_ETW + 3.9180921438960676 * RLHP60 * ETW + 2084.7114779128224 * HP_ETW^2 + 0.23737207364026983 * HP_ETW * ETW + -1.1898055163328536e-07 * ETW^2)</v>
      </c>
      <c r="B2" t="str" cm="1">
        <f t="array" aca="1" ref="B2" ca="1">INDIRECT(CONCATENATE("FTP_2!",RSE_Setup!B13))</f>
        <v>(11.075138829551918 + 0.0 * 1 + -443.7672918904967 * RLHP20 + -1022.4343250527916 * RLHP60 + 160.1947597145794 * HP_ETW + 0.0336630901822944 * ETW + 4714546.363845072 * RLHP20^2 + 365310.4866478214 * RLHP20 * RLHP60 + -9480.222476019519 * RLHP20 * HP_ETW + 23.14525313817591 * RLHP20 * ETW + 52232.71647240157 * RLHP60^2 + 9598.700289817649 * RLHP60 * HP_ETW + 0.4768856482339942 * RLHP60 * ETW + 1138.2670748718033 * HP_ETW^2 + 0.4029840726969222 * HP_ETW * ETW + -2.7112889711133903e-08 * ETW^2)</v>
      </c>
      <c r="C2" t="str" cm="1">
        <f t="array" aca="1" ref="C2" ca="1">INDIRECT(CONCATENATE("FTP_3!",RSE_Setup!B13))</f>
        <v>(9.007974766363191 + 0.0 * 1 + -2019.7639858649839 * RLHP20 + -2416.7026862694306 * RLHP60 + 62.27556289653504 * HP_ETW + 0.030831515676047583 * ETW + 2857738.936018271 * RLHP20^2 + 456824.02627695084 * RLHP20 * RLHP60 + -25035.14985193327 * RLHP20 * HP_ETW + 14.190840156317334 * RLHP20 * ETW + 414230.4627530529 * RLHP60^2 + -21320.21309402355 * RLHP60 * HP_ETW + 3.405282724793537 * RLHP60 * ETW + 1883.8661261888424 * HP_ETW^2 + 0.19866177852596292 * HP_ETW * ETW + -9.991276783694047e-08 * ETW^2)</v>
      </c>
      <c r="D2" t="str" cm="1">
        <f t="array" aca="1" ref="D2" ca="1">INDIRECT(CONCATENATE("HWFET!",RSE_Setup!B13))</f>
        <v>(14.525611009544093 + 0.0 * 1 + -6131.429567264136 * RLHP20 + -3945.2553702709542 * RLHP60 + 204.1599744570514 * HP_ETW + 0.009675756635496913 * ETW + 3573552.622019964 * RLHP20^2 + 640175.1764313806 * RLHP20 * RLHP60 + -64337.39800181774 * RLHP20 * HP_ETW + 8.800187873582518 * RLHP20 * ETW + 596290.2519563149 * RLHP60^2 + -56603.57186914477 * RLHP60 * HP_ETW + 6.464325300710761 * RLHP60 * ETW + 2856.0448997673197 * HP_ETW^2 + 0.09264163247490881 * HP_ETW * ETW + -3.1138370104599744e-08 * ETW^2)</v>
      </c>
      <c r="E2" t="str" cm="1">
        <f t="array" aca="1" ref="E2" ca="1">INDIRECT(CONCATENATE("US06_1!",RSE_Setup!B13))</f>
        <v>(37.922048109589809 + 0.0 * 1 + 16550.341213619708 * RLHP20 + -4408.54561191313 * RLHP60 + -832.7833989278455 * HP_ETW + 0.10364127585389116 * ETW + -753384.8426817441 * RLHP20^2 + 1833884.76824117 * RLHP20 * RLHP60 + -143852.34104518208 * RLHP20 * HP_ETW + 4.435572639182851 * RLHP20 * ETW + 562125.8079002494 * RLHP60^2 + -10270.3711883154 * RLHP60 * HP_ETW + 3.6757539335937115 * RLHP60 * ETW + 12702.407460890921 * HP_ETW^2 + -0.13129334241216925 * HP_ETW * ETW + 3.075183485634625e-07 * ETW^2)</v>
      </c>
      <c r="F2" t="str" cm="1">
        <f t="array" aca="1" ref="F2" ca="1">INDIRECT(CONCATENATE("US06_2!",RSE_Setup!B13))</f>
        <v>(18.241531855684968 + 0.0 * 1 + 21678.561085745874 * RLHP20 + -18789.2057225698 * RLHP60 + 565.5791496094379 * HP_ETW + 0.01956885761226701 * ETW + -144017.8039425323 * RLHP20^2 + -2385114.1547617605 * RLHP20 * RLHP60 + 15763.421493719496 * RLHP20 * HP_ETW + -8.627568683757085 * RLHP20 * ETW + 2268470.9017797597 * RLHP60^2 + -111828.36052425025 * RLHP60 * HP_ETW + 12.683406679888645 * RLHP60 * ETW + 2470.111700766891 * HP_ETW^2 + -0.029969554733194848 * HP_ETW * ETW + -1.7203274182975292e-07 * ETW^2)</v>
      </c>
      <c r="G2" t="str" cm="1">
        <f t="array" aca="1" ref="G2" ca="1">INDIRECT(CONCATENATE("Displacement!",RSE_Setup!B13))</f>
        <v>(0.006649467508949 + 0.0 * 1 + 237.68175464770226 * RLHP20 + -5.134933947378221 * RLHP60 + 1.6856343436244203 * HP_ETW + -3.896903307185062e-05 * ETW + -91134.2245357607 * RLHP20^2 + -2148.8158950392085 * RLHP20 * RLHP60 + -43.918363180151374 * RLHP20 * HP_ETW + -0.016773250337981573 * RLHP20 * ETW + 543.2271087610185 * RLHP60^2 + 51.80106251687314 * RLHP60 * HP_ETW + -0.00026341431062815537 * RLHP60 * ETW + -11.493217104134118 * HP_ETW^2 + 0.013147253922672257 * HP_ETW * ETW + 3.833065420622006e-09 * ETW^2)</v>
      </c>
      <c r="H2" t="str" cm="1">
        <f t="array" aca="1" ref="H2" ca="1">INDIRECT(CONCATENATE("Cylinders!",RSE_Setup!B13))</f>
        <v>(-5.914404525357903 + 0.0 * 1 + 1079.7806305378133 * RLHP20 + -68.36393751915348 * RLHP60 + 171.1744483328197 * HP_ETW + 0.0014965665692878022 * ETW + -22644.12935985399 * RLHP20^2 + 35307.190575390494 * RLHP20 * RLHP60 + -2838.919340222209 * RLHP20 * HP_ETW + -0.22452394569504514 * RLHP20 * ETW + -2229.841159962741 * RLHP60^2 + 137.85882879128533 * RLHP60 * HP_ETW + 0.007651619867647138 * RLHP60 * ETW + -644.9404056475579 * HP_ETW^2 + -0.004828309944232801 * HP_ETW * ETW + -5.1341430662432685e-08 * ETW^2)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haredContentType xmlns="Microsoft.SharePoint.Taxonomy.ContentTypeSync" SourceId="29f62856-1543-49d4-a736-4569d363f533" ContentTypeId="0x0101" PreviousValue="false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AFEF46A893D440AD14F67BA6370666" ma:contentTypeVersion="14" ma:contentTypeDescription="Create a new document." ma:contentTypeScope="" ma:versionID="547a9d4d9ce6992a1f966214128766f1">
  <xsd:schema xmlns:xsd="http://www.w3.org/2001/XMLSchema" xmlns:xs="http://www.w3.org/2001/XMLSchema" xmlns:p="http://schemas.microsoft.com/office/2006/metadata/properties" xmlns:ns1="http://schemas.microsoft.com/sharepoint/v3" xmlns:ns2="4ffa91fb-a0ff-4ac5-b2db-65c790d184a4" xmlns:ns3="http://schemas.microsoft.com/sharepoint.v3" xmlns:ns4="http://schemas.microsoft.com/sharepoint/v3/fields" xmlns:ns5="48d268d6-d185-43c6-b7ee-6ddf16a2f305" xmlns:ns6="7c4c3fcd-bf38-4d5b-be65-222db41a0aab" targetNamespace="http://schemas.microsoft.com/office/2006/metadata/properties" ma:root="true" ma:fieldsID="f30da99d132a9a8ae197edc89aca196b" ns1:_="" ns2:_="" ns3:_="" ns4:_="" ns5:_="" ns6:_="">
    <xsd:import namespace="http://schemas.microsoft.com/sharepoint/v3"/>
    <xsd:import namespace="4ffa91fb-a0ff-4ac5-b2db-65c790d184a4"/>
    <xsd:import namespace="http://schemas.microsoft.com/sharepoint.v3"/>
    <xsd:import namespace="http://schemas.microsoft.com/sharepoint/v3/fields"/>
    <xsd:import namespace="48d268d6-d185-43c6-b7ee-6ddf16a2f305"/>
    <xsd:import namespace="7c4c3fcd-bf38-4d5b-be65-222db41a0aab"/>
    <xsd:element name="properties">
      <xsd:complexType>
        <xsd:sequence>
          <xsd:element name="documentManagement">
            <xsd:complexType>
              <xsd:all>
                <xsd:element ref="ns2:Document_x0020_Creation_x0020_Date" minOccurs="0"/>
                <xsd:element ref="ns2:Creator" minOccurs="0"/>
                <xsd:element ref="ns2:EPA_x0020_Office" minOccurs="0"/>
                <xsd:element ref="ns2:Record" minOccurs="0"/>
                <xsd:element ref="ns3:CategoryDescription" minOccurs="0"/>
                <xsd:element ref="ns2:Identifier" minOccurs="0"/>
                <xsd:element ref="ns2:EPA_x0020_Contributor" minOccurs="0"/>
                <xsd:element ref="ns2:External_x0020_Contributor" minOccurs="0"/>
                <xsd:element ref="ns4:_Coverage" minOccurs="0"/>
                <xsd:element ref="ns2:EPA_x0020_Related_x0020_Documents" minOccurs="0"/>
                <xsd:element ref="ns4:_Source" minOccurs="0"/>
                <xsd:element ref="ns2:Rights" minOccurs="0"/>
                <xsd:element ref="ns1:Language" minOccurs="0"/>
                <xsd:element ref="ns2:j747ac98061d40f0aa7bd47e1db5675d" minOccurs="0"/>
                <xsd:element ref="ns2:TaxKeywordTaxHTField" minOccurs="0"/>
                <xsd:element ref="ns2:TaxCatchAllLabel" minOccurs="0"/>
                <xsd:element ref="ns2:TaxCatchAll" minOccurs="0"/>
                <xsd:element ref="ns5:MediaServiceMetadata" minOccurs="0"/>
                <xsd:element ref="ns5:MediaServiceFastMetadata" minOccurs="0"/>
                <xsd:element ref="ns6:SharedWithUsers" minOccurs="0"/>
                <xsd:element ref="ns6:SharedWithDetails" minOccurs="0"/>
                <xsd:element ref="ns5:MediaServiceAutoTags" minOccurs="0"/>
                <xsd:element ref="ns5:MediaServiceOCR" minOccurs="0"/>
                <xsd:element ref="ns5:MediaServiceGenerationTime" minOccurs="0"/>
                <xsd:element ref="ns5:MediaServiceEventHashCode" minOccurs="0"/>
                <xsd:element ref="ns5:lcf76f155ced4ddcb4097134ff3c332f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Language" ma:index="17" nillable="true" ma:displayName="Language" ma:default="English" ma:description="Select the document language from the drop down." ma:format="Dropdown" ma:internalName="Language" ma:readOnly="false">
      <xsd:simpleType>
        <xsd:restriction base="dms:Choice">
          <xsd:enumeration value="Arabic (Saudi Arabia)"/>
          <xsd:enumeration value="Bulgarian (Bulgaria)"/>
          <xsd:enumeration value="Chinese (Hong Kong S.A.R.)"/>
          <xsd:enumeration value="Chinese (People's Republic of China)"/>
          <xsd:enumeration value="Chinese (Taiwan)"/>
          <xsd:enumeration value="Croatian (Croatia)"/>
          <xsd:enumeration value="Czech (Czech Republic)"/>
          <xsd:enumeration value="Danish (Denmark)"/>
          <xsd:enumeration value="Dutch (Netherlands)"/>
          <xsd:enumeration value="English"/>
          <xsd:enumeration value="Estonian (Estonia)"/>
          <xsd:enumeration value="Finnish (Finland)"/>
          <xsd:enumeration value="French (France)"/>
          <xsd:enumeration value="German (Germany)"/>
          <xsd:enumeration value="Greek (Greece)"/>
          <xsd:enumeration value="Hebrew (Israel)"/>
          <xsd:enumeration value="Hindi (India)"/>
          <xsd:enumeration value="Hungarian (Hungary)"/>
          <xsd:enumeration value="Indonesian (Indonesia)"/>
          <xsd:enumeration value="Italian (Italy)"/>
          <xsd:enumeration value="Japanese (Japan)"/>
          <xsd:enumeration value="Korean (Korea)"/>
          <xsd:enumeration value="Latvian (Latvia)"/>
          <xsd:enumeration value="Lithuanian (Lithuania)"/>
          <xsd:enumeration value="Malay (Malaysia)"/>
          <xsd:enumeration value="Norwegian (Bokmal) (Norway)"/>
          <xsd:enumeration value="Polish (Poland)"/>
          <xsd:enumeration value="Portuguese (Brazil)"/>
          <xsd:enumeration value="Portuguese (Portugal)"/>
          <xsd:enumeration value="Romanian (Romania)"/>
          <xsd:enumeration value="Russian (Russia)"/>
          <xsd:enumeration value="Serbian (Latin) (Serbia)"/>
          <xsd:enumeration value="Slovak (Slovakia)"/>
          <xsd:enumeration value="Slovenian (Slovenia)"/>
          <xsd:enumeration value="Spanish (Spain)"/>
          <xsd:enumeration value="Swedish (Sweden)"/>
          <xsd:enumeration value="Thai (Thailand)"/>
          <xsd:enumeration value="Turkish (Turkey)"/>
          <xsd:enumeration value="Ukrainian (Ukraine)"/>
          <xsd:enumeration value="Urdu (Islamic Republic of Pakistan)"/>
          <xsd:enumeration value="Vietnamese (Vietnam)"/>
        </xsd:restriction>
      </xsd:simpleType>
    </xsd:element>
    <xsd:element name="_ip_UnifiedCompliancePolicyProperties" ma:index="3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3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fa91fb-a0ff-4ac5-b2db-65c790d184a4" elementFormDefault="qualified">
    <xsd:import namespace="http://schemas.microsoft.com/office/2006/documentManagement/types"/>
    <xsd:import namespace="http://schemas.microsoft.com/office/infopath/2007/PartnerControls"/>
    <xsd:element name="Document_x0020_Creation_x0020_Date" ma:index="2" nillable="true" ma:displayName="Document Date" ma:default="[today]" ma:description="Enter the date this document was last modified. The upload date has been entered by default." ma:format="DateOnly" ma:internalName="Document_x0020_Creation_x0020_Date" ma:readOnly="false">
      <xsd:simpleType>
        <xsd:restriction base="dms:DateTime"/>
      </xsd:simpleType>
    </xsd:element>
    <xsd:element name="Creator" ma:index="3" nillable="true" ma:displayName="Creator" ma:description="Enter the person primarily responsible for the document. The name of the person uploading the document has been entered by default." ma:list="UserInfo" ma:SharePointGroup="0" ma:internalName="Creator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PA_x0020_Office" ma:index="4" nillable="true" ma:displayName="EPA Office" ma:description="Enter the EPA organization primarily responsible for the document. The office of the person uploading the document has been entered by default." ma:internalName="EPA_x0020_Office" ma:readOnly="false">
      <xsd:simpleType>
        <xsd:restriction base="dms:Text">
          <xsd:maxLength value="255"/>
        </xsd:restriction>
      </xsd:simpleType>
    </xsd:element>
    <xsd:element name="Record" ma:index="5" nillable="true" ma:displayName="Record" ma:default="Shared" ma:description="For documents that provide evidence of EPA decisions and actions, select &quot;Shared&quot; (open access) or &quot;Private&quot; (restricted access)." ma:format="Dropdown" ma:internalName="Record">
      <xsd:simpleType>
        <xsd:restriction base="dms:Choice">
          <xsd:enumeration value="None"/>
          <xsd:enumeration value="Shared"/>
          <xsd:enumeration value="Private"/>
        </xsd:restriction>
      </xsd:simpleType>
    </xsd:element>
    <xsd:element name="Identifier" ma:index="9" nillable="true" ma:displayName="Identifier" ma:description="Enter all EPA identification numbers applicable to this document, one on each line." ma:internalName="Identifier" ma:readOnly="false">
      <xsd:simpleType>
        <xsd:restriction base="dms:Note">
          <xsd:maxLength value="255"/>
        </xsd:restriction>
      </xsd:simpleType>
    </xsd:element>
    <xsd:element name="EPA_x0020_Contributor" ma:index="11" nillable="true" ma:displayName="EPA Contributor" ma:description="Enter an EPA person who contributed to the creation of the document but is not the primary author." ma:list="UserInfo" ma:SharePointGroup="0" ma:internalName="EPA_x0020_Contributor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xternal_x0020_Contributor" ma:index="12" nillable="true" ma:displayName="External Contributor" ma:description="Enter a non-EPA person who contributed to the creation of the document but is not the primary author." ma:internalName="External_x0020_Contributor" ma:readOnly="false">
      <xsd:simpleType>
        <xsd:restriction base="dms:Note">
          <xsd:maxLength value="255"/>
        </xsd:restriction>
      </xsd:simpleType>
    </xsd:element>
    <xsd:element name="EPA_x0020_Related_x0020_Documents" ma:index="14" nillable="true" ma:displayName="Other Related Documents" ma:description="Enter any related document." ma:internalName="EPA_x0020_Related_x0020_Documents" ma:readOnly="false">
      <xsd:simpleType>
        <xsd:restriction base="dms:Note">
          <xsd:maxLength value="255"/>
        </xsd:restriction>
      </xsd:simpleType>
    </xsd:element>
    <xsd:element name="Rights" ma:index="16" nillable="true" ma:displayName="Rights" ma:description="Enter information about intellectual property rights held over the document (e.g. copyright, patent, trademark)." ma:internalName="Rights" ma:readOnly="false">
      <xsd:simpleType>
        <xsd:restriction base="dms:Note">
          <xsd:maxLength value="255"/>
        </xsd:restriction>
      </xsd:simpleType>
    </xsd:element>
    <xsd:element name="j747ac98061d40f0aa7bd47e1db5675d" ma:index="19" nillable="true" ma:taxonomy="true" ma:internalName="j747ac98061d40f0aa7bd47e1db5675d" ma:taxonomyFieldName="Document_x0020_Type" ma:displayName="Document Type" ma:readOnly="false" ma:default="" ma:fieldId="{3747ac98-061d-40f0-aa7b-d47e1db5675d}" ma:sspId="29f62856-1543-49d4-a736-4569d363f533" ma:termSetId="e06cd6a9-a175-4da0-81cb-8dba7aa394ab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KeywordTaxHTField" ma:index="21" nillable="true" ma:taxonomy="true" ma:internalName="TaxKeywordTaxHTField" ma:taxonomyFieldName="TaxKeyword" ma:displayName="Enterprise Keywords" ma:readOnly="false" ma:fieldId="{23f27201-bee3-471e-b2e7-b64fd8b7ca38}" ma:taxonomyMulti="true" ma:sspId="29f62856-1543-49d4-a736-4569d363f533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Label" ma:index="23" nillable="true" ma:displayName="Taxonomy Catch All Column1" ma:hidden="true" ma:list="{d35382a5-8575-48ea-84a3-849ecb4530c3}" ma:internalName="TaxCatchAllLabel" ma:readOnly="true" ma:showField="CatchAllDataLabel" ma:web="7c4c3fcd-bf38-4d5b-be65-222db41a0aa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" ma:index="24" nillable="true" ma:displayName="Taxonomy Catch All Column" ma:hidden="true" ma:list="{d35382a5-8575-48ea-84a3-849ecb4530c3}" ma:internalName="TaxCatchAll" ma:showField="CatchAllData" ma:web="7c4c3fcd-bf38-4d5b-be65-222db41a0aa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.v3" elementFormDefault="qualified">
    <xsd:import namespace="http://schemas.microsoft.com/office/2006/documentManagement/types"/>
    <xsd:import namespace="http://schemas.microsoft.com/office/infopath/2007/PartnerControls"/>
    <xsd:element name="CategoryDescription" ma:index="6" nillable="true" ma:displayName="Description" ma:description="Enter a brief description." ma:internalName="CategoryDescription" ma:readOnly="fals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Coverage" ma:index="13" nillable="true" ma:displayName="Coverage" ma:description="Enter the geographic location, jurisdiction, or time period for which the document is relevant." ma:internalName="_Coverage" ma:readOnly="false">
      <xsd:simpleType>
        <xsd:restriction base="dms:Text">
          <xsd:maxLength value="255"/>
        </xsd:restriction>
      </xsd:simpleType>
    </xsd:element>
    <xsd:element name="_Source" ma:index="15" nillable="true" ma:displayName="Source" ma:description="Enter a source from which the document is derived." ma:internalName="_Source" ma:readOnly="fals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d268d6-d185-43c6-b7ee-6ddf16a2f30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2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2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32" nillable="true" ma:displayName="Tags" ma:internalName="MediaServiceAutoTags" ma:readOnly="true">
      <xsd:simpleType>
        <xsd:restriction base="dms:Text"/>
      </xsd:simpleType>
    </xsd:element>
    <xsd:element name="MediaServiceOCR" ma:index="3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3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5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37" nillable="true" ma:taxonomy="true" ma:internalName="lcf76f155ced4ddcb4097134ff3c332f" ma:taxonomyFieldName="MediaServiceImageTags" ma:displayName="Image Tags" ma:readOnly="false" ma:fieldId="{5cf76f15-5ced-4ddc-b409-7134ff3c332f}" ma:taxonomyMulti="true" ma:sspId="29f62856-1543-49d4-a736-4569d363f53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4c3fcd-bf38-4d5b-be65-222db41a0aab" elementFormDefault="qualified">
    <xsd:import namespace="http://schemas.microsoft.com/office/2006/documentManagement/types"/>
    <xsd:import namespace="http://schemas.microsoft.com/office/infopath/2007/PartnerControls"/>
    <xsd:element name="SharedWithUsers" ma:index="3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3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Source xmlns="http://schemas.microsoft.com/sharepoint/v3/fields" xsi:nil="true"/>
    <Language xmlns="http://schemas.microsoft.com/sharepoint/v3">English</Language>
    <j747ac98061d40f0aa7bd47e1db5675d xmlns="4ffa91fb-a0ff-4ac5-b2db-65c790d184a4">
      <Terms xmlns="http://schemas.microsoft.com/office/infopath/2007/PartnerControls"/>
    </j747ac98061d40f0aa7bd47e1db5675d>
    <External_x0020_Contributor xmlns="4ffa91fb-a0ff-4ac5-b2db-65c790d184a4" xsi:nil="true"/>
    <TaxKeywordTaxHTField xmlns="4ffa91fb-a0ff-4ac5-b2db-65c790d184a4">
      <Terms xmlns="http://schemas.microsoft.com/office/infopath/2007/PartnerControls"/>
    </TaxKeywordTaxHTField>
    <Record xmlns="4ffa91fb-a0ff-4ac5-b2db-65c790d184a4">Shared</Record>
    <Rights xmlns="4ffa91fb-a0ff-4ac5-b2db-65c790d184a4" xsi:nil="true"/>
    <Document_x0020_Creation_x0020_Date xmlns="4ffa91fb-a0ff-4ac5-b2db-65c790d184a4">2022-05-23T15:09:50+00:00</Document_x0020_Creation_x0020_Date>
    <EPA_x0020_Office xmlns="4ffa91fb-a0ff-4ac5-b2db-65c790d184a4" xsi:nil="true"/>
    <CategoryDescription xmlns="http://schemas.microsoft.com/sharepoint.v3" xsi:nil="true"/>
    <Identifier xmlns="4ffa91fb-a0ff-4ac5-b2db-65c790d184a4" xsi:nil="true"/>
    <_Coverage xmlns="http://schemas.microsoft.com/sharepoint/v3/fields" xsi:nil="true"/>
    <Creator xmlns="4ffa91fb-a0ff-4ac5-b2db-65c790d184a4">
      <UserInfo>
        <DisplayName/>
        <AccountId xsi:nil="true"/>
        <AccountType/>
      </UserInfo>
    </Creator>
    <EPA_x0020_Related_x0020_Documents xmlns="4ffa91fb-a0ff-4ac5-b2db-65c790d184a4" xsi:nil="true"/>
    <EPA_x0020_Contributor xmlns="4ffa91fb-a0ff-4ac5-b2db-65c790d184a4">
      <UserInfo>
        <DisplayName/>
        <AccountId xsi:nil="true"/>
        <AccountType/>
      </UserInfo>
    </EPA_x0020_Contributor>
    <TaxCatchAll xmlns="4ffa91fb-a0ff-4ac5-b2db-65c790d184a4" xsi:nil="true"/>
    <_ip_UnifiedCompliancePolicyUIAction xmlns="http://schemas.microsoft.com/sharepoint/v3" xsi:nil="true"/>
    <lcf76f155ced4ddcb4097134ff3c332f xmlns="48d268d6-d185-43c6-b7ee-6ddf16a2f305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447C0DA-3824-43AA-931A-E6D0ACDE70E8}">
  <ds:schemaRefs>
    <ds:schemaRef ds:uri="Microsoft.SharePoint.Taxonomy.ContentTypeSync"/>
  </ds:schemaRefs>
</ds:datastoreItem>
</file>

<file path=customXml/itemProps2.xml><?xml version="1.0" encoding="utf-8"?>
<ds:datastoreItem xmlns:ds="http://schemas.openxmlformats.org/officeDocument/2006/customXml" ds:itemID="{6E258B8F-D215-420B-99B0-FDCE1F7AC2F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4ffa91fb-a0ff-4ac5-b2db-65c790d184a4"/>
    <ds:schemaRef ds:uri="http://schemas.microsoft.com/sharepoint.v3"/>
    <ds:schemaRef ds:uri="http://schemas.microsoft.com/sharepoint/v3/fields"/>
    <ds:schemaRef ds:uri="48d268d6-d185-43c6-b7ee-6ddf16a2f305"/>
    <ds:schemaRef ds:uri="7c4c3fcd-bf38-4d5b-be65-222db41a0aa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7402024-AA56-4A0A-94C1-0905F9144520}">
  <ds:schemaRefs>
    <ds:schemaRef ds:uri="http://schemas.microsoft.com/office/2006/metadata/properties"/>
    <ds:schemaRef ds:uri="http://schemas.microsoft.com/office/infopath/2007/PartnerControls"/>
    <ds:schemaRef ds:uri="http://schemas.microsoft.com/sharepoint/v3/fields"/>
    <ds:schemaRef ds:uri="http://schemas.microsoft.com/sharepoint/v3"/>
    <ds:schemaRef ds:uri="4ffa91fb-a0ff-4ac5-b2db-65c790d184a4"/>
    <ds:schemaRef ds:uri="http://schemas.microsoft.com/sharepoint.v3"/>
    <ds:schemaRef ds:uri="48d268d6-d185-43c6-b7ee-6ddf16a2f305"/>
  </ds:schemaRefs>
</ds:datastoreItem>
</file>

<file path=customXml/itemProps4.xml><?xml version="1.0" encoding="utf-8"?>
<ds:datastoreItem xmlns:ds="http://schemas.openxmlformats.org/officeDocument/2006/customXml" ds:itemID="{91282E66-E14E-4D7A-9122-288F5EC4ED6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36</vt:i4>
      </vt:variant>
    </vt:vector>
  </HeadingPairs>
  <TitlesOfParts>
    <vt:vector size="47" baseType="lpstr">
      <vt:lpstr>RSE_Setup</vt:lpstr>
      <vt:lpstr>Input</vt:lpstr>
      <vt:lpstr>FTP_1</vt:lpstr>
      <vt:lpstr>FTP_2</vt:lpstr>
      <vt:lpstr>FTP_3</vt:lpstr>
      <vt:lpstr>HWFET</vt:lpstr>
      <vt:lpstr>US06_1</vt:lpstr>
      <vt:lpstr>US06_2</vt:lpstr>
      <vt:lpstr>Displacement</vt:lpstr>
      <vt:lpstr>Cylinders</vt:lpstr>
      <vt:lpstr>Formulas</vt:lpstr>
      <vt:lpstr>Cylinders!ETW</vt:lpstr>
      <vt:lpstr>Displacement!ETW</vt:lpstr>
      <vt:lpstr>FTP_1!ETW</vt:lpstr>
      <vt:lpstr>FTP_2!ETW</vt:lpstr>
      <vt:lpstr>FTP_3!ETW</vt:lpstr>
      <vt:lpstr>HWFET!ETW</vt:lpstr>
      <vt:lpstr>US06_1!ETW</vt:lpstr>
      <vt:lpstr>US06_2!ETW</vt:lpstr>
      <vt:lpstr>ETW</vt:lpstr>
      <vt:lpstr>Cylinders!HP_ETW</vt:lpstr>
      <vt:lpstr>Displacement!HP_ETW</vt:lpstr>
      <vt:lpstr>FTP_1!HP_ETW</vt:lpstr>
      <vt:lpstr>FTP_2!HP_ETW</vt:lpstr>
      <vt:lpstr>FTP_3!HP_ETW</vt:lpstr>
      <vt:lpstr>HWFET!HP_ETW</vt:lpstr>
      <vt:lpstr>US06_1!HP_ETW</vt:lpstr>
      <vt:lpstr>US06_2!HP_ETW</vt:lpstr>
      <vt:lpstr>HP_ETW</vt:lpstr>
      <vt:lpstr>Cylinders!RLHP20</vt:lpstr>
      <vt:lpstr>Displacement!RLHP20</vt:lpstr>
      <vt:lpstr>FTP_1!RLHP20</vt:lpstr>
      <vt:lpstr>FTP_2!RLHP20</vt:lpstr>
      <vt:lpstr>FTP_3!RLHP20</vt:lpstr>
      <vt:lpstr>HWFET!RLHP20</vt:lpstr>
      <vt:lpstr>US06_1!RLHP20</vt:lpstr>
      <vt:lpstr>US06_2!RLHP20</vt:lpstr>
      <vt:lpstr>RLHP20</vt:lpstr>
      <vt:lpstr>Cylinders!RLHP60</vt:lpstr>
      <vt:lpstr>Displacement!RLHP60</vt:lpstr>
      <vt:lpstr>FTP_1!RLHP60</vt:lpstr>
      <vt:lpstr>FTP_2!RLHP60</vt:lpstr>
      <vt:lpstr>FTP_3!RLHP60</vt:lpstr>
      <vt:lpstr>HWFET!RLHP60</vt:lpstr>
      <vt:lpstr>US06_1!RLHP60</vt:lpstr>
      <vt:lpstr>US06_2!RLHP60</vt:lpstr>
      <vt:lpstr>RLHP60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Cherry, Jeff</dc:creator>
  <cp:keywords/>
  <dc:description/>
  <cp:lastModifiedBy>Jeff Cherry</cp:lastModifiedBy>
  <cp:revision/>
  <dcterms:created xsi:type="dcterms:W3CDTF">2022-03-01T16:38:14Z</dcterms:created>
  <dcterms:modified xsi:type="dcterms:W3CDTF">2023-05-10T18:50:09Z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0x010100A7AFEF46A893D440AD14F67BA6370666</vt:lpwstr>
  </property>
  <property fmtid="{D5CDD505-2E9C-101B-9397-08002B2CF9AE}" pid="3" name="TaxKeyword">
    <vt:lpwstr/>
  </property>
  <property fmtid="{D5CDD505-2E9C-101B-9397-08002B2CF9AE}" pid="4" name="e3f09c3df709400db2417a7161762d62">
    <vt:lpwstr/>
  </property>
  <property fmtid="{D5CDD505-2E9C-101B-9397-08002B2CF9AE}" pid="5" name="EPA_x0020_Subject">
    <vt:lpwstr/>
  </property>
  <property fmtid="{D5CDD505-2E9C-101B-9397-08002B2CF9AE}" pid="6" name="Document Type">
    <vt:lpwstr/>
  </property>
  <property fmtid="{D5CDD505-2E9C-101B-9397-08002B2CF9AE}" pid="7" name="EPA Subject">
    <vt:lpwstr/>
  </property>
</Properties>
</file>